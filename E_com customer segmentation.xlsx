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TISHA\Downloads\"/>
    </mc:Choice>
  </mc:AlternateContent>
  <xr:revisionPtr revIDLastSave="0" documentId="13_ncr:1_{5DB81BC5-2220-4DA3-8EF5-EFB486E4F55F}" xr6:coauthVersionLast="47" xr6:coauthVersionMax="47" xr10:uidLastSave="{00000000-0000-0000-0000-000000000000}"/>
  <bookViews>
    <workbookView xWindow="-108" yWindow="-108" windowWidth="23256" windowHeight="13176" activeTab="4" xr2:uid="{82B739AD-83C4-4FB2-81FC-CCE1603797C1}"/>
  </bookViews>
  <sheets>
    <sheet name="ecommerce_transactions" sheetId="2" r:id="rId1"/>
    <sheet name="main_data" sheetId="1" r:id="rId2"/>
    <sheet name="rfm_segmented" sheetId="5" r:id="rId3"/>
    <sheet name="customer_lifetime_value" sheetId="3" r:id="rId4"/>
    <sheet name="segment_analysis" sheetId="4" r:id="rId5"/>
  </sheets>
  <definedNames>
    <definedName name="ExternalData_1" localSheetId="0" hidden="1">ecommerce_transactions!$A$1:$G$3940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L5" i="1"/>
  <c r="L6" i="1"/>
  <c r="L7" i="1"/>
  <c r="K8" i="1"/>
  <c r="K10" i="1"/>
  <c r="L17" i="1"/>
  <c r="L18" i="1"/>
  <c r="L36" i="1"/>
  <c r="K45" i="1"/>
  <c r="K46" i="1"/>
  <c r="K48" i="1"/>
  <c r="K50" i="1"/>
  <c r="K57" i="1"/>
  <c r="K62" i="1"/>
  <c r="K66" i="1"/>
  <c r="L82" i="1"/>
  <c r="K84" i="1"/>
  <c r="L85" i="1"/>
  <c r="K86" i="1"/>
  <c r="K87" i="1"/>
  <c r="L93" i="1"/>
  <c r="L94" i="1"/>
  <c r="L95" i="1"/>
  <c r="L103" i="1"/>
  <c r="L106" i="1"/>
  <c r="K110" i="1"/>
  <c r="K112" i="1"/>
  <c r="L118" i="1"/>
  <c r="L119" i="1"/>
  <c r="K130" i="1"/>
  <c r="K132" i="1"/>
  <c r="K133" i="1"/>
  <c r="K134" i="1"/>
  <c r="K135" i="1"/>
  <c r="K137" i="1"/>
  <c r="K138" i="1"/>
  <c r="L145" i="1"/>
  <c r="K147" i="1"/>
  <c r="L171" i="1"/>
  <c r="K177" i="1"/>
  <c r="K178" i="1"/>
  <c r="K182" i="1"/>
  <c r="L188" i="1"/>
  <c r="L189" i="1"/>
  <c r="K190" i="1"/>
  <c r="L191" i="1"/>
  <c r="K193" i="1"/>
  <c r="K194" i="1"/>
  <c r="K202" i="1"/>
  <c r="L212" i="1"/>
  <c r="L213" i="1"/>
  <c r="K214" i="1"/>
  <c r="K216" i="1"/>
  <c r="K226" i="1"/>
  <c r="K231" i="1"/>
  <c r="K233" i="1"/>
  <c r="L238" i="1"/>
  <c r="L240" i="1"/>
  <c r="L241" i="1"/>
  <c r="K247" i="1"/>
  <c r="K254" i="1"/>
  <c r="K257" i="1"/>
  <c r="K258" i="1"/>
  <c r="K261" i="1"/>
  <c r="K262" i="1"/>
  <c r="K266" i="1"/>
  <c r="L283" i="1"/>
  <c r="L289" i="1"/>
  <c r="L290" i="1"/>
  <c r="L291" i="1"/>
  <c r="K298" i="1"/>
  <c r="K305" i="1"/>
  <c r="K306" i="1"/>
  <c r="K307" i="1"/>
  <c r="K318" i="1"/>
  <c r="L325" i="1"/>
  <c r="L327" i="1"/>
  <c r="K329" i="1"/>
  <c r="K330" i="1"/>
  <c r="L332" i="1"/>
  <c r="K344" i="1"/>
  <c r="K351" i="1"/>
  <c r="K356" i="1"/>
  <c r="K358" i="1"/>
  <c r="K368" i="1"/>
  <c r="K369" i="1"/>
  <c r="K370" i="1"/>
  <c r="L377" i="1"/>
  <c r="L378" i="1"/>
  <c r="L379" i="1"/>
  <c r="K383" i="1"/>
  <c r="K384" i="1"/>
  <c r="K385" i="1"/>
  <c r="L390" i="1"/>
  <c r="L391" i="1"/>
  <c r="L392" i="1"/>
  <c r="K408" i="1"/>
  <c r="K409" i="1"/>
  <c r="K416" i="1"/>
  <c r="K418" i="1"/>
  <c r="K419" i="1"/>
  <c r="K422" i="1"/>
  <c r="K430" i="1"/>
  <c r="L434" i="1"/>
  <c r="L437" i="1"/>
  <c r="K442" i="1"/>
  <c r="K462" i="1"/>
  <c r="K463" i="1"/>
  <c r="K464" i="1"/>
  <c r="K465" i="1"/>
  <c r="L476" i="1"/>
  <c r="K482" i="1"/>
  <c r="K483" i="1"/>
  <c r="K485" i="1"/>
  <c r="L486" i="1"/>
  <c r="L490" i="1"/>
  <c r="K493" i="1"/>
  <c r="L494" i="1"/>
  <c r="L499" i="1"/>
  <c r="A1" i="1" a="1"/>
  <c r="A1" i="1" s="1"/>
  <c r="L304" i="1" l="1"/>
  <c r="K304" i="1"/>
  <c r="L421" i="1"/>
  <c r="K421" i="1"/>
  <c r="M421" i="1" s="1"/>
  <c r="L308" i="1"/>
  <c r="K308" i="1"/>
  <c r="M308" i="1" s="1"/>
  <c r="L461" i="1"/>
  <c r="K461" i="1"/>
  <c r="K489" i="1"/>
  <c r="L489" i="1"/>
  <c r="K176" i="1"/>
  <c r="L176" i="1"/>
  <c r="K309" i="1"/>
  <c r="L309" i="1"/>
  <c r="L435" i="1"/>
  <c r="K435" i="1"/>
  <c r="M304" i="1"/>
  <c r="D26" i="1"/>
  <c r="L9" i="1"/>
  <c r="L25" i="1"/>
  <c r="L41" i="1"/>
  <c r="L57" i="1"/>
  <c r="M57" i="1" s="1"/>
  <c r="L73" i="1"/>
  <c r="L89" i="1"/>
  <c r="L105" i="1"/>
  <c r="L121" i="1"/>
  <c r="L137" i="1"/>
  <c r="M137" i="1" s="1"/>
  <c r="L153" i="1"/>
  <c r="L169" i="1"/>
  <c r="L185" i="1"/>
  <c r="L201" i="1"/>
  <c r="L217" i="1"/>
  <c r="L233" i="1"/>
  <c r="M233" i="1" s="1"/>
  <c r="L249" i="1"/>
  <c r="L265" i="1"/>
  <c r="L281" i="1"/>
  <c r="L297" i="1"/>
  <c r="L313" i="1"/>
  <c r="L329" i="1"/>
  <c r="M329" i="1" s="1"/>
  <c r="L345" i="1"/>
  <c r="L13" i="1"/>
  <c r="L14" i="1"/>
  <c r="L8" i="1"/>
  <c r="M8" i="1" s="1"/>
  <c r="L28" i="1"/>
  <c r="L45" i="1"/>
  <c r="M45" i="1" s="1"/>
  <c r="L62" i="1"/>
  <c r="M62" i="1" s="1"/>
  <c r="L79" i="1"/>
  <c r="L96" i="1"/>
  <c r="L113" i="1"/>
  <c r="L130" i="1"/>
  <c r="M130" i="1" s="1"/>
  <c r="L147" i="1"/>
  <c r="M147" i="1" s="1"/>
  <c r="L164" i="1"/>
  <c r="L181" i="1"/>
  <c r="L198" i="1"/>
  <c r="L215" i="1"/>
  <c r="L232" i="1"/>
  <c r="L250" i="1"/>
  <c r="L267" i="1"/>
  <c r="L284" i="1"/>
  <c r="L301" i="1"/>
  <c r="L318" i="1"/>
  <c r="M318" i="1" s="1"/>
  <c r="L335" i="1"/>
  <c r="L352" i="1"/>
  <c r="L368" i="1"/>
  <c r="M368" i="1" s="1"/>
  <c r="L384" i="1"/>
  <c r="M384" i="1" s="1"/>
  <c r="L400" i="1"/>
  <c r="L416" i="1"/>
  <c r="M416" i="1" s="1"/>
  <c r="L432" i="1"/>
  <c r="L448" i="1"/>
  <c r="L464" i="1"/>
  <c r="M464" i="1" s="1"/>
  <c r="L480" i="1"/>
  <c r="L496" i="1"/>
  <c r="K11" i="1"/>
  <c r="K27" i="1"/>
  <c r="K43" i="1"/>
  <c r="K59" i="1"/>
  <c r="K75" i="1"/>
  <c r="K91" i="1"/>
  <c r="K107" i="1"/>
  <c r="L10" i="1"/>
  <c r="M10" i="1" s="1"/>
  <c r="L29" i="1"/>
  <c r="L46" i="1"/>
  <c r="M46" i="1" s="1"/>
  <c r="L63" i="1"/>
  <c r="L80" i="1"/>
  <c r="L97" i="1"/>
  <c r="L114" i="1"/>
  <c r="L131" i="1"/>
  <c r="L148" i="1"/>
  <c r="L165" i="1"/>
  <c r="L182" i="1"/>
  <c r="M182" i="1" s="1"/>
  <c r="L199" i="1"/>
  <c r="L216" i="1"/>
  <c r="M216" i="1" s="1"/>
  <c r="L234" i="1"/>
  <c r="L251" i="1"/>
  <c r="L268" i="1"/>
  <c r="L285" i="1"/>
  <c r="L302" i="1"/>
  <c r="L319" i="1"/>
  <c r="L336" i="1"/>
  <c r="L353" i="1"/>
  <c r="L369" i="1"/>
  <c r="M369" i="1" s="1"/>
  <c r="L385" i="1"/>
  <c r="M385" i="1" s="1"/>
  <c r="L401" i="1"/>
  <c r="L417" i="1"/>
  <c r="L433" i="1"/>
  <c r="L449" i="1"/>
  <c r="L465" i="1"/>
  <c r="M465" i="1" s="1"/>
  <c r="L481" i="1"/>
  <c r="L497" i="1"/>
  <c r="K12" i="1"/>
  <c r="K28" i="1"/>
  <c r="M28" i="1" s="1"/>
  <c r="K44" i="1"/>
  <c r="K60" i="1"/>
  <c r="L11" i="1"/>
  <c r="L30" i="1"/>
  <c r="L47" i="1"/>
  <c r="L64" i="1"/>
  <c r="L81" i="1"/>
  <c r="L98" i="1"/>
  <c r="L115" i="1"/>
  <c r="L132" i="1"/>
  <c r="M132" i="1" s="1"/>
  <c r="L149" i="1"/>
  <c r="L166" i="1"/>
  <c r="L183" i="1"/>
  <c r="L200" i="1"/>
  <c r="L218" i="1"/>
  <c r="L235" i="1"/>
  <c r="L252" i="1"/>
  <c r="L269" i="1"/>
  <c r="L286" i="1"/>
  <c r="L303" i="1"/>
  <c r="L320" i="1"/>
  <c r="L337" i="1"/>
  <c r="L354" i="1"/>
  <c r="L370" i="1"/>
  <c r="M370" i="1" s="1"/>
  <c r="L386" i="1"/>
  <c r="L402" i="1"/>
  <c r="L418" i="1"/>
  <c r="M418" i="1" s="1"/>
  <c r="L15" i="1"/>
  <c r="L32" i="1"/>
  <c r="L49" i="1"/>
  <c r="L66" i="1"/>
  <c r="M66" i="1" s="1"/>
  <c r="L83" i="1"/>
  <c r="L100" i="1"/>
  <c r="L117" i="1"/>
  <c r="L134" i="1"/>
  <c r="M134" i="1" s="1"/>
  <c r="L151" i="1"/>
  <c r="L168" i="1"/>
  <c r="L186" i="1"/>
  <c r="L203" i="1"/>
  <c r="L220" i="1"/>
  <c r="L237" i="1"/>
  <c r="L254" i="1"/>
  <c r="M254" i="1" s="1"/>
  <c r="L271" i="1"/>
  <c r="L288" i="1"/>
  <c r="L305" i="1"/>
  <c r="M305" i="1" s="1"/>
  <c r="L322" i="1"/>
  <c r="L339" i="1"/>
  <c r="L356" i="1"/>
  <c r="M356" i="1" s="1"/>
  <c r="L372" i="1"/>
  <c r="L388" i="1"/>
  <c r="L404" i="1"/>
  <c r="L420" i="1"/>
  <c r="L436" i="1"/>
  <c r="L452" i="1"/>
  <c r="L468" i="1"/>
  <c r="L19" i="1"/>
  <c r="L40" i="1"/>
  <c r="L65" i="1"/>
  <c r="L87" i="1"/>
  <c r="M87" i="1" s="1"/>
  <c r="L109" i="1"/>
  <c r="L133" i="1"/>
  <c r="M133" i="1" s="1"/>
  <c r="L156" i="1"/>
  <c r="L177" i="1"/>
  <c r="M177" i="1" s="1"/>
  <c r="L202" i="1"/>
  <c r="M202" i="1" s="1"/>
  <c r="L224" i="1"/>
  <c r="L245" i="1"/>
  <c r="L270" i="1"/>
  <c r="L292" i="1"/>
  <c r="L314" i="1"/>
  <c r="L338" i="1"/>
  <c r="L360" i="1"/>
  <c r="L380" i="1"/>
  <c r="L403" i="1"/>
  <c r="L424" i="1"/>
  <c r="L443" i="1"/>
  <c r="L462" i="1"/>
  <c r="M462" i="1" s="1"/>
  <c r="L483" i="1"/>
  <c r="M483" i="1" s="1"/>
  <c r="L501" i="1"/>
  <c r="K18" i="1"/>
  <c r="M18" i="1" s="1"/>
  <c r="K36" i="1"/>
  <c r="M36" i="1" s="1"/>
  <c r="K54" i="1"/>
  <c r="K72" i="1"/>
  <c r="K89" i="1"/>
  <c r="K106" i="1"/>
  <c r="M106" i="1" s="1"/>
  <c r="K123" i="1"/>
  <c r="K139" i="1"/>
  <c r="K155" i="1"/>
  <c r="K171" i="1"/>
  <c r="M171" i="1" s="1"/>
  <c r="K187" i="1"/>
  <c r="K203" i="1"/>
  <c r="K219" i="1"/>
  <c r="K235" i="1"/>
  <c r="K251" i="1"/>
  <c r="K267" i="1"/>
  <c r="K283" i="1"/>
  <c r="M283" i="1" s="1"/>
  <c r="K299" i="1"/>
  <c r="K315" i="1"/>
  <c r="K331" i="1"/>
  <c r="K347" i="1"/>
  <c r="K363" i="1"/>
  <c r="K379" i="1"/>
  <c r="M379" i="1" s="1"/>
  <c r="K395" i="1"/>
  <c r="K411" i="1"/>
  <c r="K427" i="1"/>
  <c r="K443" i="1"/>
  <c r="K459" i="1"/>
  <c r="K475" i="1"/>
  <c r="K491" i="1"/>
  <c r="L20" i="1"/>
  <c r="L42" i="1"/>
  <c r="L67" i="1"/>
  <c r="L88" i="1"/>
  <c r="L110" i="1"/>
  <c r="M110" i="1" s="1"/>
  <c r="L135" i="1"/>
  <c r="M135" i="1" s="1"/>
  <c r="L157" i="1"/>
  <c r="L178" i="1"/>
  <c r="M178" i="1" s="1"/>
  <c r="L204" i="1"/>
  <c r="L225" i="1"/>
  <c r="L246" i="1"/>
  <c r="L272" i="1"/>
  <c r="L293" i="1"/>
  <c r="L315" i="1"/>
  <c r="L340" i="1"/>
  <c r="L361" i="1"/>
  <c r="L381" i="1"/>
  <c r="L405" i="1"/>
  <c r="L425" i="1"/>
  <c r="L444" i="1"/>
  <c r="L463" i="1"/>
  <c r="M463" i="1" s="1"/>
  <c r="L484" i="1"/>
  <c r="K19" i="1"/>
  <c r="K37" i="1"/>
  <c r="K55" i="1"/>
  <c r="K73" i="1"/>
  <c r="K90" i="1"/>
  <c r="K108" i="1"/>
  <c r="K124" i="1"/>
  <c r="K140" i="1"/>
  <c r="K156" i="1"/>
  <c r="K172" i="1"/>
  <c r="K188" i="1"/>
  <c r="M188" i="1" s="1"/>
  <c r="K204" i="1"/>
  <c r="K220" i="1"/>
  <c r="K236" i="1"/>
  <c r="K252" i="1"/>
  <c r="M252" i="1" s="1"/>
  <c r="K268" i="1"/>
  <c r="K284" i="1"/>
  <c r="K300" i="1"/>
  <c r="K316" i="1"/>
  <c r="K332" i="1"/>
  <c r="M332" i="1" s="1"/>
  <c r="K348" i="1"/>
  <c r="K364" i="1"/>
  <c r="K380" i="1"/>
  <c r="M380" i="1" s="1"/>
  <c r="K396" i="1"/>
  <c r="K412" i="1"/>
  <c r="K428" i="1"/>
  <c r="K444" i="1"/>
  <c r="K460" i="1"/>
  <c r="K476" i="1"/>
  <c r="M476" i="1" s="1"/>
  <c r="K492" i="1"/>
  <c r="L21" i="1"/>
  <c r="L43" i="1"/>
  <c r="L68" i="1"/>
  <c r="L90" i="1"/>
  <c r="L111" i="1"/>
  <c r="L136" i="1"/>
  <c r="L158" i="1"/>
  <c r="L179" i="1"/>
  <c r="L205" i="1"/>
  <c r="L226" i="1"/>
  <c r="M226" i="1" s="1"/>
  <c r="L247" i="1"/>
  <c r="M247" i="1" s="1"/>
  <c r="L273" i="1"/>
  <c r="L294" i="1"/>
  <c r="L316" i="1"/>
  <c r="L341" i="1"/>
  <c r="L362" i="1"/>
  <c r="L382" i="1"/>
  <c r="L406" i="1"/>
  <c r="L426" i="1"/>
  <c r="L445" i="1"/>
  <c r="L466" i="1"/>
  <c r="L485" i="1"/>
  <c r="M485" i="1" s="1"/>
  <c r="L2" i="1"/>
  <c r="K20" i="1"/>
  <c r="M20" i="1" s="1"/>
  <c r="K38" i="1"/>
  <c r="K56" i="1"/>
  <c r="K74" i="1"/>
  <c r="K92" i="1"/>
  <c r="K109" i="1"/>
  <c r="K125" i="1"/>
  <c r="K141" i="1"/>
  <c r="K157" i="1"/>
  <c r="K173" i="1"/>
  <c r="K189" i="1"/>
  <c r="M189" i="1" s="1"/>
  <c r="K205" i="1"/>
  <c r="K221" i="1"/>
  <c r="K237" i="1"/>
  <c r="K253" i="1"/>
  <c r="K269" i="1"/>
  <c r="K285" i="1"/>
  <c r="K301" i="1"/>
  <c r="M301" i="1" s="1"/>
  <c r="K317" i="1"/>
  <c r="K333" i="1"/>
  <c r="K349" i="1"/>
  <c r="K365" i="1"/>
  <c r="K381" i="1"/>
  <c r="K397" i="1"/>
  <c r="K413" i="1"/>
  <c r="K429" i="1"/>
  <c r="L22" i="1"/>
  <c r="L44" i="1"/>
  <c r="L69" i="1"/>
  <c r="L91" i="1"/>
  <c r="L112" i="1"/>
  <c r="M112" i="1" s="1"/>
  <c r="L138" i="1"/>
  <c r="M138" i="1" s="1"/>
  <c r="L159" i="1"/>
  <c r="L180" i="1"/>
  <c r="L206" i="1"/>
  <c r="L227" i="1"/>
  <c r="L248" i="1"/>
  <c r="L274" i="1"/>
  <c r="L295" i="1"/>
  <c r="L317" i="1"/>
  <c r="L342" i="1"/>
  <c r="L363" i="1"/>
  <c r="L383" i="1"/>
  <c r="M383" i="1" s="1"/>
  <c r="L407" i="1"/>
  <c r="L427" i="1"/>
  <c r="L446" i="1"/>
  <c r="L467" i="1"/>
  <c r="L23" i="1"/>
  <c r="L48" i="1"/>
  <c r="M48" i="1" s="1"/>
  <c r="L70" i="1"/>
  <c r="L92" i="1"/>
  <c r="L116" i="1"/>
  <c r="L139" i="1"/>
  <c r="L160" i="1"/>
  <c r="L184" i="1"/>
  <c r="L207" i="1"/>
  <c r="L228" i="1"/>
  <c r="L253" i="1"/>
  <c r="L275" i="1"/>
  <c r="L296" i="1"/>
  <c r="L321" i="1"/>
  <c r="L343" i="1"/>
  <c r="L364" i="1"/>
  <c r="L387" i="1"/>
  <c r="L408" i="1"/>
  <c r="M408" i="1" s="1"/>
  <c r="L428" i="1"/>
  <c r="L447" i="1"/>
  <c r="L469" i="1"/>
  <c r="L487" i="1"/>
  <c r="K4" i="1"/>
  <c r="K22" i="1"/>
  <c r="K40" i="1"/>
  <c r="K58" i="1"/>
  <c r="K77" i="1"/>
  <c r="K94" i="1"/>
  <c r="M94" i="1" s="1"/>
  <c r="K111" i="1"/>
  <c r="K127" i="1"/>
  <c r="K143" i="1"/>
  <c r="K159" i="1"/>
  <c r="K175" i="1"/>
  <c r="K191" i="1"/>
  <c r="M191" i="1" s="1"/>
  <c r="K207" i="1"/>
  <c r="K223" i="1"/>
  <c r="K239" i="1"/>
  <c r="K255" i="1"/>
  <c r="K271" i="1"/>
  <c r="K287" i="1"/>
  <c r="K303" i="1"/>
  <c r="L33" i="1"/>
  <c r="L60" i="1"/>
  <c r="L99" i="1"/>
  <c r="L127" i="1"/>
  <c r="L163" i="1"/>
  <c r="L194" i="1"/>
  <c r="M194" i="1" s="1"/>
  <c r="L230" i="1"/>
  <c r="L261" i="1"/>
  <c r="M261" i="1" s="1"/>
  <c r="L298" i="1"/>
  <c r="M298" i="1" s="1"/>
  <c r="L328" i="1"/>
  <c r="L359" i="1"/>
  <c r="L393" i="1"/>
  <c r="L422" i="1"/>
  <c r="M422" i="1" s="1"/>
  <c r="L454" i="1"/>
  <c r="L478" i="1"/>
  <c r="K5" i="1"/>
  <c r="M5" i="1" s="1"/>
  <c r="K29" i="1"/>
  <c r="K51" i="1"/>
  <c r="K78" i="1"/>
  <c r="K99" i="1"/>
  <c r="K120" i="1"/>
  <c r="K144" i="1"/>
  <c r="K164" i="1"/>
  <c r="K184" i="1"/>
  <c r="K208" i="1"/>
  <c r="K228" i="1"/>
  <c r="K248" i="1"/>
  <c r="K272" i="1"/>
  <c r="K292" i="1"/>
  <c r="K312" i="1"/>
  <c r="K334" i="1"/>
  <c r="K353" i="1"/>
  <c r="K372" i="1"/>
  <c r="K391" i="1"/>
  <c r="M391" i="1" s="1"/>
  <c r="K410" i="1"/>
  <c r="K432" i="1"/>
  <c r="K450" i="1"/>
  <c r="K468" i="1"/>
  <c r="M468" i="1" s="1"/>
  <c r="K486" i="1"/>
  <c r="M486" i="1" s="1"/>
  <c r="L34" i="1"/>
  <c r="L61" i="1"/>
  <c r="L101" i="1"/>
  <c r="L128" i="1"/>
  <c r="L167" i="1"/>
  <c r="L195" i="1"/>
  <c r="L231" i="1"/>
  <c r="M231" i="1" s="1"/>
  <c r="L262" i="1"/>
  <c r="M262" i="1" s="1"/>
  <c r="L299" i="1"/>
  <c r="L330" i="1"/>
  <c r="M330" i="1" s="1"/>
  <c r="L365" i="1"/>
  <c r="L394" i="1"/>
  <c r="L423" i="1"/>
  <c r="L455" i="1"/>
  <c r="L479" i="1"/>
  <c r="K6" i="1"/>
  <c r="M6" i="1" s="1"/>
  <c r="K30" i="1"/>
  <c r="K52" i="1"/>
  <c r="K79" i="1"/>
  <c r="K100" i="1"/>
  <c r="K121" i="1"/>
  <c r="M121" i="1" s="1"/>
  <c r="K145" i="1"/>
  <c r="M145" i="1" s="1"/>
  <c r="K165" i="1"/>
  <c r="K185" i="1"/>
  <c r="K209" i="1"/>
  <c r="K229" i="1"/>
  <c r="K249" i="1"/>
  <c r="K273" i="1"/>
  <c r="K293" i="1"/>
  <c r="K313" i="1"/>
  <c r="K335" i="1"/>
  <c r="K354" i="1"/>
  <c r="M354" i="1" s="1"/>
  <c r="K373" i="1"/>
  <c r="K392" i="1"/>
  <c r="M392" i="1" s="1"/>
  <c r="K414" i="1"/>
  <c r="K433" i="1"/>
  <c r="M433" i="1" s="1"/>
  <c r="K451" i="1"/>
  <c r="K469" i="1"/>
  <c r="K487" i="1"/>
  <c r="L35" i="1"/>
  <c r="L71" i="1"/>
  <c r="L102" i="1"/>
  <c r="L129" i="1"/>
  <c r="L170" i="1"/>
  <c r="L196" i="1"/>
  <c r="L236" i="1"/>
  <c r="L263" i="1"/>
  <c r="L300" i="1"/>
  <c r="L331" i="1"/>
  <c r="L366" i="1"/>
  <c r="L395" i="1"/>
  <c r="L429" i="1"/>
  <c r="L456" i="1"/>
  <c r="L482" i="1"/>
  <c r="M482" i="1" s="1"/>
  <c r="K7" i="1"/>
  <c r="M7" i="1" s="1"/>
  <c r="K31" i="1"/>
  <c r="K53" i="1"/>
  <c r="K80" i="1"/>
  <c r="K101" i="1"/>
  <c r="K122" i="1"/>
  <c r="K146" i="1"/>
  <c r="K166" i="1"/>
  <c r="K186" i="1"/>
  <c r="M186" i="1" s="1"/>
  <c r="K210" i="1"/>
  <c r="K230" i="1"/>
  <c r="K250" i="1"/>
  <c r="K274" i="1"/>
  <c r="K294" i="1"/>
  <c r="K314" i="1"/>
  <c r="K336" i="1"/>
  <c r="K355" i="1"/>
  <c r="K374" i="1"/>
  <c r="K393" i="1"/>
  <c r="K415" i="1"/>
  <c r="K434" i="1"/>
  <c r="M434" i="1" s="1"/>
  <c r="K452" i="1"/>
  <c r="K470" i="1"/>
  <c r="K488" i="1"/>
  <c r="L4" i="1"/>
  <c r="L37" i="1"/>
  <c r="L74" i="1"/>
  <c r="L104" i="1"/>
  <c r="L141" i="1"/>
  <c r="L172" i="1"/>
  <c r="L208" i="1"/>
  <c r="L239" i="1"/>
  <c r="L266" i="1"/>
  <c r="M266" i="1" s="1"/>
  <c r="L306" i="1"/>
  <c r="M306" i="1" s="1"/>
  <c r="L333" i="1"/>
  <c r="L371" i="1"/>
  <c r="L397" i="1"/>
  <c r="L431" i="1"/>
  <c r="L458" i="1"/>
  <c r="L488" i="1"/>
  <c r="K9" i="1"/>
  <c r="M9" i="1" s="1"/>
  <c r="K33" i="1"/>
  <c r="K61" i="1"/>
  <c r="K82" i="1"/>
  <c r="M82" i="1" s="1"/>
  <c r="K103" i="1"/>
  <c r="M103" i="1" s="1"/>
  <c r="K128" i="1"/>
  <c r="M128" i="1" s="1"/>
  <c r="K148" i="1"/>
  <c r="K168" i="1"/>
  <c r="K192" i="1"/>
  <c r="K212" i="1"/>
  <c r="M212" i="1" s="1"/>
  <c r="K232" i="1"/>
  <c r="K256" i="1"/>
  <c r="K276" i="1"/>
  <c r="K296" i="1"/>
  <c r="K319" i="1"/>
  <c r="M319" i="1" s="1"/>
  <c r="K338" i="1"/>
  <c r="K357" i="1"/>
  <c r="K376" i="1"/>
  <c r="K398" i="1"/>
  <c r="K417" i="1"/>
  <c r="K436" i="1"/>
  <c r="K454" i="1"/>
  <c r="K472" i="1"/>
  <c r="K490" i="1"/>
  <c r="M490" i="1" s="1"/>
  <c r="L24" i="1"/>
  <c r="L55" i="1"/>
  <c r="L86" i="1"/>
  <c r="M86" i="1" s="1"/>
  <c r="L123" i="1"/>
  <c r="L154" i="1"/>
  <c r="L190" i="1"/>
  <c r="M190" i="1" s="1"/>
  <c r="L221" i="1"/>
  <c r="L257" i="1"/>
  <c r="M257" i="1" s="1"/>
  <c r="L287" i="1"/>
  <c r="L324" i="1"/>
  <c r="L351" i="1"/>
  <c r="M351" i="1" s="1"/>
  <c r="L389" i="1"/>
  <c r="L414" i="1"/>
  <c r="L442" i="1"/>
  <c r="M442" i="1" s="1"/>
  <c r="L474" i="1"/>
  <c r="L498" i="1"/>
  <c r="K23" i="1"/>
  <c r="K47" i="1"/>
  <c r="K69" i="1"/>
  <c r="L26" i="1"/>
  <c r="L76" i="1"/>
  <c r="L122" i="1"/>
  <c r="L173" i="1"/>
  <c r="L214" i="1"/>
  <c r="M214" i="1" s="1"/>
  <c r="L264" i="1"/>
  <c r="L311" i="1"/>
  <c r="L358" i="1"/>
  <c r="M358" i="1" s="1"/>
  <c r="L410" i="1"/>
  <c r="L451" i="1"/>
  <c r="L491" i="1"/>
  <c r="K24" i="1"/>
  <c r="K63" i="1"/>
  <c r="K93" i="1"/>
  <c r="M93" i="1" s="1"/>
  <c r="K119" i="1"/>
  <c r="M119" i="1" s="1"/>
  <c r="K151" i="1"/>
  <c r="K179" i="1"/>
  <c r="M179" i="1" s="1"/>
  <c r="K206" i="1"/>
  <c r="K238" i="1"/>
  <c r="M238" i="1" s="1"/>
  <c r="K263" i="1"/>
  <c r="K291" i="1"/>
  <c r="M291" i="1" s="1"/>
  <c r="K322" i="1"/>
  <c r="M322" i="1" s="1"/>
  <c r="K345" i="1"/>
  <c r="K371" i="1"/>
  <c r="K401" i="1"/>
  <c r="M401" i="1" s="1"/>
  <c r="K424" i="1"/>
  <c r="K449" i="1"/>
  <c r="K477" i="1"/>
  <c r="K499" i="1"/>
  <c r="M499" i="1" s="1"/>
  <c r="L27" i="1"/>
  <c r="L77" i="1"/>
  <c r="L124" i="1"/>
  <c r="L174" i="1"/>
  <c r="L219" i="1"/>
  <c r="L276" i="1"/>
  <c r="L312" i="1"/>
  <c r="L367" i="1"/>
  <c r="L411" i="1"/>
  <c r="L453" i="1"/>
  <c r="L492" i="1"/>
  <c r="K25" i="1"/>
  <c r="K64" i="1"/>
  <c r="K95" i="1"/>
  <c r="M95" i="1" s="1"/>
  <c r="K126" i="1"/>
  <c r="K152" i="1"/>
  <c r="K180" i="1"/>
  <c r="K211" i="1"/>
  <c r="K240" i="1"/>
  <c r="M240" i="1" s="1"/>
  <c r="K264" i="1"/>
  <c r="K295" i="1"/>
  <c r="K323" i="1"/>
  <c r="K346" i="1"/>
  <c r="K375" i="1"/>
  <c r="K402" i="1"/>
  <c r="K425" i="1"/>
  <c r="K453" i="1"/>
  <c r="K478" i="1"/>
  <c r="K500" i="1"/>
  <c r="L31" i="1"/>
  <c r="L78" i="1"/>
  <c r="L125" i="1"/>
  <c r="L175" i="1"/>
  <c r="L222" i="1"/>
  <c r="L277" i="1"/>
  <c r="L323" i="1"/>
  <c r="L373" i="1"/>
  <c r="L412" i="1"/>
  <c r="L457" i="1"/>
  <c r="L493" i="1"/>
  <c r="M493" i="1" s="1"/>
  <c r="K26" i="1"/>
  <c r="K65" i="1"/>
  <c r="K96" i="1"/>
  <c r="K129" i="1"/>
  <c r="K153" i="1"/>
  <c r="M153" i="1" s="1"/>
  <c r="K181" i="1"/>
  <c r="K213" i="1"/>
  <c r="M213" i="1" s="1"/>
  <c r="K241" i="1"/>
  <c r="M241" i="1" s="1"/>
  <c r="K265" i="1"/>
  <c r="K297" i="1"/>
  <c r="K324" i="1"/>
  <c r="K350" i="1"/>
  <c r="K377" i="1"/>
  <c r="M377" i="1" s="1"/>
  <c r="K403" i="1"/>
  <c r="K426" i="1"/>
  <c r="M426" i="1" s="1"/>
  <c r="K455" i="1"/>
  <c r="M455" i="1" s="1"/>
  <c r="K479" i="1"/>
  <c r="M479" i="1" s="1"/>
  <c r="K501" i="1"/>
  <c r="L38" i="1"/>
  <c r="L84" i="1"/>
  <c r="M84" i="1" s="1"/>
  <c r="L140" i="1"/>
  <c r="L187" i="1"/>
  <c r="L229" i="1"/>
  <c r="L279" i="1"/>
  <c r="L326" i="1"/>
  <c r="L375" i="1"/>
  <c r="L415" i="1"/>
  <c r="L460" i="1"/>
  <c r="L495" i="1"/>
  <c r="K34" i="1"/>
  <c r="K67" i="1"/>
  <c r="K98" i="1"/>
  <c r="K131" i="1"/>
  <c r="K158" i="1"/>
  <c r="M158" i="1" s="1"/>
  <c r="K183" i="1"/>
  <c r="M183" i="1" s="1"/>
  <c r="K215" i="1"/>
  <c r="M215" i="1" s="1"/>
  <c r="K243" i="1"/>
  <c r="K270" i="1"/>
  <c r="K302" i="1"/>
  <c r="K326" i="1"/>
  <c r="K352" i="1"/>
  <c r="K382" i="1"/>
  <c r="K405" i="1"/>
  <c r="M405" i="1" s="1"/>
  <c r="K431" i="1"/>
  <c r="K457" i="1"/>
  <c r="K481" i="1"/>
  <c r="M481" i="1" s="1"/>
  <c r="K2" i="1"/>
  <c r="M2" i="1" s="1"/>
  <c r="L12" i="1"/>
  <c r="L58" i="1"/>
  <c r="L108" i="1"/>
  <c r="L155" i="1"/>
  <c r="L210" i="1"/>
  <c r="L256" i="1"/>
  <c r="L307" i="1"/>
  <c r="M307" i="1" s="1"/>
  <c r="L349" i="1"/>
  <c r="L396" i="1"/>
  <c r="L439" i="1"/>
  <c r="L477" i="1"/>
  <c r="K15" i="1"/>
  <c r="K49" i="1"/>
  <c r="K85" i="1"/>
  <c r="M85" i="1" s="1"/>
  <c r="K115" i="1"/>
  <c r="K142" i="1"/>
  <c r="K174" i="1"/>
  <c r="K199" i="1"/>
  <c r="K227" i="1"/>
  <c r="K259" i="1"/>
  <c r="K286" i="1"/>
  <c r="K311" i="1"/>
  <c r="K341" i="1"/>
  <c r="K367" i="1"/>
  <c r="K390" i="1"/>
  <c r="M390" i="1" s="1"/>
  <c r="K420" i="1"/>
  <c r="K445" i="1"/>
  <c r="K467" i="1"/>
  <c r="K495" i="1"/>
  <c r="L53" i="1"/>
  <c r="L120" i="1"/>
  <c r="L192" i="1"/>
  <c r="L259" i="1"/>
  <c r="L334" i="1"/>
  <c r="L398" i="1"/>
  <c r="L470" i="1"/>
  <c r="K14" i="1"/>
  <c r="K68" i="1"/>
  <c r="K113" i="1"/>
  <c r="K154" i="1"/>
  <c r="K196" i="1"/>
  <c r="K234" i="1"/>
  <c r="K279" i="1"/>
  <c r="K320" i="1"/>
  <c r="K359" i="1"/>
  <c r="K394" i="1"/>
  <c r="K437" i="1"/>
  <c r="M437" i="1" s="1"/>
  <c r="K466" i="1"/>
  <c r="L54" i="1"/>
  <c r="L126" i="1"/>
  <c r="L193" i="1"/>
  <c r="M193" i="1" s="1"/>
  <c r="L260" i="1"/>
  <c r="L344" i="1"/>
  <c r="M344" i="1" s="1"/>
  <c r="L399" i="1"/>
  <c r="L471" i="1"/>
  <c r="K16" i="1"/>
  <c r="K70" i="1"/>
  <c r="K114" i="1"/>
  <c r="K160" i="1"/>
  <c r="K197" i="1"/>
  <c r="K242" i="1"/>
  <c r="K280" i="1"/>
  <c r="K321" i="1"/>
  <c r="K360" i="1"/>
  <c r="K399" i="1"/>
  <c r="K438" i="1"/>
  <c r="K471" i="1"/>
  <c r="L56" i="1"/>
  <c r="L142" i="1"/>
  <c r="L197" i="1"/>
  <c r="L278" i="1"/>
  <c r="L346" i="1"/>
  <c r="L409" i="1"/>
  <c r="M409" i="1" s="1"/>
  <c r="L472" i="1"/>
  <c r="K17" i="1"/>
  <c r="M17" i="1" s="1"/>
  <c r="K71" i="1"/>
  <c r="M71" i="1" s="1"/>
  <c r="K116" i="1"/>
  <c r="K161" i="1"/>
  <c r="K198" i="1"/>
  <c r="K244" i="1"/>
  <c r="K281" i="1"/>
  <c r="K325" i="1"/>
  <c r="M325" i="1" s="1"/>
  <c r="K361" i="1"/>
  <c r="K400" i="1"/>
  <c r="K439" i="1"/>
  <c r="K473" i="1"/>
  <c r="L59" i="1"/>
  <c r="L143" i="1"/>
  <c r="L209" i="1"/>
  <c r="L280" i="1"/>
  <c r="L347" i="1"/>
  <c r="L413" i="1"/>
  <c r="L473" i="1"/>
  <c r="K21" i="1"/>
  <c r="M21" i="1" s="1"/>
  <c r="K76" i="1"/>
  <c r="K117" i="1"/>
  <c r="M117" i="1" s="1"/>
  <c r="K162" i="1"/>
  <c r="K200" i="1"/>
  <c r="M200" i="1" s="1"/>
  <c r="K245" i="1"/>
  <c r="M245" i="1" s="1"/>
  <c r="K282" i="1"/>
  <c r="K327" i="1"/>
  <c r="M327" i="1" s="1"/>
  <c r="K362" i="1"/>
  <c r="K404" i="1"/>
  <c r="K440" i="1"/>
  <c r="K474" i="1"/>
  <c r="L3" i="1"/>
  <c r="M3" i="1" s="1"/>
  <c r="L72" i="1"/>
  <c r="L144" i="1"/>
  <c r="L211" i="1"/>
  <c r="L282" i="1"/>
  <c r="L348" i="1"/>
  <c r="L419" i="1"/>
  <c r="M419" i="1" s="1"/>
  <c r="L475" i="1"/>
  <c r="K32" i="1"/>
  <c r="M32" i="1" s="1"/>
  <c r="K81" i="1"/>
  <c r="M81" i="1" s="1"/>
  <c r="K118" i="1"/>
  <c r="M118" i="1" s="1"/>
  <c r="K163" i="1"/>
  <c r="K201" i="1"/>
  <c r="K246" i="1"/>
  <c r="K288" i="1"/>
  <c r="K328" i="1"/>
  <c r="K366" i="1"/>
  <c r="K406" i="1"/>
  <c r="K441" i="1"/>
  <c r="K480" i="1"/>
  <c r="M480" i="1" s="1"/>
  <c r="K484" i="1"/>
  <c r="M484" i="1" s="1"/>
  <c r="K423" i="1"/>
  <c r="K378" i="1"/>
  <c r="M378" i="1" s="1"/>
  <c r="K310" i="1"/>
  <c r="K260" i="1"/>
  <c r="K195" i="1"/>
  <c r="K136" i="1"/>
  <c r="K83" i="1"/>
  <c r="L500" i="1"/>
  <c r="L430" i="1"/>
  <c r="M430" i="1" s="1"/>
  <c r="L310" i="1"/>
  <c r="L223" i="1"/>
  <c r="L107" i="1"/>
  <c r="L16" i="1"/>
  <c r="K458" i="1"/>
  <c r="K407" i="1"/>
  <c r="K343" i="1"/>
  <c r="K290" i="1"/>
  <c r="M290" i="1" s="1"/>
  <c r="K225" i="1"/>
  <c r="K170" i="1"/>
  <c r="M170" i="1" s="1"/>
  <c r="K105" i="1"/>
  <c r="K42" i="1"/>
  <c r="L459" i="1"/>
  <c r="L376" i="1"/>
  <c r="L258" i="1"/>
  <c r="M258" i="1" s="1"/>
  <c r="L162" i="1"/>
  <c r="L75" i="1"/>
  <c r="K498" i="1"/>
  <c r="M498" i="1" s="1"/>
  <c r="K389" i="1"/>
  <c r="K224" i="1"/>
  <c r="K104" i="1"/>
  <c r="L374" i="1"/>
  <c r="L161" i="1"/>
  <c r="K497" i="1"/>
  <c r="K448" i="1"/>
  <c r="K388" i="1"/>
  <c r="M388" i="1" s="1"/>
  <c r="K340" i="1"/>
  <c r="K278" i="1"/>
  <c r="K222" i="1"/>
  <c r="K167" i="1"/>
  <c r="K102" i="1"/>
  <c r="K39" i="1"/>
  <c r="L441" i="1"/>
  <c r="L357" i="1"/>
  <c r="L244" i="1"/>
  <c r="L152" i="1"/>
  <c r="L51" i="1"/>
  <c r="K342" i="1"/>
  <c r="M342" i="1" s="1"/>
  <c r="L450" i="1"/>
  <c r="K496" i="1"/>
  <c r="K447" i="1"/>
  <c r="K387" i="1"/>
  <c r="M387" i="1" s="1"/>
  <c r="K339" i="1"/>
  <c r="K277" i="1"/>
  <c r="K218" i="1"/>
  <c r="K150" i="1"/>
  <c r="K97" i="1"/>
  <c r="K35" i="1"/>
  <c r="L440" i="1"/>
  <c r="L355" i="1"/>
  <c r="L243" i="1"/>
  <c r="L150" i="1"/>
  <c r="L50" i="1"/>
  <c r="M50" i="1" s="1"/>
  <c r="K456" i="1"/>
  <c r="K289" i="1"/>
  <c r="M289" i="1" s="1"/>
  <c r="K169" i="1"/>
  <c r="K41" i="1"/>
  <c r="L255" i="1"/>
  <c r="L52" i="1"/>
  <c r="K494" i="1"/>
  <c r="M494" i="1" s="1"/>
  <c r="K446" i="1"/>
  <c r="K386" i="1"/>
  <c r="K337" i="1"/>
  <c r="K275" i="1"/>
  <c r="K217" i="1"/>
  <c r="K149" i="1"/>
  <c r="K88" i="1"/>
  <c r="K13" i="1"/>
  <c r="L438" i="1"/>
  <c r="L350" i="1"/>
  <c r="L242" i="1"/>
  <c r="L146" i="1"/>
  <c r="L39" i="1"/>
  <c r="B223" i="1"/>
  <c r="C244" i="1"/>
  <c r="D231" i="1"/>
  <c r="B412" i="1"/>
  <c r="B151" i="1"/>
  <c r="C243" i="1"/>
  <c r="D225" i="1"/>
  <c r="B216" i="1"/>
  <c r="C420" i="1"/>
  <c r="C169" i="1"/>
  <c r="D449" i="1"/>
  <c r="D75" i="1"/>
  <c r="B480" i="1"/>
  <c r="B447" i="1"/>
  <c r="B410" i="1"/>
  <c r="B367" i="1"/>
  <c r="B324" i="1"/>
  <c r="B271" i="1"/>
  <c r="B215" i="1"/>
  <c r="B149" i="1"/>
  <c r="B87" i="1"/>
  <c r="B34" i="1"/>
  <c r="C470" i="1"/>
  <c r="C419" i="1"/>
  <c r="C357" i="1"/>
  <c r="C291" i="1"/>
  <c r="C235" i="1"/>
  <c r="C167" i="1"/>
  <c r="C91" i="1"/>
  <c r="C23" i="1"/>
  <c r="D448" i="1"/>
  <c r="D376" i="1"/>
  <c r="D299" i="1"/>
  <c r="D223" i="1"/>
  <c r="D151" i="1"/>
  <c r="D74" i="1"/>
  <c r="B479" i="1"/>
  <c r="B446" i="1"/>
  <c r="B408" i="1"/>
  <c r="B366" i="1"/>
  <c r="B323" i="1"/>
  <c r="B270" i="1"/>
  <c r="B213" i="1"/>
  <c r="B146" i="1"/>
  <c r="B85" i="1"/>
  <c r="B24" i="1"/>
  <c r="C469" i="1"/>
  <c r="C413" i="1"/>
  <c r="C346" i="1"/>
  <c r="C285" i="1"/>
  <c r="C234" i="1"/>
  <c r="C164" i="1"/>
  <c r="C87" i="1"/>
  <c r="C11" i="1"/>
  <c r="D439" i="1"/>
  <c r="D362" i="1"/>
  <c r="D295" i="1"/>
  <c r="D219" i="1"/>
  <c r="D143" i="1"/>
  <c r="D71" i="1"/>
  <c r="B478" i="1"/>
  <c r="B440" i="1"/>
  <c r="B406" i="1"/>
  <c r="B365" i="1"/>
  <c r="B322" i="1"/>
  <c r="B263" i="1"/>
  <c r="B197" i="1"/>
  <c r="B145" i="1"/>
  <c r="B79" i="1"/>
  <c r="B23" i="1"/>
  <c r="C468" i="1"/>
  <c r="C396" i="1"/>
  <c r="C345" i="1"/>
  <c r="C284" i="1"/>
  <c r="C233" i="1"/>
  <c r="C163" i="1"/>
  <c r="C86" i="1"/>
  <c r="C10" i="1"/>
  <c r="D433" i="1"/>
  <c r="D361" i="1"/>
  <c r="D285" i="1"/>
  <c r="D217" i="1"/>
  <c r="D142" i="1"/>
  <c r="D65" i="1"/>
  <c r="B413" i="1"/>
  <c r="B40" i="1"/>
  <c r="D303" i="1"/>
  <c r="B327" i="1"/>
  <c r="C473" i="1"/>
  <c r="D302" i="1"/>
  <c r="B378" i="1"/>
  <c r="C471" i="1"/>
  <c r="D301" i="1"/>
  <c r="B321" i="1"/>
  <c r="B22" i="1"/>
  <c r="C231" i="1"/>
  <c r="D283" i="1"/>
  <c r="B363" i="1"/>
  <c r="B72" i="1"/>
  <c r="C282" i="1"/>
  <c r="D282" i="1"/>
  <c r="B304" i="1"/>
  <c r="C393" i="1"/>
  <c r="C61" i="1"/>
  <c r="D270" i="1"/>
  <c r="B393" i="1"/>
  <c r="B120" i="1"/>
  <c r="C324" i="1"/>
  <c r="C60" i="1"/>
  <c r="D267" i="1"/>
  <c r="B302" i="1"/>
  <c r="B68" i="1"/>
  <c r="C389" i="1"/>
  <c r="C135" i="1"/>
  <c r="D410" i="1"/>
  <c r="D257" i="1"/>
  <c r="B118" i="1"/>
  <c r="D256" i="1"/>
  <c r="B427" i="1"/>
  <c r="B385" i="1"/>
  <c r="B352" i="1"/>
  <c r="B294" i="1"/>
  <c r="B229" i="1"/>
  <c r="B177" i="1"/>
  <c r="B117" i="1"/>
  <c r="B65" i="1"/>
  <c r="C499" i="1"/>
  <c r="C438" i="1"/>
  <c r="C387" i="1"/>
  <c r="C316" i="1"/>
  <c r="C265" i="1"/>
  <c r="C196" i="1"/>
  <c r="C131" i="1"/>
  <c r="C54" i="1"/>
  <c r="D478" i="1"/>
  <c r="D401" i="1"/>
  <c r="D329" i="1"/>
  <c r="D253" i="1"/>
  <c r="D176" i="1"/>
  <c r="D104" i="1"/>
  <c r="D27" i="1"/>
  <c r="B454" i="1"/>
  <c r="B380" i="1"/>
  <c r="B280" i="1"/>
  <c r="B101" i="1"/>
  <c r="C490" i="1"/>
  <c r="C362" i="1"/>
  <c r="C105" i="1"/>
  <c r="D456" i="1"/>
  <c r="D379" i="1"/>
  <c r="D154" i="1"/>
  <c r="B449" i="1"/>
  <c r="B273" i="1"/>
  <c r="B100" i="1"/>
  <c r="C361" i="1"/>
  <c r="C103" i="1"/>
  <c r="D455" i="1"/>
  <c r="D77" i="1"/>
  <c r="B448" i="1"/>
  <c r="B272" i="1"/>
  <c r="B37" i="1"/>
  <c r="C307" i="1"/>
  <c r="C101" i="1"/>
  <c r="D377" i="1"/>
  <c r="B476" i="1"/>
  <c r="B364" i="1"/>
  <c r="B144" i="1"/>
  <c r="C343" i="1"/>
  <c r="C9" i="1"/>
  <c r="D139" i="1"/>
  <c r="B400" i="1"/>
  <c r="B194" i="1"/>
  <c r="C460" i="1"/>
  <c r="C214" i="1"/>
  <c r="C7" i="1"/>
  <c r="D359" i="1"/>
  <c r="D62" i="1"/>
  <c r="B432" i="1"/>
  <c r="B193" i="1"/>
  <c r="B14" i="1"/>
  <c r="C213" i="1"/>
  <c r="D413" i="1"/>
  <c r="D45" i="1"/>
  <c r="B360" i="1"/>
  <c r="B192" i="1"/>
  <c r="C452" i="1"/>
  <c r="C137" i="1"/>
  <c r="D120" i="1"/>
  <c r="B472" i="1"/>
  <c r="B358" i="1"/>
  <c r="B119" i="1"/>
  <c r="C323" i="1"/>
  <c r="D487" i="1"/>
  <c r="D119" i="1"/>
  <c r="B461" i="1"/>
  <c r="B353" i="1"/>
  <c r="B178" i="1"/>
  <c r="C439" i="1"/>
  <c r="C388" i="1"/>
  <c r="C202" i="1"/>
  <c r="C134" i="1"/>
  <c r="D481" i="1"/>
  <c r="D333" i="1"/>
  <c r="D41" i="1"/>
  <c r="B496" i="1"/>
  <c r="B426" i="1"/>
  <c r="B293" i="1"/>
  <c r="B228" i="1"/>
  <c r="B176" i="1"/>
  <c r="B116" i="1"/>
  <c r="B48" i="1"/>
  <c r="C493" i="1"/>
  <c r="C437" i="1"/>
  <c r="C380" i="1"/>
  <c r="C315" i="1"/>
  <c r="C252" i="1"/>
  <c r="C195" i="1"/>
  <c r="C124" i="1"/>
  <c r="C53" i="1"/>
  <c r="D477" i="1"/>
  <c r="D400" i="1"/>
  <c r="D328" i="1"/>
  <c r="D251" i="1"/>
  <c r="D175" i="1"/>
  <c r="D103" i="1"/>
  <c r="D2" i="1"/>
  <c r="D18" i="1"/>
  <c r="D34" i="1"/>
  <c r="D50" i="1"/>
  <c r="D66" i="1"/>
  <c r="D82" i="1"/>
  <c r="D98" i="1"/>
  <c r="D114" i="1"/>
  <c r="D130" i="1"/>
  <c r="D146" i="1"/>
  <c r="D162" i="1"/>
  <c r="D178" i="1"/>
  <c r="D194" i="1"/>
  <c r="D210" i="1"/>
  <c r="D226" i="1"/>
  <c r="D242" i="1"/>
  <c r="D258" i="1"/>
  <c r="D274" i="1"/>
  <c r="D290" i="1"/>
  <c r="D306" i="1"/>
  <c r="D322" i="1"/>
  <c r="D338" i="1"/>
  <c r="D354" i="1"/>
  <c r="D370" i="1"/>
  <c r="D386" i="1"/>
  <c r="D402" i="1"/>
  <c r="D418" i="1"/>
  <c r="D434" i="1"/>
  <c r="D450" i="1"/>
  <c r="D466" i="1"/>
  <c r="D482" i="1"/>
  <c r="D498" i="1"/>
  <c r="C14" i="1"/>
  <c r="C30" i="1"/>
  <c r="C46" i="1"/>
  <c r="C62" i="1"/>
  <c r="C78" i="1"/>
  <c r="C94" i="1"/>
  <c r="C110" i="1"/>
  <c r="C126" i="1"/>
  <c r="C142" i="1"/>
  <c r="C158" i="1"/>
  <c r="C174" i="1"/>
  <c r="C190" i="1"/>
  <c r="C206" i="1"/>
  <c r="C222" i="1"/>
  <c r="C238" i="1"/>
  <c r="C254" i="1"/>
  <c r="C270" i="1"/>
  <c r="C286" i="1"/>
  <c r="C302" i="1"/>
  <c r="C318" i="1"/>
  <c r="C334" i="1"/>
  <c r="C350" i="1"/>
  <c r="C366" i="1"/>
  <c r="C382" i="1"/>
  <c r="C398" i="1"/>
  <c r="C414" i="1"/>
  <c r="C430" i="1"/>
  <c r="C446" i="1"/>
  <c r="C462" i="1"/>
  <c r="C478" i="1"/>
  <c r="C494" i="1"/>
  <c r="B9" i="1"/>
  <c r="B25" i="1"/>
  <c r="B41" i="1"/>
  <c r="B57" i="1"/>
  <c r="B73" i="1"/>
  <c r="B89" i="1"/>
  <c r="B105" i="1"/>
  <c r="B121" i="1"/>
  <c r="B137" i="1"/>
  <c r="B153" i="1"/>
  <c r="B169" i="1"/>
  <c r="B185" i="1"/>
  <c r="B201" i="1"/>
  <c r="B217" i="1"/>
  <c r="B233" i="1"/>
  <c r="B249" i="1"/>
  <c r="B265" i="1"/>
  <c r="B281" i="1"/>
  <c r="B297" i="1"/>
  <c r="B313" i="1"/>
  <c r="B329" i="1"/>
  <c r="B345" i="1"/>
  <c r="D3" i="1"/>
  <c r="D19" i="1"/>
  <c r="D35" i="1"/>
  <c r="D51" i="1"/>
  <c r="D67" i="1"/>
  <c r="D83" i="1"/>
  <c r="D99" i="1"/>
  <c r="D115" i="1"/>
  <c r="D131" i="1"/>
  <c r="D147" i="1"/>
  <c r="D163" i="1"/>
  <c r="D179" i="1"/>
  <c r="D195" i="1"/>
  <c r="D211" i="1"/>
  <c r="D227" i="1"/>
  <c r="D243" i="1"/>
  <c r="D259" i="1"/>
  <c r="D275" i="1"/>
  <c r="D291" i="1"/>
  <c r="D307" i="1"/>
  <c r="D323" i="1"/>
  <c r="D339" i="1"/>
  <c r="D355" i="1"/>
  <c r="D371" i="1"/>
  <c r="D387" i="1"/>
  <c r="D403" i="1"/>
  <c r="D419" i="1"/>
  <c r="D435" i="1"/>
  <c r="D451" i="1"/>
  <c r="D467" i="1"/>
  <c r="D483" i="1"/>
  <c r="D499" i="1"/>
  <c r="C15" i="1"/>
  <c r="C31" i="1"/>
  <c r="C47" i="1"/>
  <c r="C63" i="1"/>
  <c r="C79" i="1"/>
  <c r="C95" i="1"/>
  <c r="C111" i="1"/>
  <c r="C127" i="1"/>
  <c r="C143" i="1"/>
  <c r="C159" i="1"/>
  <c r="C175" i="1"/>
  <c r="C191" i="1"/>
  <c r="C207" i="1"/>
  <c r="C223" i="1"/>
  <c r="C239" i="1"/>
  <c r="C255" i="1"/>
  <c r="C271" i="1"/>
  <c r="C287" i="1"/>
  <c r="C303" i="1"/>
  <c r="C319" i="1"/>
  <c r="C335" i="1"/>
  <c r="C351" i="1"/>
  <c r="C367" i="1"/>
  <c r="C383" i="1"/>
  <c r="C399" i="1"/>
  <c r="C415" i="1"/>
  <c r="C431" i="1"/>
  <c r="C447" i="1"/>
  <c r="C463" i="1"/>
  <c r="C479" i="1"/>
  <c r="C495" i="1"/>
  <c r="B10" i="1"/>
  <c r="B26" i="1"/>
  <c r="B42" i="1"/>
  <c r="B58" i="1"/>
  <c r="B74" i="1"/>
  <c r="B90" i="1"/>
  <c r="B106" i="1"/>
  <c r="B122" i="1"/>
  <c r="B138" i="1"/>
  <c r="B154" i="1"/>
  <c r="B170" i="1"/>
  <c r="B186" i="1"/>
  <c r="B202" i="1"/>
  <c r="B218" i="1"/>
  <c r="B234" i="1"/>
  <c r="B250" i="1"/>
  <c r="B266" i="1"/>
  <c r="B282" i="1"/>
  <c r="B298" i="1"/>
  <c r="B314" i="1"/>
  <c r="B330" i="1"/>
  <c r="B346" i="1"/>
  <c r="D4" i="1"/>
  <c r="D20" i="1"/>
  <c r="D36" i="1"/>
  <c r="D52" i="1"/>
  <c r="D68" i="1"/>
  <c r="D84" i="1"/>
  <c r="D100" i="1"/>
  <c r="D116" i="1"/>
  <c r="D132" i="1"/>
  <c r="D148" i="1"/>
  <c r="D164" i="1"/>
  <c r="D180" i="1"/>
  <c r="D196" i="1"/>
  <c r="D212" i="1"/>
  <c r="D228" i="1"/>
  <c r="D244" i="1"/>
  <c r="D260" i="1"/>
  <c r="D276" i="1"/>
  <c r="D292" i="1"/>
  <c r="D308" i="1"/>
  <c r="D324" i="1"/>
  <c r="D340" i="1"/>
  <c r="D356" i="1"/>
  <c r="D372" i="1"/>
  <c r="D388" i="1"/>
  <c r="D404" i="1"/>
  <c r="D420" i="1"/>
  <c r="D436" i="1"/>
  <c r="D452" i="1"/>
  <c r="D468" i="1"/>
  <c r="D484" i="1"/>
  <c r="D500" i="1"/>
  <c r="C16" i="1"/>
  <c r="C32" i="1"/>
  <c r="C48" i="1"/>
  <c r="C64" i="1"/>
  <c r="C80" i="1"/>
  <c r="C96" i="1"/>
  <c r="C112" i="1"/>
  <c r="C128" i="1"/>
  <c r="C144" i="1"/>
  <c r="C160" i="1"/>
  <c r="C176" i="1"/>
  <c r="C192" i="1"/>
  <c r="C208" i="1"/>
  <c r="C224" i="1"/>
  <c r="C240" i="1"/>
  <c r="C256" i="1"/>
  <c r="C272" i="1"/>
  <c r="C288" i="1"/>
  <c r="C304" i="1"/>
  <c r="C320" i="1"/>
  <c r="C336" i="1"/>
  <c r="C352" i="1"/>
  <c r="C368" i="1"/>
  <c r="C384" i="1"/>
  <c r="C400" i="1"/>
  <c r="C416" i="1"/>
  <c r="C432" i="1"/>
  <c r="C448" i="1"/>
  <c r="C464" i="1"/>
  <c r="C480" i="1"/>
  <c r="C496" i="1"/>
  <c r="B11" i="1"/>
  <c r="B27" i="1"/>
  <c r="B43" i="1"/>
  <c r="B59" i="1"/>
  <c r="B75" i="1"/>
  <c r="B91" i="1"/>
  <c r="B107" i="1"/>
  <c r="B123" i="1"/>
  <c r="B139" i="1"/>
  <c r="B155" i="1"/>
  <c r="B171" i="1"/>
  <c r="B187" i="1"/>
  <c r="B203" i="1"/>
  <c r="B219" i="1"/>
  <c r="B235" i="1"/>
  <c r="B251" i="1"/>
  <c r="B267" i="1"/>
  <c r="B283" i="1"/>
  <c r="B299" i="1"/>
  <c r="B315" i="1"/>
  <c r="B331" i="1"/>
  <c r="B347" i="1"/>
  <c r="D5" i="1"/>
  <c r="D21" i="1"/>
  <c r="D37" i="1"/>
  <c r="D53" i="1"/>
  <c r="D69" i="1"/>
  <c r="D85" i="1"/>
  <c r="D101" i="1"/>
  <c r="D117" i="1"/>
  <c r="D133" i="1"/>
  <c r="D149" i="1"/>
  <c r="D165" i="1"/>
  <c r="D181" i="1"/>
  <c r="D197" i="1"/>
  <c r="D213" i="1"/>
  <c r="D229" i="1"/>
  <c r="D245" i="1"/>
  <c r="D261" i="1"/>
  <c r="D277" i="1"/>
  <c r="D293" i="1"/>
  <c r="D309" i="1"/>
  <c r="D325" i="1"/>
  <c r="D341" i="1"/>
  <c r="D357" i="1"/>
  <c r="D373" i="1"/>
  <c r="D389" i="1"/>
  <c r="D405" i="1"/>
  <c r="D421" i="1"/>
  <c r="D437" i="1"/>
  <c r="D453" i="1"/>
  <c r="D469" i="1"/>
  <c r="D485" i="1"/>
  <c r="D501" i="1"/>
  <c r="C17" i="1"/>
  <c r="C33" i="1"/>
  <c r="C49" i="1"/>
  <c r="C65" i="1"/>
  <c r="C81" i="1"/>
  <c r="C97" i="1"/>
  <c r="C113" i="1"/>
  <c r="C129" i="1"/>
  <c r="C145" i="1"/>
  <c r="C161" i="1"/>
  <c r="C177" i="1"/>
  <c r="C193" i="1"/>
  <c r="C209" i="1"/>
  <c r="C225" i="1"/>
  <c r="C241" i="1"/>
  <c r="C257" i="1"/>
  <c r="C273" i="1"/>
  <c r="C289" i="1"/>
  <c r="C305" i="1"/>
  <c r="C321" i="1"/>
  <c r="C337" i="1"/>
  <c r="C353" i="1"/>
  <c r="C369" i="1"/>
  <c r="C385" i="1"/>
  <c r="C401" i="1"/>
  <c r="C417" i="1"/>
  <c r="C433" i="1"/>
  <c r="C449" i="1"/>
  <c r="C465" i="1"/>
  <c r="C481" i="1"/>
  <c r="C497" i="1"/>
  <c r="B12" i="1"/>
  <c r="B28" i="1"/>
  <c r="B44" i="1"/>
  <c r="B60" i="1"/>
  <c r="B76" i="1"/>
  <c r="B92" i="1"/>
  <c r="B108" i="1"/>
  <c r="B124" i="1"/>
  <c r="B140" i="1"/>
  <c r="B156" i="1"/>
  <c r="B172" i="1"/>
  <c r="B188" i="1"/>
  <c r="B204" i="1"/>
  <c r="B220" i="1"/>
  <c r="B236" i="1"/>
  <c r="B252" i="1"/>
  <c r="B268" i="1"/>
  <c r="B284" i="1"/>
  <c r="B300" i="1"/>
  <c r="B316" i="1"/>
  <c r="B332" i="1"/>
  <c r="B348" i="1"/>
  <c r="D6" i="1"/>
  <c r="D22" i="1"/>
  <c r="D38" i="1"/>
  <c r="D54" i="1"/>
  <c r="D70" i="1"/>
  <c r="D86" i="1"/>
  <c r="D102" i="1"/>
  <c r="D118" i="1"/>
  <c r="D134" i="1"/>
  <c r="D150" i="1"/>
  <c r="D166" i="1"/>
  <c r="D182" i="1"/>
  <c r="D198" i="1"/>
  <c r="D214" i="1"/>
  <c r="D230" i="1"/>
  <c r="D246" i="1"/>
  <c r="D262" i="1"/>
  <c r="D278" i="1"/>
  <c r="D294" i="1"/>
  <c r="D310" i="1"/>
  <c r="D326" i="1"/>
  <c r="D342" i="1"/>
  <c r="D358" i="1"/>
  <c r="D374" i="1"/>
  <c r="D390" i="1"/>
  <c r="D406" i="1"/>
  <c r="D422" i="1"/>
  <c r="D438" i="1"/>
  <c r="D454" i="1"/>
  <c r="D470" i="1"/>
  <c r="D486" i="1"/>
  <c r="C18" i="1"/>
  <c r="C34" i="1"/>
  <c r="C50" i="1"/>
  <c r="C66" i="1"/>
  <c r="C82" i="1"/>
  <c r="C98" i="1"/>
  <c r="C114" i="1"/>
  <c r="C130" i="1"/>
  <c r="C146" i="1"/>
  <c r="C162" i="1"/>
  <c r="C178" i="1"/>
  <c r="C194" i="1"/>
  <c r="C210" i="1"/>
  <c r="C226" i="1"/>
  <c r="C242" i="1"/>
  <c r="C258" i="1"/>
  <c r="C274" i="1"/>
  <c r="C290" i="1"/>
  <c r="C306" i="1"/>
  <c r="C322" i="1"/>
  <c r="C338" i="1"/>
  <c r="C354" i="1"/>
  <c r="C370" i="1"/>
  <c r="C386" i="1"/>
  <c r="C402" i="1"/>
  <c r="C418" i="1"/>
  <c r="C434" i="1"/>
  <c r="C450" i="1"/>
  <c r="C466" i="1"/>
  <c r="C482" i="1"/>
  <c r="C498" i="1"/>
  <c r="B13" i="1"/>
  <c r="B29" i="1"/>
  <c r="B45" i="1"/>
  <c r="B61" i="1"/>
  <c r="B77" i="1"/>
  <c r="B93" i="1"/>
  <c r="B109" i="1"/>
  <c r="B125" i="1"/>
  <c r="B141" i="1"/>
  <c r="B157" i="1"/>
  <c r="B173" i="1"/>
  <c r="B189" i="1"/>
  <c r="B205" i="1"/>
  <c r="B221" i="1"/>
  <c r="B237" i="1"/>
  <c r="B253" i="1"/>
  <c r="B269" i="1"/>
  <c r="B285" i="1"/>
  <c r="B301" i="1"/>
  <c r="B317" i="1"/>
  <c r="B333" i="1"/>
  <c r="B349" i="1"/>
  <c r="D12" i="1"/>
  <c r="D28" i="1"/>
  <c r="D44" i="1"/>
  <c r="D60" i="1"/>
  <c r="D76" i="1"/>
  <c r="D92" i="1"/>
  <c r="D108" i="1"/>
  <c r="D124" i="1"/>
  <c r="D140" i="1"/>
  <c r="D156" i="1"/>
  <c r="D172" i="1"/>
  <c r="D188" i="1"/>
  <c r="D204" i="1"/>
  <c r="D220" i="1"/>
  <c r="D236" i="1"/>
  <c r="D252" i="1"/>
  <c r="D268" i="1"/>
  <c r="D284" i="1"/>
  <c r="D300" i="1"/>
  <c r="D316" i="1"/>
  <c r="D332" i="1"/>
  <c r="D348" i="1"/>
  <c r="D364" i="1"/>
  <c r="D380" i="1"/>
  <c r="D396" i="1"/>
  <c r="D412" i="1"/>
  <c r="D428" i="1"/>
  <c r="D444" i="1"/>
  <c r="D460" i="1"/>
  <c r="D476" i="1"/>
  <c r="D492" i="1"/>
  <c r="C8" i="1"/>
  <c r="C24" i="1"/>
  <c r="C40" i="1"/>
  <c r="C56" i="1"/>
  <c r="C72" i="1"/>
  <c r="C88" i="1"/>
  <c r="C104" i="1"/>
  <c r="C120" i="1"/>
  <c r="C136" i="1"/>
  <c r="C152" i="1"/>
  <c r="C168" i="1"/>
  <c r="C184" i="1"/>
  <c r="C200" i="1"/>
  <c r="C216" i="1"/>
  <c r="C232" i="1"/>
  <c r="C248" i="1"/>
  <c r="C264" i="1"/>
  <c r="C280" i="1"/>
  <c r="C296" i="1"/>
  <c r="C312" i="1"/>
  <c r="C328" i="1"/>
  <c r="C344" i="1"/>
  <c r="C360" i="1"/>
  <c r="C376" i="1"/>
  <c r="C392" i="1"/>
  <c r="C408" i="1"/>
  <c r="C424" i="1"/>
  <c r="C440" i="1"/>
  <c r="C456" i="1"/>
  <c r="C472" i="1"/>
  <c r="C488" i="1"/>
  <c r="B3" i="1"/>
  <c r="B19" i="1"/>
  <c r="B35" i="1"/>
  <c r="B51" i="1"/>
  <c r="B67" i="1"/>
  <c r="B83" i="1"/>
  <c r="B99" i="1"/>
  <c r="B115" i="1"/>
  <c r="B131" i="1"/>
  <c r="B147" i="1"/>
  <c r="B163" i="1"/>
  <c r="B179" i="1"/>
  <c r="B195" i="1"/>
  <c r="B211" i="1"/>
  <c r="B227" i="1"/>
  <c r="B243" i="1"/>
  <c r="B259" i="1"/>
  <c r="B275" i="1"/>
  <c r="D7" i="1"/>
  <c r="D30" i="1"/>
  <c r="D57" i="1"/>
  <c r="D80" i="1"/>
  <c r="D107" i="1"/>
  <c r="D135" i="1"/>
  <c r="D158" i="1"/>
  <c r="D185" i="1"/>
  <c r="D208" i="1"/>
  <c r="D235" i="1"/>
  <c r="D263" i="1"/>
  <c r="D286" i="1"/>
  <c r="D313" i="1"/>
  <c r="D336" i="1"/>
  <c r="D363" i="1"/>
  <c r="D391" i="1"/>
  <c r="D414" i="1"/>
  <c r="D441" i="1"/>
  <c r="D464" i="1"/>
  <c r="D491" i="1"/>
  <c r="C19" i="1"/>
  <c r="C42" i="1"/>
  <c r="C69" i="1"/>
  <c r="C92" i="1"/>
  <c r="C119" i="1"/>
  <c r="C147" i="1"/>
  <c r="C170" i="1"/>
  <c r="C197" i="1"/>
  <c r="C220" i="1"/>
  <c r="C247" i="1"/>
  <c r="C275" i="1"/>
  <c r="C298" i="1"/>
  <c r="C325" i="1"/>
  <c r="C348" i="1"/>
  <c r="C375" i="1"/>
  <c r="C403" i="1"/>
  <c r="C426" i="1"/>
  <c r="C453" i="1"/>
  <c r="C476" i="1"/>
  <c r="C2" i="1"/>
  <c r="B30" i="1"/>
  <c r="B53" i="1"/>
  <c r="B80" i="1"/>
  <c r="B103" i="1"/>
  <c r="B130" i="1"/>
  <c r="B158" i="1"/>
  <c r="B181" i="1"/>
  <c r="B208" i="1"/>
  <c r="B231" i="1"/>
  <c r="B258" i="1"/>
  <c r="B286" i="1"/>
  <c r="B307" i="1"/>
  <c r="B328" i="1"/>
  <c r="B354" i="1"/>
  <c r="B370" i="1"/>
  <c r="B386" i="1"/>
  <c r="B402" i="1"/>
  <c r="B418" i="1"/>
  <c r="B434" i="1"/>
  <c r="B450" i="1"/>
  <c r="B466" i="1"/>
  <c r="B482" i="1"/>
  <c r="B498" i="1"/>
  <c r="D8" i="1"/>
  <c r="D31" i="1"/>
  <c r="D58" i="1"/>
  <c r="D81" i="1"/>
  <c r="D109" i="1"/>
  <c r="D136" i="1"/>
  <c r="D159" i="1"/>
  <c r="D186" i="1"/>
  <c r="D209" i="1"/>
  <c r="D237" i="1"/>
  <c r="D264" i="1"/>
  <c r="D287" i="1"/>
  <c r="D314" i="1"/>
  <c r="D337" i="1"/>
  <c r="D365" i="1"/>
  <c r="D392" i="1"/>
  <c r="D415" i="1"/>
  <c r="D442" i="1"/>
  <c r="D465" i="1"/>
  <c r="D493" i="1"/>
  <c r="C20" i="1"/>
  <c r="C43" i="1"/>
  <c r="C70" i="1"/>
  <c r="C93" i="1"/>
  <c r="C121" i="1"/>
  <c r="C148" i="1"/>
  <c r="C171" i="1"/>
  <c r="C198" i="1"/>
  <c r="C221" i="1"/>
  <c r="C249" i="1"/>
  <c r="C276" i="1"/>
  <c r="C299" i="1"/>
  <c r="C326" i="1"/>
  <c r="C349" i="1"/>
  <c r="C377" i="1"/>
  <c r="C404" i="1"/>
  <c r="C427" i="1"/>
  <c r="C454" i="1"/>
  <c r="C477" i="1"/>
  <c r="B4" i="1"/>
  <c r="B31" i="1"/>
  <c r="B54" i="1"/>
  <c r="B81" i="1"/>
  <c r="B104" i="1"/>
  <c r="B132" i="1"/>
  <c r="B159" i="1"/>
  <c r="B182" i="1"/>
  <c r="B209" i="1"/>
  <c r="B232" i="1"/>
  <c r="B260" i="1"/>
  <c r="B287" i="1"/>
  <c r="B308" i="1"/>
  <c r="B334" i="1"/>
  <c r="B355" i="1"/>
  <c r="B371" i="1"/>
  <c r="B387" i="1"/>
  <c r="B403" i="1"/>
  <c r="B419" i="1"/>
  <c r="B435" i="1"/>
  <c r="B451" i="1"/>
  <c r="B467" i="1"/>
  <c r="B483" i="1"/>
  <c r="B499" i="1"/>
  <c r="D9" i="1"/>
  <c r="D32" i="1"/>
  <c r="D59" i="1"/>
  <c r="D87" i="1"/>
  <c r="D110" i="1"/>
  <c r="D137" i="1"/>
  <c r="D160" i="1"/>
  <c r="D187" i="1"/>
  <c r="D215" i="1"/>
  <c r="D238" i="1"/>
  <c r="D265" i="1"/>
  <c r="D288" i="1"/>
  <c r="D315" i="1"/>
  <c r="D343" i="1"/>
  <c r="D366" i="1"/>
  <c r="D393" i="1"/>
  <c r="D416" i="1"/>
  <c r="D443" i="1"/>
  <c r="D471" i="1"/>
  <c r="D494" i="1"/>
  <c r="C21" i="1"/>
  <c r="C44" i="1"/>
  <c r="C71" i="1"/>
  <c r="C99" i="1"/>
  <c r="C122" i="1"/>
  <c r="C149" i="1"/>
  <c r="C172" i="1"/>
  <c r="C199" i="1"/>
  <c r="C227" i="1"/>
  <c r="C250" i="1"/>
  <c r="C277" i="1"/>
  <c r="C300" i="1"/>
  <c r="C327" i="1"/>
  <c r="C355" i="1"/>
  <c r="C378" i="1"/>
  <c r="C405" i="1"/>
  <c r="C428" i="1"/>
  <c r="C455" i="1"/>
  <c r="C483" i="1"/>
  <c r="B5" i="1"/>
  <c r="B32" i="1"/>
  <c r="B55" i="1"/>
  <c r="B82" i="1"/>
  <c r="B110" i="1"/>
  <c r="B133" i="1"/>
  <c r="B160" i="1"/>
  <c r="B183" i="1"/>
  <c r="B210" i="1"/>
  <c r="B238" i="1"/>
  <c r="B261" i="1"/>
  <c r="B288" i="1"/>
  <c r="B309" i="1"/>
  <c r="B335" i="1"/>
  <c r="B356" i="1"/>
  <c r="B372" i="1"/>
  <c r="B388" i="1"/>
  <c r="B404" i="1"/>
  <c r="B420" i="1"/>
  <c r="B436" i="1"/>
  <c r="B452" i="1"/>
  <c r="B468" i="1"/>
  <c r="B484" i="1"/>
  <c r="B500" i="1"/>
  <c r="D10" i="1"/>
  <c r="D33" i="1"/>
  <c r="D61" i="1"/>
  <c r="D88" i="1"/>
  <c r="D111" i="1"/>
  <c r="D138" i="1"/>
  <c r="D161" i="1"/>
  <c r="D189" i="1"/>
  <c r="D216" i="1"/>
  <c r="D239" i="1"/>
  <c r="D266" i="1"/>
  <c r="D289" i="1"/>
  <c r="D317" i="1"/>
  <c r="D344" i="1"/>
  <c r="D367" i="1"/>
  <c r="D394" i="1"/>
  <c r="D417" i="1"/>
  <c r="D445" i="1"/>
  <c r="D472" i="1"/>
  <c r="D495" i="1"/>
  <c r="C22" i="1"/>
  <c r="C45" i="1"/>
  <c r="C73" i="1"/>
  <c r="C100" i="1"/>
  <c r="C123" i="1"/>
  <c r="C150" i="1"/>
  <c r="C173" i="1"/>
  <c r="C201" i="1"/>
  <c r="C228" i="1"/>
  <c r="C251" i="1"/>
  <c r="C278" i="1"/>
  <c r="C301" i="1"/>
  <c r="C329" i="1"/>
  <c r="C356" i="1"/>
  <c r="C379" i="1"/>
  <c r="C406" i="1"/>
  <c r="C429" i="1"/>
  <c r="C457" i="1"/>
  <c r="C484" i="1"/>
  <c r="B6" i="1"/>
  <c r="B33" i="1"/>
  <c r="B56" i="1"/>
  <c r="B84" i="1"/>
  <c r="B111" i="1"/>
  <c r="B134" i="1"/>
  <c r="B161" i="1"/>
  <c r="B184" i="1"/>
  <c r="B212" i="1"/>
  <c r="B239" i="1"/>
  <c r="B262" i="1"/>
  <c r="B289" i="1"/>
  <c r="B310" i="1"/>
  <c r="B336" i="1"/>
  <c r="B357" i="1"/>
  <c r="B373" i="1"/>
  <c r="B389" i="1"/>
  <c r="B405" i="1"/>
  <c r="B421" i="1"/>
  <c r="B437" i="1"/>
  <c r="B453" i="1"/>
  <c r="B469" i="1"/>
  <c r="B485" i="1"/>
  <c r="B501" i="1"/>
  <c r="D13" i="1"/>
  <c r="D40" i="1"/>
  <c r="D63" i="1"/>
  <c r="D90" i="1"/>
  <c r="D113" i="1"/>
  <c r="D141" i="1"/>
  <c r="D168" i="1"/>
  <c r="D191" i="1"/>
  <c r="D218" i="1"/>
  <c r="D241" i="1"/>
  <c r="D269" i="1"/>
  <c r="D296" i="1"/>
  <c r="D319" i="1"/>
  <c r="D346" i="1"/>
  <c r="D369" i="1"/>
  <c r="D397" i="1"/>
  <c r="D424" i="1"/>
  <c r="D447" i="1"/>
  <c r="D474" i="1"/>
  <c r="D497" i="1"/>
  <c r="C25" i="1"/>
  <c r="C52" i="1"/>
  <c r="C75" i="1"/>
  <c r="C102" i="1"/>
  <c r="C125" i="1"/>
  <c r="C153" i="1"/>
  <c r="C180" i="1"/>
  <c r="C203" i="1"/>
  <c r="C230" i="1"/>
  <c r="C253" i="1"/>
  <c r="C281" i="1"/>
  <c r="C308" i="1"/>
  <c r="C331" i="1"/>
  <c r="C358" i="1"/>
  <c r="C381" i="1"/>
  <c r="C409" i="1"/>
  <c r="C436" i="1"/>
  <c r="C459" i="1"/>
  <c r="C486" i="1"/>
  <c r="B8" i="1"/>
  <c r="B36" i="1"/>
  <c r="B63" i="1"/>
  <c r="B86" i="1"/>
  <c r="B113" i="1"/>
  <c r="B136" i="1"/>
  <c r="B164" i="1"/>
  <c r="B191" i="1"/>
  <c r="B214" i="1"/>
  <c r="B241" i="1"/>
  <c r="B264" i="1"/>
  <c r="B291" i="1"/>
  <c r="B312" i="1"/>
  <c r="B338" i="1"/>
  <c r="B359" i="1"/>
  <c r="B375" i="1"/>
  <c r="B391" i="1"/>
  <c r="B407" i="1"/>
  <c r="B423" i="1"/>
  <c r="B439" i="1"/>
  <c r="B455" i="1"/>
  <c r="B471" i="1"/>
  <c r="B487" i="1"/>
  <c r="B2" i="1"/>
  <c r="D11" i="1"/>
  <c r="D46" i="1"/>
  <c r="D79" i="1"/>
  <c r="D122" i="1"/>
  <c r="D155" i="1"/>
  <c r="D199" i="1"/>
  <c r="D232" i="1"/>
  <c r="D271" i="1"/>
  <c r="D304" i="1"/>
  <c r="D347" i="1"/>
  <c r="D381" i="1"/>
  <c r="D423" i="1"/>
  <c r="D457" i="1"/>
  <c r="D490" i="1"/>
  <c r="C29" i="1"/>
  <c r="C67" i="1"/>
  <c r="C106" i="1"/>
  <c r="C139" i="1"/>
  <c r="C182" i="1"/>
  <c r="C215" i="1"/>
  <c r="C259" i="1"/>
  <c r="C292" i="1"/>
  <c r="C330" i="1"/>
  <c r="C364" i="1"/>
  <c r="C397" i="1"/>
  <c r="C441" i="1"/>
  <c r="C474" i="1"/>
  <c r="B16" i="1"/>
  <c r="B49" i="1"/>
  <c r="B88" i="1"/>
  <c r="B126" i="1"/>
  <c r="B165" i="1"/>
  <c r="B198" i="1"/>
  <c r="B240" i="1"/>
  <c r="B274" i="1"/>
  <c r="B306" i="1"/>
  <c r="B342" i="1"/>
  <c r="B368" i="1"/>
  <c r="B394" i="1"/>
  <c r="B415" i="1"/>
  <c r="B441" i="1"/>
  <c r="B462" i="1"/>
  <c r="B488" i="1"/>
  <c r="B443" i="1"/>
  <c r="D94" i="1"/>
  <c r="D170" i="1"/>
  <c r="D247" i="1"/>
  <c r="D318" i="1"/>
  <c r="D462" i="1"/>
  <c r="C77" i="1"/>
  <c r="C229" i="1"/>
  <c r="C412" i="1"/>
  <c r="B64" i="1"/>
  <c r="B246" i="1"/>
  <c r="B398" i="1"/>
  <c r="D23" i="1"/>
  <c r="D171" i="1"/>
  <c r="D281" i="1"/>
  <c r="D430" i="1"/>
  <c r="C83" i="1"/>
  <c r="D14" i="1"/>
  <c r="D47" i="1"/>
  <c r="D89" i="1"/>
  <c r="D123" i="1"/>
  <c r="D157" i="1"/>
  <c r="D200" i="1"/>
  <c r="D233" i="1"/>
  <c r="D272" i="1"/>
  <c r="D305" i="1"/>
  <c r="D349" i="1"/>
  <c r="D382" i="1"/>
  <c r="D425" i="1"/>
  <c r="D458" i="1"/>
  <c r="D496" i="1"/>
  <c r="C35" i="1"/>
  <c r="C68" i="1"/>
  <c r="C107" i="1"/>
  <c r="C140" i="1"/>
  <c r="C183" i="1"/>
  <c r="C217" i="1"/>
  <c r="C260" i="1"/>
  <c r="C293" i="1"/>
  <c r="C332" i="1"/>
  <c r="C365" i="1"/>
  <c r="C407" i="1"/>
  <c r="C442" i="1"/>
  <c r="C475" i="1"/>
  <c r="B17" i="1"/>
  <c r="B50" i="1"/>
  <c r="B94" i="1"/>
  <c r="B127" i="1"/>
  <c r="B166" i="1"/>
  <c r="B199" i="1"/>
  <c r="B242" i="1"/>
  <c r="B276" i="1"/>
  <c r="B311" i="1"/>
  <c r="B343" i="1"/>
  <c r="B369" i="1"/>
  <c r="B395" i="1"/>
  <c r="B416" i="1"/>
  <c r="B442" i="1"/>
  <c r="B463" i="1"/>
  <c r="B489" i="1"/>
  <c r="B417" i="1"/>
  <c r="D17" i="1"/>
  <c r="D203" i="1"/>
  <c r="D385" i="1"/>
  <c r="C5" i="1"/>
  <c r="C154" i="1"/>
  <c r="C263" i="1"/>
  <c r="C373" i="1"/>
  <c r="C489" i="1"/>
  <c r="B97" i="1"/>
  <c r="B207" i="1"/>
  <c r="B351" i="1"/>
  <c r="B424" i="1"/>
  <c r="B492" i="1"/>
  <c r="D56" i="1"/>
  <c r="D248" i="1"/>
  <c r="D395" i="1"/>
  <c r="C39" i="1"/>
  <c r="C155" i="1"/>
  <c r="D15" i="1"/>
  <c r="D48" i="1"/>
  <c r="D91" i="1"/>
  <c r="D125" i="1"/>
  <c r="D167" i="1"/>
  <c r="D201" i="1"/>
  <c r="D234" i="1"/>
  <c r="D273" i="1"/>
  <c r="D311" i="1"/>
  <c r="D350" i="1"/>
  <c r="D383" i="1"/>
  <c r="D426" i="1"/>
  <c r="D459" i="1"/>
  <c r="C3" i="1"/>
  <c r="C36" i="1"/>
  <c r="C74" i="1"/>
  <c r="C108" i="1"/>
  <c r="C141" i="1"/>
  <c r="C185" i="1"/>
  <c r="C218" i="1"/>
  <c r="C261" i="1"/>
  <c r="C294" i="1"/>
  <c r="C333" i="1"/>
  <c r="C371" i="1"/>
  <c r="C410" i="1"/>
  <c r="C443" i="1"/>
  <c r="C485" i="1"/>
  <c r="B18" i="1"/>
  <c r="B52" i="1"/>
  <c r="B95" i="1"/>
  <c r="B128" i="1"/>
  <c r="B167" i="1"/>
  <c r="B200" i="1"/>
  <c r="B244" i="1"/>
  <c r="B277" i="1"/>
  <c r="B318" i="1"/>
  <c r="B344" i="1"/>
  <c r="B374" i="1"/>
  <c r="B396" i="1"/>
  <c r="B464" i="1"/>
  <c r="B490" i="1"/>
  <c r="D55" i="1"/>
  <c r="D352" i="1"/>
  <c r="C115" i="1"/>
  <c r="C297" i="1"/>
  <c r="C445" i="1"/>
  <c r="B135" i="1"/>
  <c r="B279" i="1"/>
  <c r="B377" i="1"/>
  <c r="B470" i="1"/>
  <c r="D95" i="1"/>
  <c r="D205" i="1"/>
  <c r="D320" i="1"/>
  <c r="D463" i="1"/>
  <c r="C116" i="1"/>
  <c r="D16" i="1"/>
  <c r="D49" i="1"/>
  <c r="D93" i="1"/>
  <c r="D126" i="1"/>
  <c r="D169" i="1"/>
  <c r="D202" i="1"/>
  <c r="D240" i="1"/>
  <c r="D279" i="1"/>
  <c r="D312" i="1"/>
  <c r="D351" i="1"/>
  <c r="D384" i="1"/>
  <c r="D427" i="1"/>
  <c r="D461" i="1"/>
  <c r="C4" i="1"/>
  <c r="C37" i="1"/>
  <c r="C76" i="1"/>
  <c r="C109" i="1"/>
  <c r="C151" i="1"/>
  <c r="C186" i="1"/>
  <c r="C219" i="1"/>
  <c r="C262" i="1"/>
  <c r="C295" i="1"/>
  <c r="C339" i="1"/>
  <c r="C372" i="1"/>
  <c r="C411" i="1"/>
  <c r="C444" i="1"/>
  <c r="C487" i="1"/>
  <c r="B20" i="1"/>
  <c r="B62" i="1"/>
  <c r="B96" i="1"/>
  <c r="B129" i="1"/>
  <c r="B168" i="1"/>
  <c r="B206" i="1"/>
  <c r="B245" i="1"/>
  <c r="B278" i="1"/>
  <c r="B319" i="1"/>
  <c r="B350" i="1"/>
  <c r="B376" i="1"/>
  <c r="B397" i="1"/>
  <c r="B422" i="1"/>
  <c r="B444" i="1"/>
  <c r="B465" i="1"/>
  <c r="B491" i="1"/>
  <c r="D127" i="1"/>
  <c r="D280" i="1"/>
  <c r="D429" i="1"/>
  <c r="C38" i="1"/>
  <c r="C187" i="1"/>
  <c r="C340" i="1"/>
  <c r="B21" i="1"/>
  <c r="B174" i="1"/>
  <c r="B320" i="1"/>
  <c r="B445" i="1"/>
  <c r="D128" i="1"/>
  <c r="D353" i="1"/>
  <c r="C6" i="1"/>
  <c r="D29" i="1"/>
  <c r="D72" i="1"/>
  <c r="D105" i="1"/>
  <c r="D144" i="1"/>
  <c r="D177" i="1"/>
  <c r="D221" i="1"/>
  <c r="D254" i="1"/>
  <c r="D297" i="1"/>
  <c r="D330" i="1"/>
  <c r="D368" i="1"/>
  <c r="D407" i="1"/>
  <c r="D440" i="1"/>
  <c r="D479" i="1"/>
  <c r="C12" i="1"/>
  <c r="C55" i="1"/>
  <c r="C89" i="1"/>
  <c r="C132" i="1"/>
  <c r="C165" i="1"/>
  <c r="C204" i="1"/>
  <c r="C237" i="1"/>
  <c r="C279" i="1"/>
  <c r="C314" i="1"/>
  <c r="C347" i="1"/>
  <c r="C390" i="1"/>
  <c r="C423" i="1"/>
  <c r="C467" i="1"/>
  <c r="C500" i="1"/>
  <c r="B38" i="1"/>
  <c r="B71" i="1"/>
  <c r="B114" i="1"/>
  <c r="B148" i="1"/>
  <c r="B190" i="1"/>
  <c r="B224" i="1"/>
  <c r="B257" i="1"/>
  <c r="B295" i="1"/>
  <c r="B326" i="1"/>
  <c r="B362" i="1"/>
  <c r="B383" i="1"/>
  <c r="B409" i="1"/>
  <c r="B430" i="1"/>
  <c r="B456" i="1"/>
  <c r="B477" i="1"/>
  <c r="D39" i="1"/>
  <c r="D73" i="1"/>
  <c r="D106" i="1"/>
  <c r="D145" i="1"/>
  <c r="D183" i="1"/>
  <c r="D222" i="1"/>
  <c r="D255" i="1"/>
  <c r="D298" i="1"/>
  <c r="D331" i="1"/>
  <c r="D375" i="1"/>
  <c r="D408" i="1"/>
  <c r="D446" i="1"/>
  <c r="D480" i="1"/>
  <c r="C13" i="1"/>
  <c r="C57" i="1"/>
  <c r="C90" i="1"/>
  <c r="C133" i="1"/>
  <c r="C166" i="1"/>
  <c r="C205" i="1"/>
  <c r="B411" i="1"/>
  <c r="B98" i="1"/>
  <c r="D152" i="1"/>
  <c r="B401" i="1"/>
  <c r="B196" i="1"/>
  <c r="C461" i="1"/>
  <c r="C283" i="1"/>
  <c r="C85" i="1"/>
  <c r="D360" i="1"/>
  <c r="D64" i="1"/>
  <c r="B433" i="1"/>
  <c r="B305" i="1"/>
  <c r="B143" i="1"/>
  <c r="C394" i="1"/>
  <c r="C84" i="1"/>
  <c r="D206" i="1"/>
  <c r="B399" i="1"/>
  <c r="B254" i="1"/>
  <c r="B142" i="1"/>
  <c r="C458" i="1"/>
  <c r="C269" i="1"/>
  <c r="D489" i="1"/>
  <c r="D193" i="1"/>
  <c r="B431" i="1"/>
  <c r="B248" i="1"/>
  <c r="B7" i="1"/>
  <c r="C268" i="1"/>
  <c r="D488" i="1"/>
  <c r="D335" i="1"/>
  <c r="D43" i="1"/>
  <c r="B392" i="1"/>
  <c r="B180" i="1"/>
  <c r="C451" i="1"/>
  <c r="C267" i="1"/>
  <c r="C59" i="1"/>
  <c r="D190" i="1"/>
  <c r="B390" i="1"/>
  <c r="B230" i="1"/>
  <c r="C501" i="1"/>
  <c r="C317" i="1"/>
  <c r="C58" i="1"/>
  <c r="D184" i="1"/>
  <c r="B460" i="1"/>
  <c r="B459" i="1"/>
  <c r="B341" i="1"/>
  <c r="B495" i="1"/>
  <c r="B458" i="1"/>
  <c r="B425" i="1"/>
  <c r="B382" i="1"/>
  <c r="B340" i="1"/>
  <c r="B292" i="1"/>
  <c r="B226" i="1"/>
  <c r="B175" i="1"/>
  <c r="B112" i="1"/>
  <c r="B47" i="1"/>
  <c r="C492" i="1"/>
  <c r="C435" i="1"/>
  <c r="C374" i="1"/>
  <c r="C313" i="1"/>
  <c r="C246" i="1"/>
  <c r="C189" i="1"/>
  <c r="C118" i="1"/>
  <c r="C51" i="1"/>
  <c r="D475" i="1"/>
  <c r="D399" i="1"/>
  <c r="D327" i="1"/>
  <c r="D250" i="1"/>
  <c r="D174" i="1"/>
  <c r="D97" i="1"/>
  <c r="D25" i="1"/>
  <c r="B493" i="1"/>
  <c r="B337" i="1"/>
  <c r="B152" i="1"/>
  <c r="C422" i="1"/>
  <c r="C310" i="1"/>
  <c r="C181" i="1"/>
  <c r="C28" i="1"/>
  <c r="D78" i="1"/>
  <c r="B486" i="1"/>
  <c r="B379" i="1"/>
  <c r="B222" i="1"/>
  <c r="B39" i="1"/>
  <c r="C421" i="1"/>
  <c r="C309" i="1"/>
  <c r="C179" i="1"/>
  <c r="C27" i="1"/>
  <c r="D378" i="1"/>
  <c r="D153" i="1"/>
  <c r="B481" i="1"/>
  <c r="B325" i="1"/>
  <c r="B150" i="1"/>
  <c r="C359" i="1"/>
  <c r="C236" i="1"/>
  <c r="C26" i="1"/>
  <c r="D224" i="1"/>
  <c r="B438" i="1"/>
  <c r="B256" i="1"/>
  <c r="B78" i="1"/>
  <c r="C395" i="1"/>
  <c r="C157" i="1"/>
  <c r="D432" i="1"/>
  <c r="D207" i="1"/>
  <c r="B475" i="1"/>
  <c r="B255" i="1"/>
  <c r="B15" i="1"/>
  <c r="C342" i="1"/>
  <c r="C156" i="1"/>
  <c r="D431" i="1"/>
  <c r="D129" i="1"/>
  <c r="B474" i="1"/>
  <c r="B361" i="1"/>
  <c r="B70" i="1"/>
  <c r="C341" i="1"/>
  <c r="C138" i="1"/>
  <c r="D345" i="1"/>
  <c r="D121" i="1"/>
  <c r="B473" i="1"/>
  <c r="B303" i="1"/>
  <c r="B69" i="1"/>
  <c r="C391" i="1"/>
  <c r="C212" i="1"/>
  <c r="D411" i="1"/>
  <c r="D192" i="1"/>
  <c r="B429" i="1"/>
  <c r="B247" i="1"/>
  <c r="C211" i="1"/>
  <c r="D334" i="1"/>
  <c r="D42" i="1"/>
  <c r="B428" i="1"/>
  <c r="B296" i="1"/>
  <c r="B66" i="1"/>
  <c r="C266" i="1"/>
  <c r="D409" i="1"/>
  <c r="D112" i="1"/>
  <c r="B497" i="1"/>
  <c r="B384" i="1"/>
  <c r="B494" i="1"/>
  <c r="B457" i="1"/>
  <c r="B414" i="1"/>
  <c r="B381" i="1"/>
  <c r="B339" i="1"/>
  <c r="B290" i="1"/>
  <c r="B225" i="1"/>
  <c r="B162" i="1"/>
  <c r="B102" i="1"/>
  <c r="B46" i="1"/>
  <c r="C491" i="1"/>
  <c r="C425" i="1"/>
  <c r="C363" i="1"/>
  <c r="C311" i="1"/>
  <c r="C245" i="1"/>
  <c r="C188" i="1"/>
  <c r="C117" i="1"/>
  <c r="C41" i="1"/>
  <c r="D473" i="1"/>
  <c r="D398" i="1"/>
  <c r="D321" i="1"/>
  <c r="D249" i="1"/>
  <c r="D173" i="1"/>
  <c r="D96" i="1"/>
  <c r="D24" i="1"/>
  <c r="M435" i="1" l="1"/>
  <c r="M104" i="1"/>
  <c r="M220" i="1"/>
  <c r="M160" i="1"/>
  <c r="M381" i="1"/>
  <c r="M176" i="1"/>
  <c r="M449" i="1"/>
  <c r="M149" i="1"/>
  <c r="M474" i="1"/>
  <c r="M469" i="1"/>
  <c r="M309" i="1"/>
  <c r="M443" i="1"/>
  <c r="M167" i="1"/>
  <c r="M14" i="1"/>
  <c r="M99" i="1"/>
  <c r="N99" i="1" s="1"/>
  <c r="M456" i="1"/>
  <c r="N456" i="1" s="1"/>
  <c r="M116" i="1"/>
  <c r="M359" i="1"/>
  <c r="M441" i="1"/>
  <c r="M393" i="1"/>
  <c r="M23" i="1"/>
  <c r="M328" i="1"/>
  <c r="N328" i="1" s="1"/>
  <c r="M70" i="1"/>
  <c r="N70" i="1" s="1"/>
  <c r="M260" i="1"/>
  <c r="N260" i="1" s="1"/>
  <c r="M489" i="1"/>
  <c r="M34" i="1"/>
  <c r="M461" i="1"/>
  <c r="M169" i="1"/>
  <c r="M497" i="1"/>
  <c r="M76" i="1"/>
  <c r="M295" i="1"/>
  <c r="M49" i="1"/>
  <c r="N49" i="1" s="1"/>
  <c r="M256" i="1"/>
  <c r="M415" i="1"/>
  <c r="M229" i="1"/>
  <c r="N229" i="1" s="1"/>
  <c r="M372" i="1"/>
  <c r="N372" i="1" s="1"/>
  <c r="M413" i="1"/>
  <c r="N413" i="1" s="1"/>
  <c r="M492" i="1"/>
  <c r="N492" i="1" s="1"/>
  <c r="M107" i="1"/>
  <c r="M234" i="1"/>
  <c r="M281" i="1"/>
  <c r="M248" i="1"/>
  <c r="N248" i="1" s="1"/>
  <c r="M501" i="1"/>
  <c r="M164" i="1"/>
  <c r="M15" i="1"/>
  <c r="M232" i="1"/>
  <c r="M40" i="1"/>
  <c r="N40" i="1" s="1"/>
  <c r="M141" i="1"/>
  <c r="N141" i="1" s="1"/>
  <c r="M13" i="1"/>
  <c r="M279" i="1"/>
  <c r="M31" i="1"/>
  <c r="N31" i="1" s="1"/>
  <c r="M185" i="1"/>
  <c r="N185" i="1" s="1"/>
  <c r="M125" i="1"/>
  <c r="N125" i="1" s="1"/>
  <c r="M267" i="1"/>
  <c r="N267" i="1" s="1"/>
  <c r="M75" i="1"/>
  <c r="M197" i="1"/>
  <c r="N197" i="1" s="1"/>
  <c r="M209" i="1"/>
  <c r="M389" i="1"/>
  <c r="M366" i="1"/>
  <c r="N366" i="1" s="1"/>
  <c r="M180" i="1"/>
  <c r="N180" i="1" s="1"/>
  <c r="M487" i="1"/>
  <c r="N487" i="1" s="1"/>
  <c r="M165" i="1"/>
  <c r="M271" i="1"/>
  <c r="N271" i="1" s="1"/>
  <c r="M109" i="1"/>
  <c r="N109" i="1" s="1"/>
  <c r="M288" i="1"/>
  <c r="M148" i="1"/>
  <c r="M272" i="1"/>
  <c r="N272" i="1" s="1"/>
  <c r="M61" i="1"/>
  <c r="N61" i="1" s="1"/>
  <c r="M155" i="1"/>
  <c r="N155" i="1" s="1"/>
  <c r="M278" i="1"/>
  <c r="N278" i="1" s="1"/>
  <c r="M195" i="1"/>
  <c r="N195" i="1" s="1"/>
  <c r="M361" i="1"/>
  <c r="M471" i="1"/>
  <c r="M227" i="1"/>
  <c r="M65" i="1"/>
  <c r="M425" i="1"/>
  <c r="M345" i="1"/>
  <c r="M376" i="1"/>
  <c r="M33" i="1"/>
  <c r="N33" i="1" s="1"/>
  <c r="M210" i="1"/>
  <c r="N210" i="1" s="1"/>
  <c r="M159" i="1"/>
  <c r="M253" i="1"/>
  <c r="M73" i="1"/>
  <c r="N73" i="1" s="1"/>
  <c r="M395" i="1"/>
  <c r="N395" i="1" s="1"/>
  <c r="M139" i="1"/>
  <c r="N139" i="1" s="1"/>
  <c r="M250" i="1"/>
  <c r="N250" i="1" s="1"/>
  <c r="M339" i="1"/>
  <c r="N339" i="1" s="1"/>
  <c r="M340" i="1"/>
  <c r="M105" i="1"/>
  <c r="M438" i="1"/>
  <c r="N438" i="1" s="1"/>
  <c r="M199" i="1"/>
  <c r="M131" i="1"/>
  <c r="M26" i="1"/>
  <c r="M402" i="1"/>
  <c r="M357" i="1"/>
  <c r="M335" i="1"/>
  <c r="N335" i="1" s="1"/>
  <c r="M144" i="1"/>
  <c r="M143" i="1"/>
  <c r="M237" i="1"/>
  <c r="M316" i="1"/>
  <c r="N316" i="1" s="1"/>
  <c r="M55" i="1"/>
  <c r="N55" i="1" s="1"/>
  <c r="M123" i="1"/>
  <c r="N123" i="1" s="1"/>
  <c r="M424" i="1"/>
  <c r="M417" i="1"/>
  <c r="E131" i="1"/>
  <c r="M310" i="1"/>
  <c r="M162" i="1"/>
  <c r="M399" i="1"/>
  <c r="M174" i="1"/>
  <c r="M98" i="1"/>
  <c r="M375" i="1"/>
  <c r="N375" i="1" s="1"/>
  <c r="M488" i="1"/>
  <c r="N488" i="1" s="1"/>
  <c r="M166" i="1"/>
  <c r="M450" i="1"/>
  <c r="N450" i="1" s="1"/>
  <c r="M120" i="1"/>
  <c r="N120" i="1" s="1"/>
  <c r="M127" i="1"/>
  <c r="N127" i="1" s="1"/>
  <c r="M221" i="1"/>
  <c r="N221" i="1" s="1"/>
  <c r="M363" i="1"/>
  <c r="M447" i="1"/>
  <c r="M244" i="1"/>
  <c r="M142" i="1"/>
  <c r="M67" i="1"/>
  <c r="M346" i="1"/>
  <c r="N346" i="1" s="1"/>
  <c r="M470" i="1"/>
  <c r="M293" i="1"/>
  <c r="M205" i="1"/>
  <c r="M284" i="1"/>
  <c r="N284" i="1" s="1"/>
  <c r="M19" i="1"/>
  <c r="M347" i="1"/>
  <c r="M89" i="1"/>
  <c r="M386" i="1"/>
  <c r="M496" i="1"/>
  <c r="N496" i="1" s="1"/>
  <c r="M115" i="1"/>
  <c r="N115" i="1" s="1"/>
  <c r="M403" i="1"/>
  <c r="N403" i="1" s="1"/>
  <c r="M323" i="1"/>
  <c r="N323" i="1" s="1"/>
  <c r="M273" i="1"/>
  <c r="N273" i="1" s="1"/>
  <c r="M410" i="1"/>
  <c r="M78" i="1"/>
  <c r="M268" i="1"/>
  <c r="M331" i="1"/>
  <c r="N331" i="1" s="1"/>
  <c r="M72" i="1"/>
  <c r="M280" i="1"/>
  <c r="M206" i="1"/>
  <c r="N206" i="1" s="1"/>
  <c r="M101" i="1"/>
  <c r="N101" i="1" s="1"/>
  <c r="M51" i="1"/>
  <c r="M77" i="1"/>
  <c r="M429" i="1"/>
  <c r="N429" i="1" s="1"/>
  <c r="M315" i="1"/>
  <c r="N315" i="1" s="1"/>
  <c r="N266" i="1"/>
  <c r="F266" i="1"/>
  <c r="F269" i="1"/>
  <c r="F487" i="1"/>
  <c r="E16" i="1"/>
  <c r="F122" i="1"/>
  <c r="E390" i="1"/>
  <c r="N5" i="1"/>
  <c r="F5" i="1"/>
  <c r="E86" i="1"/>
  <c r="E32" i="1"/>
  <c r="N476" i="1"/>
  <c r="F476" i="1"/>
  <c r="J108" i="1"/>
  <c r="G108" i="1"/>
  <c r="F273" i="1"/>
  <c r="E186" i="1"/>
  <c r="J498" i="1"/>
  <c r="G498" i="1"/>
  <c r="N135" i="1"/>
  <c r="F135" i="1"/>
  <c r="F491" i="1"/>
  <c r="J190" i="1"/>
  <c r="G190" i="1"/>
  <c r="E465" i="1"/>
  <c r="E127" i="1"/>
  <c r="E63" i="1"/>
  <c r="E388" i="1"/>
  <c r="J159" i="1"/>
  <c r="G159" i="1"/>
  <c r="N104" i="1"/>
  <c r="F104" i="1"/>
  <c r="G166" i="1"/>
  <c r="J166" i="1"/>
  <c r="E91" i="1"/>
  <c r="N159" i="1"/>
  <c r="F159" i="1"/>
  <c r="G226" i="1"/>
  <c r="J226" i="1"/>
  <c r="N387" i="1"/>
  <c r="F387" i="1"/>
  <c r="E324" i="1"/>
  <c r="J345" i="1"/>
  <c r="G345" i="1"/>
  <c r="E142" i="1"/>
  <c r="E444" i="1"/>
  <c r="E94" i="1"/>
  <c r="J97" i="1"/>
  <c r="G97" i="1"/>
  <c r="E491" i="1"/>
  <c r="J48" i="1"/>
  <c r="G48" i="1"/>
  <c r="E439" i="1"/>
  <c r="E404" i="1"/>
  <c r="J186" i="1"/>
  <c r="G186" i="1"/>
  <c r="J364" i="1"/>
  <c r="G364" i="1"/>
  <c r="E28" i="1"/>
  <c r="J340" i="1"/>
  <c r="G340" i="1"/>
  <c r="E9" i="1"/>
  <c r="N490" i="1"/>
  <c r="F490" i="1"/>
  <c r="J223" i="1"/>
  <c r="G223" i="1"/>
  <c r="N309" i="1"/>
  <c r="F309" i="1"/>
  <c r="E257" i="1"/>
  <c r="E200" i="1"/>
  <c r="E488" i="1"/>
  <c r="E33" i="1"/>
  <c r="J187" i="1"/>
  <c r="G187" i="1"/>
  <c r="F42" i="1"/>
  <c r="E189" i="1"/>
  <c r="N257" i="1"/>
  <c r="F257" i="1"/>
  <c r="E170" i="1"/>
  <c r="N238" i="1"/>
  <c r="F238" i="1"/>
  <c r="E37" i="1"/>
  <c r="F346" i="1"/>
  <c r="G250" i="1"/>
  <c r="J250" i="1"/>
  <c r="E224" i="1"/>
  <c r="E279" i="1"/>
  <c r="J496" i="1"/>
  <c r="G496" i="1"/>
  <c r="J438" i="1"/>
  <c r="G438" i="1"/>
  <c r="J5" i="1"/>
  <c r="O5" i="1" s="1"/>
  <c r="P5" i="1" s="1"/>
  <c r="G5" i="1"/>
  <c r="F175" i="1"/>
  <c r="E116" i="1"/>
  <c r="E263" i="1"/>
  <c r="F157" i="1"/>
  <c r="G255" i="1"/>
  <c r="J255" i="1"/>
  <c r="G351" i="1"/>
  <c r="J351" i="1"/>
  <c r="F35" i="1"/>
  <c r="N153" i="1"/>
  <c r="F153" i="1"/>
  <c r="E5" i="1"/>
  <c r="E354" i="1"/>
  <c r="J348" i="1"/>
  <c r="G348" i="1"/>
  <c r="E12" i="1"/>
  <c r="F336" i="1"/>
  <c r="J147" i="1"/>
  <c r="G147" i="1"/>
  <c r="E176" i="1"/>
  <c r="J283" i="1"/>
  <c r="G283" i="1"/>
  <c r="F395" i="1"/>
  <c r="G152" i="1"/>
  <c r="J152" i="1"/>
  <c r="G312" i="1"/>
  <c r="J312" i="1"/>
  <c r="F155" i="1"/>
  <c r="E473" i="1"/>
  <c r="E295" i="1"/>
  <c r="J384" i="1"/>
  <c r="G384" i="1"/>
  <c r="F68" i="1"/>
  <c r="E56" i="1"/>
  <c r="E387" i="1"/>
  <c r="J158" i="1"/>
  <c r="G158" i="1"/>
  <c r="N194" i="1"/>
  <c r="F194" i="1"/>
  <c r="E107" i="1"/>
  <c r="G419" i="1"/>
  <c r="J419" i="1"/>
  <c r="J119" i="1"/>
  <c r="G119" i="1"/>
  <c r="G217" i="1"/>
  <c r="J217" i="1"/>
  <c r="J121" i="1"/>
  <c r="G121" i="1"/>
  <c r="E401" i="1"/>
  <c r="E377" i="1"/>
  <c r="G430" i="1"/>
  <c r="J430" i="1"/>
  <c r="J241" i="1"/>
  <c r="G241" i="1"/>
  <c r="F99" i="1"/>
  <c r="F453" i="1"/>
  <c r="J92" i="1"/>
  <c r="G92" i="1"/>
  <c r="E268" i="1"/>
  <c r="F80" i="1"/>
  <c r="J403" i="1"/>
  <c r="G403" i="1"/>
  <c r="J103" i="1"/>
  <c r="G103" i="1"/>
  <c r="N389" i="1"/>
  <c r="F389" i="1"/>
  <c r="E223" i="1"/>
  <c r="N421" i="1"/>
  <c r="F421" i="1"/>
  <c r="J222" i="1"/>
  <c r="G222" i="1"/>
  <c r="F411" i="1"/>
  <c r="J203" i="1"/>
  <c r="G203" i="1"/>
  <c r="N179" i="1"/>
  <c r="F179" i="1"/>
  <c r="F204" i="1"/>
  <c r="E166" i="1"/>
  <c r="F180" i="1"/>
  <c r="J239" i="1"/>
  <c r="G239" i="1"/>
  <c r="E370" i="1"/>
  <c r="F120" i="1"/>
  <c r="G182" i="1"/>
  <c r="J182" i="1"/>
  <c r="F352" i="1"/>
  <c r="J163" i="1"/>
  <c r="G163" i="1"/>
  <c r="E432" i="1"/>
  <c r="F285" i="1"/>
  <c r="M411" i="1"/>
  <c r="N411" i="1" s="1"/>
  <c r="J432" i="1"/>
  <c r="G432" i="1"/>
  <c r="G298" i="1"/>
  <c r="J298" i="1"/>
  <c r="E470" i="1"/>
  <c r="E443" i="1"/>
  <c r="J269" i="1"/>
  <c r="G269" i="1"/>
  <c r="J215" i="1"/>
  <c r="G215" i="1"/>
  <c r="F69" i="1"/>
  <c r="F450" i="1"/>
  <c r="G261" i="1"/>
  <c r="J261" i="1"/>
  <c r="F431" i="1"/>
  <c r="J242" i="1"/>
  <c r="G242" i="1"/>
  <c r="E363" i="1"/>
  <c r="E66" i="1"/>
  <c r="F458" i="1"/>
  <c r="F444" i="1"/>
  <c r="J385" i="1"/>
  <c r="G385" i="1"/>
  <c r="E423" i="1"/>
  <c r="J216" i="1"/>
  <c r="G216" i="1"/>
  <c r="F70" i="1"/>
  <c r="F360" i="1"/>
  <c r="J422" i="1"/>
  <c r="G422" i="1"/>
  <c r="E347" i="1"/>
  <c r="N415" i="1"/>
  <c r="F415" i="1"/>
  <c r="J482" i="1"/>
  <c r="G482" i="1"/>
  <c r="E101" i="1"/>
  <c r="J299" i="1"/>
  <c r="G299" i="1"/>
  <c r="E175" i="1"/>
  <c r="J105" i="1"/>
  <c r="G105" i="1"/>
  <c r="F141" i="1"/>
  <c r="G423" i="1"/>
  <c r="J423" i="1"/>
  <c r="F150" i="1"/>
  <c r="N93" i="1"/>
  <c r="F93" i="1"/>
  <c r="E205" i="1"/>
  <c r="N17" i="1"/>
  <c r="F17" i="1"/>
  <c r="J84" i="1"/>
  <c r="G84" i="1"/>
  <c r="F254" i="1"/>
  <c r="N254" i="1"/>
  <c r="F316" i="1"/>
  <c r="N244" i="1"/>
  <c r="F244" i="1"/>
  <c r="E226" i="1"/>
  <c r="N165" i="1"/>
  <c r="F165" i="1"/>
  <c r="J15" i="1"/>
  <c r="G15" i="1"/>
  <c r="J381" i="1"/>
  <c r="G381" i="1"/>
  <c r="F123" i="1"/>
  <c r="F477" i="1"/>
  <c r="J135" i="1"/>
  <c r="G135" i="1"/>
  <c r="N434" i="1"/>
  <c r="F434" i="1"/>
  <c r="G501" i="1"/>
  <c r="J501" i="1"/>
  <c r="J324" i="1"/>
  <c r="G324" i="1"/>
  <c r="E249" i="1"/>
  <c r="G487" i="1"/>
  <c r="J487" i="1"/>
  <c r="E322" i="1"/>
  <c r="E296" i="1"/>
  <c r="F59" i="1"/>
  <c r="J29" i="1"/>
  <c r="G29" i="1"/>
  <c r="F74" i="1"/>
  <c r="G281" i="1"/>
  <c r="J281" i="1"/>
  <c r="J347" i="1"/>
  <c r="G347" i="1"/>
  <c r="E36" i="1"/>
  <c r="E389" i="1"/>
  <c r="E6" i="1"/>
  <c r="E372" i="1"/>
  <c r="N425" i="1"/>
  <c r="F425" i="1"/>
  <c r="E196" i="1"/>
  <c r="E244" i="1"/>
  <c r="F83" i="1"/>
  <c r="E421" i="1"/>
  <c r="E4" i="1"/>
  <c r="N376" i="1"/>
  <c r="F376" i="1"/>
  <c r="E284" i="1"/>
  <c r="F96" i="1"/>
  <c r="E265" i="1"/>
  <c r="N307" i="1"/>
  <c r="F307" i="1"/>
  <c r="E271" i="1"/>
  <c r="J174" i="1"/>
  <c r="G174" i="1"/>
  <c r="J72" i="1"/>
  <c r="G72" i="1"/>
  <c r="F108" i="1"/>
  <c r="N474" i="1"/>
  <c r="F474" i="1"/>
  <c r="E405" i="1"/>
  <c r="E371" i="1"/>
  <c r="E115" i="1"/>
  <c r="N178" i="1"/>
  <c r="F178" i="1"/>
  <c r="J245" i="1"/>
  <c r="G245" i="1"/>
  <c r="J68" i="1"/>
  <c r="G68" i="1"/>
  <c r="N494" i="1"/>
  <c r="F494" i="1"/>
  <c r="G62" i="1"/>
  <c r="J62" i="1"/>
  <c r="J285" i="1"/>
  <c r="G285" i="1"/>
  <c r="E46" i="1"/>
  <c r="E292" i="1"/>
  <c r="N132" i="1"/>
  <c r="F132" i="1"/>
  <c r="E167" i="1"/>
  <c r="E462" i="1"/>
  <c r="N441" i="1"/>
  <c r="F441" i="1"/>
  <c r="E407" i="1"/>
  <c r="N483" i="1"/>
  <c r="F483" i="1"/>
  <c r="N426" i="1"/>
  <c r="F426" i="1"/>
  <c r="J76" i="1"/>
  <c r="G76" i="1"/>
  <c r="N241" i="1"/>
  <c r="F241" i="1"/>
  <c r="E154" i="1"/>
  <c r="F222" i="1"/>
  <c r="G359" i="1"/>
  <c r="J359" i="1"/>
  <c r="E367" i="1"/>
  <c r="N138" i="1"/>
  <c r="F138" i="1"/>
  <c r="N6" i="1"/>
  <c r="F6" i="1"/>
  <c r="F39" i="1"/>
  <c r="F397" i="1"/>
  <c r="N484" i="1"/>
  <c r="F484" i="1"/>
  <c r="J137" i="1"/>
  <c r="G137" i="1"/>
  <c r="J491" i="1"/>
  <c r="G491" i="1"/>
  <c r="E157" i="1"/>
  <c r="F225" i="1"/>
  <c r="N48" i="1"/>
  <c r="F48" i="1"/>
  <c r="J115" i="1"/>
  <c r="G115" i="1"/>
  <c r="G251" i="1"/>
  <c r="J251" i="1"/>
  <c r="E22" i="1"/>
  <c r="E162" i="1"/>
  <c r="E399" i="1"/>
  <c r="F339" i="1"/>
  <c r="E17" i="1"/>
  <c r="N486" i="1"/>
  <c r="F486" i="1"/>
  <c r="J138" i="1"/>
  <c r="G138" i="1"/>
  <c r="G81" i="1"/>
  <c r="J81" i="1"/>
  <c r="F312" i="1"/>
  <c r="G374" i="1"/>
  <c r="J374" i="1"/>
  <c r="E299" i="1"/>
  <c r="F367" i="1"/>
  <c r="J178" i="1"/>
  <c r="G178" i="1"/>
  <c r="E65" i="1"/>
  <c r="N23" i="1"/>
  <c r="F23" i="1"/>
  <c r="M423" i="1"/>
  <c r="N423" i="1" s="1"/>
  <c r="E70" i="1"/>
  <c r="N205" i="1"/>
  <c r="F205" i="1"/>
  <c r="E52" i="1"/>
  <c r="N330" i="1"/>
  <c r="F330" i="1"/>
  <c r="F22" i="1"/>
  <c r="N377" i="1"/>
  <c r="F377" i="1"/>
  <c r="G30" i="1"/>
  <c r="J30" i="1"/>
  <c r="F114" i="1"/>
  <c r="G437" i="1"/>
  <c r="J437" i="1"/>
  <c r="E106" i="1"/>
  <c r="F430" i="1"/>
  <c r="N430" i="1"/>
  <c r="J455" i="1"/>
  <c r="G455" i="1"/>
  <c r="E85" i="1"/>
  <c r="M407" i="1"/>
  <c r="N407" i="1" s="1"/>
  <c r="E486" i="1"/>
  <c r="J73" i="1"/>
  <c r="G73" i="1"/>
  <c r="J169" i="1"/>
  <c r="G169" i="1"/>
  <c r="N442" i="1"/>
  <c r="F442" i="1"/>
  <c r="J199" i="1"/>
  <c r="G199" i="1"/>
  <c r="F406" i="1"/>
  <c r="E260" i="1"/>
  <c r="N325" i="1"/>
  <c r="F325" i="1"/>
  <c r="F24" i="1"/>
  <c r="J342" i="1"/>
  <c r="G342" i="1"/>
  <c r="N177" i="1"/>
  <c r="F177" i="1"/>
  <c r="N256" i="1"/>
  <c r="F256" i="1"/>
  <c r="F335" i="1"/>
  <c r="F414" i="1"/>
  <c r="J41" i="1"/>
  <c r="G41" i="1"/>
  <c r="E177" i="1"/>
  <c r="E146" i="1"/>
  <c r="M264" i="1"/>
  <c r="N264" i="1" s="1"/>
  <c r="M157" i="1"/>
  <c r="N157" i="1" s="1"/>
  <c r="E474" i="1"/>
  <c r="F394" i="1"/>
  <c r="E319" i="1"/>
  <c r="E492" i="1"/>
  <c r="E312" i="1"/>
  <c r="N379" i="1"/>
  <c r="F379" i="1"/>
  <c r="G32" i="1"/>
  <c r="J32" i="1"/>
  <c r="N298" i="1"/>
  <c r="F298" i="1"/>
  <c r="J252" i="1"/>
  <c r="G252" i="1"/>
  <c r="J70" i="1"/>
  <c r="G70" i="1"/>
  <c r="E251" i="1"/>
  <c r="E74" i="1"/>
  <c r="F398" i="1"/>
  <c r="N137" i="1"/>
  <c r="F137" i="1"/>
  <c r="E120" i="1"/>
  <c r="E247" i="1"/>
  <c r="J407" i="1"/>
  <c r="G407" i="1"/>
  <c r="E424" i="1"/>
  <c r="J122" i="1"/>
  <c r="G122" i="1"/>
  <c r="J445" i="1"/>
  <c r="G445" i="1"/>
  <c r="E498" i="1"/>
  <c r="J492" i="1"/>
  <c r="G492" i="1"/>
  <c r="G310" i="1"/>
  <c r="J310" i="1"/>
  <c r="N480" i="1"/>
  <c r="F480" i="1"/>
  <c r="E58" i="1"/>
  <c r="F303" i="1"/>
  <c r="F47" i="1"/>
  <c r="J291" i="1"/>
  <c r="G291" i="1"/>
  <c r="G35" i="1"/>
  <c r="J35" i="1"/>
  <c r="E137" i="1"/>
  <c r="F382" i="1"/>
  <c r="F126" i="1"/>
  <c r="J370" i="1"/>
  <c r="G370" i="1"/>
  <c r="J114" i="1"/>
  <c r="G114" i="1"/>
  <c r="F124" i="1"/>
  <c r="J481" i="1"/>
  <c r="G481" i="1"/>
  <c r="F452" i="1"/>
  <c r="J139" i="1"/>
  <c r="G139" i="1"/>
  <c r="E100" i="1"/>
  <c r="J253" i="1"/>
  <c r="G253" i="1"/>
  <c r="E294" i="1"/>
  <c r="E393" i="1"/>
  <c r="J302" i="1"/>
  <c r="G302" i="1"/>
  <c r="F284" i="1"/>
  <c r="J219" i="1"/>
  <c r="G219" i="1"/>
  <c r="E270" i="1"/>
  <c r="N291" i="1"/>
  <c r="F291" i="1"/>
  <c r="N169" i="1"/>
  <c r="F169" i="1"/>
  <c r="M88" i="1"/>
  <c r="M406" i="1"/>
  <c r="N406" i="1" s="1"/>
  <c r="M445" i="1"/>
  <c r="N445" i="1" s="1"/>
  <c r="M382" i="1"/>
  <c r="N382" i="1" s="1"/>
  <c r="M297" i="1"/>
  <c r="N297" i="1" s="1"/>
  <c r="M211" i="1"/>
  <c r="N211" i="1" s="1"/>
  <c r="M47" i="1"/>
  <c r="N47" i="1" s="1"/>
  <c r="M374" i="1"/>
  <c r="N374" i="1" s="1"/>
  <c r="M334" i="1"/>
  <c r="N334" i="1" s="1"/>
  <c r="M287" i="1"/>
  <c r="N287" i="1" s="1"/>
  <c r="M22" i="1"/>
  <c r="N22" i="1" s="1"/>
  <c r="M460" i="1"/>
  <c r="N460" i="1" s="1"/>
  <c r="M204" i="1"/>
  <c r="N204" i="1" s="1"/>
  <c r="M12" i="1"/>
  <c r="N12" i="1" s="1"/>
  <c r="M91" i="1"/>
  <c r="N91" i="1" s="1"/>
  <c r="E328" i="1"/>
  <c r="E173" i="1"/>
  <c r="J485" i="1"/>
  <c r="G485" i="1"/>
  <c r="G52" i="1"/>
  <c r="J52" i="1"/>
  <c r="G466" i="1"/>
  <c r="J466" i="1"/>
  <c r="F438" i="1"/>
  <c r="E428" i="1"/>
  <c r="E254" i="1"/>
  <c r="F372" i="1"/>
  <c r="E50" i="1"/>
  <c r="E8" i="1"/>
  <c r="E356" i="1"/>
  <c r="J109" i="1"/>
  <c r="G109" i="1"/>
  <c r="N72" i="1"/>
  <c r="F72" i="1"/>
  <c r="J134" i="1"/>
  <c r="G134" i="1"/>
  <c r="E59" i="1"/>
  <c r="F127" i="1"/>
  <c r="G194" i="1"/>
  <c r="J194" i="1"/>
  <c r="N499" i="1"/>
  <c r="F499" i="1"/>
  <c r="E410" i="1"/>
  <c r="G42" i="1"/>
  <c r="J42" i="1"/>
  <c r="F451" i="1"/>
  <c r="E397" i="1"/>
  <c r="E417" i="1"/>
  <c r="E375" i="1"/>
  <c r="E335" i="1"/>
  <c r="J493" i="1"/>
  <c r="G493" i="1"/>
  <c r="F56" i="1"/>
  <c r="J118" i="1"/>
  <c r="G118" i="1"/>
  <c r="E43" i="1"/>
  <c r="F111" i="1"/>
  <c r="J434" i="1"/>
  <c r="O434" i="1" s="1"/>
  <c r="P434" i="1" s="1"/>
  <c r="G434" i="1"/>
  <c r="E454" i="1"/>
  <c r="E447" i="1"/>
  <c r="J26" i="1"/>
  <c r="G26" i="1"/>
  <c r="J334" i="1"/>
  <c r="G334" i="1"/>
  <c r="J106" i="1"/>
  <c r="G106" i="1"/>
  <c r="F297" i="1"/>
  <c r="E394" i="1"/>
  <c r="F429" i="1"/>
  <c r="E287" i="1"/>
  <c r="E51" i="1"/>
  <c r="N370" i="1"/>
  <c r="F370" i="1"/>
  <c r="J181" i="1"/>
  <c r="G181" i="1"/>
  <c r="J4" i="1"/>
  <c r="G4" i="1"/>
  <c r="F174" i="1"/>
  <c r="N174" i="1"/>
  <c r="F460" i="1"/>
  <c r="E478" i="1"/>
  <c r="M394" i="1"/>
  <c r="N394" i="1" s="1"/>
  <c r="J224" i="1"/>
  <c r="G224" i="1"/>
  <c r="N166" i="1"/>
  <c r="F166" i="1"/>
  <c r="N262" i="1"/>
  <c r="F262" i="1"/>
  <c r="E463" i="1"/>
  <c r="E338" i="1"/>
  <c r="J495" i="1"/>
  <c r="G495" i="1"/>
  <c r="G59" i="1"/>
  <c r="J59" i="1"/>
  <c r="J414" i="1"/>
  <c r="G414" i="1"/>
  <c r="J268" i="1"/>
  <c r="G268" i="1"/>
  <c r="N98" i="1"/>
  <c r="F98" i="1"/>
  <c r="J421" i="1"/>
  <c r="O421" i="1" s="1"/>
  <c r="P421" i="1" s="1"/>
  <c r="G421" i="1"/>
  <c r="J500" i="1"/>
  <c r="G500" i="1"/>
  <c r="F79" i="1"/>
  <c r="N158" i="1"/>
  <c r="F158" i="1"/>
  <c r="G120" i="1"/>
  <c r="J120" i="1"/>
  <c r="F324" i="1"/>
  <c r="N167" i="1"/>
  <c r="F167" i="1"/>
  <c r="M431" i="1"/>
  <c r="N431" i="1" s="1"/>
  <c r="M58" i="1"/>
  <c r="N26" i="1"/>
  <c r="F26" i="1"/>
  <c r="N133" i="1"/>
  <c r="F133" i="1"/>
  <c r="F219" i="1"/>
  <c r="E442" i="1"/>
  <c r="F259" i="1"/>
  <c r="E289" i="1"/>
  <c r="J443" i="1"/>
  <c r="G443" i="1"/>
  <c r="E208" i="1"/>
  <c r="N8" i="1"/>
  <c r="F8" i="1"/>
  <c r="G326" i="1"/>
  <c r="J326" i="1"/>
  <c r="G149" i="1"/>
  <c r="J149" i="1"/>
  <c r="E330" i="1"/>
  <c r="E153" i="1"/>
  <c r="J333" i="1"/>
  <c r="G333" i="1"/>
  <c r="E378" i="1"/>
  <c r="G449" i="1"/>
  <c r="J449" i="1"/>
  <c r="M69" i="1"/>
  <c r="N69" i="1" s="1"/>
  <c r="J398" i="1"/>
  <c r="G398" i="1"/>
  <c r="N189" i="1"/>
  <c r="F189" i="1"/>
  <c r="E278" i="1"/>
  <c r="F365" i="1"/>
  <c r="J474" i="1"/>
  <c r="G474" i="1"/>
  <c r="J416" i="1"/>
  <c r="G416" i="1"/>
  <c r="J363" i="1"/>
  <c r="G363" i="1"/>
  <c r="N322" i="1"/>
  <c r="F322" i="1"/>
  <c r="G133" i="1"/>
  <c r="J133" i="1"/>
  <c r="E414" i="1"/>
  <c r="J488" i="1"/>
  <c r="G488" i="1"/>
  <c r="E245" i="1"/>
  <c r="E395" i="1"/>
  <c r="E264" i="1"/>
  <c r="J10" i="1"/>
  <c r="G10" i="1"/>
  <c r="J365" i="1"/>
  <c r="G365" i="1"/>
  <c r="N232" i="1"/>
  <c r="F232" i="1"/>
  <c r="J294" i="1"/>
  <c r="G294" i="1"/>
  <c r="E140" i="1"/>
  <c r="F129" i="1"/>
  <c r="G117" i="1"/>
  <c r="J117" i="1"/>
  <c r="N464" i="1"/>
  <c r="F464" i="1"/>
  <c r="J452" i="1"/>
  <c r="G452" i="1"/>
  <c r="E298" i="1"/>
  <c r="F287" i="1"/>
  <c r="G275" i="1"/>
  <c r="J275" i="1"/>
  <c r="E121" i="1"/>
  <c r="N110" i="1"/>
  <c r="F110" i="1"/>
  <c r="G98" i="1"/>
  <c r="J98" i="1"/>
  <c r="N134" i="1"/>
  <c r="F134" i="1"/>
  <c r="N9" i="1"/>
  <c r="F9" i="1"/>
  <c r="J329" i="1"/>
  <c r="G329" i="1"/>
  <c r="J270" i="1"/>
  <c r="G270" i="1"/>
  <c r="N345" i="1"/>
  <c r="F345" i="1"/>
  <c r="E323" i="1"/>
  <c r="N357" i="1"/>
  <c r="F357" i="1"/>
  <c r="F420" i="1"/>
  <c r="M114" i="1"/>
  <c r="N114" i="1" s="1"/>
  <c r="M420" i="1"/>
  <c r="N420" i="1" s="1"/>
  <c r="M352" i="1"/>
  <c r="N352" i="1" s="1"/>
  <c r="M265" i="1"/>
  <c r="N265" i="1" s="1"/>
  <c r="M192" i="1"/>
  <c r="N192" i="1" s="1"/>
  <c r="M355" i="1"/>
  <c r="N355" i="1" s="1"/>
  <c r="M312" i="1"/>
  <c r="N312" i="1" s="1"/>
  <c r="M4" i="1"/>
  <c r="N4" i="1" s="1"/>
  <c r="M365" i="1"/>
  <c r="N365" i="1" s="1"/>
  <c r="M444" i="1"/>
  <c r="N444" i="1" s="1"/>
  <c r="F125" i="1"/>
  <c r="E355" i="1"/>
  <c r="J107" i="1"/>
  <c r="G107" i="1"/>
  <c r="J406" i="1"/>
  <c r="G406" i="1"/>
  <c r="E331" i="1"/>
  <c r="N143" i="1"/>
  <c r="F143" i="1"/>
  <c r="E228" i="1"/>
  <c r="J361" i="1"/>
  <c r="G361" i="1"/>
  <c r="M448" i="1"/>
  <c r="N448" i="1" s="1"/>
  <c r="M313" i="1"/>
  <c r="N313" i="1" s="1"/>
  <c r="J24" i="1"/>
  <c r="G24" i="1"/>
  <c r="E340" i="1"/>
  <c r="N89" i="1"/>
  <c r="F89" i="1"/>
  <c r="N36" i="1"/>
  <c r="F36" i="1"/>
  <c r="J304" i="1"/>
  <c r="G304" i="1"/>
  <c r="F73" i="1"/>
  <c r="F427" i="1"/>
  <c r="J80" i="1"/>
  <c r="G80" i="1"/>
  <c r="N402" i="1"/>
  <c r="F402" i="1"/>
  <c r="G469" i="1"/>
  <c r="J469" i="1"/>
  <c r="J36" i="1"/>
  <c r="G36" i="1"/>
  <c r="J371" i="1"/>
  <c r="G371" i="1"/>
  <c r="E293" i="1"/>
  <c r="E302" i="1"/>
  <c r="E256" i="1"/>
  <c r="E148" i="1"/>
  <c r="E95" i="1"/>
  <c r="J23" i="1"/>
  <c r="G23" i="1"/>
  <c r="N75" i="1"/>
  <c r="F75" i="1"/>
  <c r="F428" i="1"/>
  <c r="E286" i="1"/>
  <c r="J300" i="1"/>
  <c r="G300" i="1"/>
  <c r="E220" i="1"/>
  <c r="N32" i="1"/>
  <c r="F32" i="1"/>
  <c r="G99" i="1"/>
  <c r="J99" i="1"/>
  <c r="J328" i="1"/>
  <c r="G328" i="1"/>
  <c r="E321" i="1"/>
  <c r="M296" i="1"/>
  <c r="N296" i="1" s="1"/>
  <c r="E379" i="1"/>
  <c r="F12" i="1"/>
  <c r="J248" i="1"/>
  <c r="G248" i="1"/>
  <c r="J232" i="1"/>
  <c r="G232" i="1"/>
  <c r="N405" i="1"/>
  <c r="F405" i="1"/>
  <c r="E258" i="1"/>
  <c r="J284" i="1"/>
  <c r="G284" i="1"/>
  <c r="E204" i="1"/>
  <c r="F272" i="1"/>
  <c r="G339" i="1"/>
  <c r="J339" i="1"/>
  <c r="J400" i="1"/>
  <c r="G400" i="1"/>
  <c r="F60" i="1"/>
  <c r="E361" i="1"/>
  <c r="N84" i="1"/>
  <c r="F84" i="1"/>
  <c r="E350" i="1"/>
  <c r="J56" i="1"/>
  <c r="G56" i="1"/>
  <c r="F292" i="1"/>
  <c r="G113" i="1"/>
  <c r="J113" i="1"/>
  <c r="N378" i="1"/>
  <c r="F378" i="1"/>
  <c r="E231" i="1"/>
  <c r="N443" i="1"/>
  <c r="F443" i="1"/>
  <c r="E291" i="1"/>
  <c r="N356" i="1"/>
  <c r="F356" i="1"/>
  <c r="F299" i="1"/>
  <c r="F248" i="1"/>
  <c r="J54" i="1"/>
  <c r="G54" i="1"/>
  <c r="G212" i="1"/>
  <c r="J212" i="1"/>
  <c r="F181" i="1"/>
  <c r="F467" i="1"/>
  <c r="E490" i="1"/>
  <c r="E274" i="1"/>
  <c r="J40" i="1"/>
  <c r="G40" i="1"/>
  <c r="G393" i="1"/>
  <c r="J393" i="1"/>
  <c r="N247" i="1"/>
  <c r="F247" i="1"/>
  <c r="J220" i="1"/>
  <c r="G220" i="1"/>
  <c r="J38" i="1"/>
  <c r="G38" i="1"/>
  <c r="N385" i="1"/>
  <c r="F385" i="1"/>
  <c r="G373" i="1"/>
  <c r="J373" i="1"/>
  <c r="E219" i="1"/>
  <c r="F208" i="1"/>
  <c r="J196" i="1"/>
  <c r="G196" i="1"/>
  <c r="E42" i="1"/>
  <c r="F31" i="1"/>
  <c r="G19" i="1"/>
  <c r="J19" i="1"/>
  <c r="F366" i="1"/>
  <c r="J354" i="1"/>
  <c r="G354" i="1"/>
  <c r="F195" i="1"/>
  <c r="E192" i="1"/>
  <c r="E273" i="1"/>
  <c r="E352" i="1"/>
  <c r="F473" i="1"/>
  <c r="J295" i="1"/>
  <c r="G295" i="1"/>
  <c r="F41" i="1"/>
  <c r="E457" i="1"/>
  <c r="J192" i="1"/>
  <c r="G192" i="1"/>
  <c r="F156" i="1"/>
  <c r="E150" i="1"/>
  <c r="N310" i="1"/>
  <c r="F310" i="1"/>
  <c r="F313" i="1"/>
  <c r="E460" i="1"/>
  <c r="N268" i="1"/>
  <c r="F268" i="1"/>
  <c r="E433" i="1"/>
  <c r="N13" i="1"/>
  <c r="F13" i="1"/>
  <c r="E456" i="1"/>
  <c r="F423" i="1"/>
  <c r="J330" i="1"/>
  <c r="G330" i="1"/>
  <c r="N340" i="1"/>
  <c r="F340" i="1"/>
  <c r="E206" i="1"/>
  <c r="F109" i="1"/>
  <c r="J16" i="1"/>
  <c r="G16" i="1"/>
  <c r="E464" i="1"/>
  <c r="F371" i="1"/>
  <c r="G273" i="1"/>
  <c r="J273" i="1"/>
  <c r="E207" i="1"/>
  <c r="E369" i="1"/>
  <c r="N293" i="1"/>
  <c r="F293" i="1"/>
  <c r="J200" i="1"/>
  <c r="G200" i="1"/>
  <c r="N77" i="1"/>
  <c r="F77" i="1"/>
  <c r="E240" i="1"/>
  <c r="F139" i="1"/>
  <c r="J46" i="1"/>
  <c r="G46" i="1"/>
  <c r="E241" i="1"/>
  <c r="F331" i="1"/>
  <c r="J424" i="1"/>
  <c r="G424" i="1"/>
  <c r="J13" i="1"/>
  <c r="O13" i="1" s="1"/>
  <c r="P13" i="1" s="1"/>
  <c r="G13" i="1"/>
  <c r="E212" i="1"/>
  <c r="N301" i="1"/>
  <c r="F301" i="1"/>
  <c r="G394" i="1"/>
  <c r="J394" i="1"/>
  <c r="E500" i="1"/>
  <c r="E183" i="1"/>
  <c r="F277" i="1"/>
  <c r="J366" i="1"/>
  <c r="G366" i="1"/>
  <c r="E483" i="1"/>
  <c r="E159" i="1"/>
  <c r="F249" i="1"/>
  <c r="G337" i="1"/>
  <c r="J337" i="1"/>
  <c r="E466" i="1"/>
  <c r="E130" i="1"/>
  <c r="N220" i="1"/>
  <c r="F220" i="1"/>
  <c r="G313" i="1"/>
  <c r="J313" i="1"/>
  <c r="E227" i="1"/>
  <c r="F472" i="1"/>
  <c r="N216" i="1"/>
  <c r="F216" i="1"/>
  <c r="J460" i="1"/>
  <c r="G460" i="1"/>
  <c r="J204" i="1"/>
  <c r="G204" i="1"/>
  <c r="E301" i="1"/>
  <c r="E45" i="1"/>
  <c r="N290" i="1"/>
  <c r="F290" i="1"/>
  <c r="N34" i="1"/>
  <c r="F34" i="1"/>
  <c r="G278" i="1"/>
  <c r="J278" i="1"/>
  <c r="J22" i="1"/>
  <c r="G22" i="1"/>
  <c r="E124" i="1"/>
  <c r="F369" i="1"/>
  <c r="N369" i="1"/>
  <c r="F113" i="1"/>
  <c r="J357" i="1"/>
  <c r="G357" i="1"/>
  <c r="G101" i="1"/>
  <c r="J101" i="1"/>
  <c r="E203" i="1"/>
  <c r="F448" i="1"/>
  <c r="F192" i="1"/>
  <c r="J436" i="1"/>
  <c r="G436" i="1"/>
  <c r="J180" i="1"/>
  <c r="G180" i="1"/>
  <c r="E282" i="1"/>
  <c r="E26" i="1"/>
  <c r="F271" i="1"/>
  <c r="N15" i="1"/>
  <c r="F15" i="1"/>
  <c r="J259" i="1"/>
  <c r="G259" i="1"/>
  <c r="J3" i="1"/>
  <c r="G3" i="1"/>
  <c r="E105" i="1"/>
  <c r="F350" i="1"/>
  <c r="N94" i="1"/>
  <c r="F94" i="1"/>
  <c r="G338" i="1"/>
  <c r="J338" i="1"/>
  <c r="G82" i="1"/>
  <c r="J82" i="1"/>
  <c r="N252" i="1"/>
  <c r="F252" i="1"/>
  <c r="N202" i="1"/>
  <c r="F202" i="1"/>
  <c r="E360" i="1"/>
  <c r="F343" i="1"/>
  <c r="E449" i="1"/>
  <c r="J401" i="1"/>
  <c r="G401" i="1"/>
  <c r="E385" i="1"/>
  <c r="F61" i="1"/>
  <c r="E327" i="1"/>
  <c r="F396" i="1"/>
  <c r="J362" i="1"/>
  <c r="G362" i="1"/>
  <c r="E366" i="1"/>
  <c r="N419" i="1"/>
  <c r="F419" i="1"/>
  <c r="E216" i="1"/>
  <c r="M217" i="1"/>
  <c r="N217" i="1" s="1"/>
  <c r="M196" i="1"/>
  <c r="N196" i="1" s="1"/>
  <c r="M326" i="1"/>
  <c r="N326" i="1" s="1"/>
  <c r="M152" i="1"/>
  <c r="N152" i="1" s="1"/>
  <c r="M63" i="1"/>
  <c r="N63" i="1" s="1"/>
  <c r="M168" i="1"/>
  <c r="N168" i="1" s="1"/>
  <c r="M336" i="1"/>
  <c r="N336" i="1" s="1"/>
  <c r="M292" i="1"/>
  <c r="N292" i="1" s="1"/>
  <c r="M255" i="1"/>
  <c r="N255" i="1" s="1"/>
  <c r="M349" i="1"/>
  <c r="N349" i="1" s="1"/>
  <c r="M92" i="1"/>
  <c r="M428" i="1"/>
  <c r="N428" i="1" s="1"/>
  <c r="M172" i="1"/>
  <c r="N172" i="1" s="1"/>
  <c r="M251" i="1"/>
  <c r="M59" i="1"/>
  <c r="N59" i="1" s="1"/>
  <c r="F454" i="1"/>
  <c r="N344" i="1"/>
  <c r="F344" i="1"/>
  <c r="G150" i="1"/>
  <c r="J150" i="1"/>
  <c r="F320" i="1"/>
  <c r="G131" i="1"/>
  <c r="J131" i="1"/>
  <c r="F323" i="1"/>
  <c r="E365" i="1"/>
  <c r="M225" i="1"/>
  <c r="N225" i="1" s="1"/>
  <c r="E225" i="1"/>
  <c r="J206" i="1"/>
  <c r="G206" i="1"/>
  <c r="J202" i="1"/>
  <c r="G202" i="1"/>
  <c r="J382" i="1"/>
  <c r="G382" i="1"/>
  <c r="E336" i="1"/>
  <c r="J494" i="1"/>
  <c r="O494" i="1" s="1"/>
  <c r="P494" i="1" s="1"/>
  <c r="G494" i="1"/>
  <c r="F348" i="1"/>
  <c r="E125" i="1"/>
  <c r="N193" i="1"/>
  <c r="F193" i="1"/>
  <c r="F16" i="1"/>
  <c r="E185" i="1"/>
  <c r="E496" i="1"/>
  <c r="J301" i="1"/>
  <c r="G301" i="1"/>
  <c r="M173" i="1"/>
  <c r="F211" i="1"/>
  <c r="E392" i="1"/>
  <c r="E445" i="1"/>
  <c r="J426" i="1"/>
  <c r="G426" i="1"/>
  <c r="E368" i="1"/>
  <c r="E310" i="1"/>
  <c r="G471" i="1"/>
  <c r="J471" i="1"/>
  <c r="J31" i="1"/>
  <c r="G31" i="1"/>
  <c r="N280" i="1"/>
  <c r="F280" i="1"/>
  <c r="N354" i="1"/>
  <c r="F354" i="1"/>
  <c r="N433" i="1"/>
  <c r="F433" i="1"/>
  <c r="E11" i="1"/>
  <c r="E90" i="1"/>
  <c r="E169" i="1"/>
  <c r="J477" i="1"/>
  <c r="G477" i="1"/>
  <c r="J104" i="1"/>
  <c r="G104" i="1"/>
  <c r="J71" i="1"/>
  <c r="G71" i="1"/>
  <c r="M495" i="1"/>
  <c r="N495" i="1" s="1"/>
  <c r="M54" i="1"/>
  <c r="E339" i="1"/>
  <c r="E495" i="1"/>
  <c r="J440" i="1"/>
  <c r="G440" i="1"/>
  <c r="N485" i="1"/>
  <c r="F485" i="1"/>
  <c r="E64" i="1"/>
  <c r="G497" i="1"/>
  <c r="J497" i="1"/>
  <c r="E261" i="1"/>
  <c r="G415" i="1"/>
  <c r="J415" i="1"/>
  <c r="E19" i="1"/>
  <c r="F338" i="1"/>
  <c r="F161" i="1"/>
  <c r="J484" i="1"/>
  <c r="G484" i="1"/>
  <c r="J307" i="1"/>
  <c r="G307" i="1"/>
  <c r="G130" i="1"/>
  <c r="J130" i="1"/>
  <c r="J176" i="1"/>
  <c r="G176" i="1"/>
  <c r="E213" i="1"/>
  <c r="M224" i="1"/>
  <c r="M320" i="1"/>
  <c r="N320" i="1" s="1"/>
  <c r="M303" i="1"/>
  <c r="N303" i="1" s="1"/>
  <c r="E381" i="1"/>
  <c r="J335" i="1"/>
  <c r="G335" i="1"/>
  <c r="N186" i="1"/>
  <c r="F186" i="1"/>
  <c r="J272" i="1"/>
  <c r="G272" i="1"/>
  <c r="J63" i="1"/>
  <c r="G63" i="1"/>
  <c r="J9" i="1"/>
  <c r="G9" i="1"/>
  <c r="E259" i="1"/>
  <c r="N66" i="1"/>
  <c r="F66" i="1"/>
  <c r="E235" i="1"/>
  <c r="E429" i="1"/>
  <c r="E305" i="1"/>
  <c r="F151" i="1"/>
  <c r="N332" i="1"/>
  <c r="F332" i="1"/>
  <c r="N358" i="1"/>
  <c r="F358" i="1"/>
  <c r="E210" i="1"/>
  <c r="E482" i="1"/>
  <c r="J476" i="1"/>
  <c r="G476" i="1"/>
  <c r="N117" i="1"/>
  <c r="F117" i="1"/>
  <c r="N422" i="1"/>
  <c r="F422" i="1"/>
  <c r="J480" i="1"/>
  <c r="G480" i="1"/>
  <c r="E168" i="1"/>
  <c r="E396" i="1"/>
  <c r="F333" i="1"/>
  <c r="J234" i="1"/>
  <c r="G234" i="1"/>
  <c r="E97" i="1"/>
  <c r="E343" i="1"/>
  <c r="F260" i="1"/>
  <c r="J157" i="1"/>
  <c r="G157" i="1"/>
  <c r="J462" i="1"/>
  <c r="G462" i="1"/>
  <c r="E198" i="1"/>
  <c r="N106" i="1"/>
  <c r="F106" i="1"/>
  <c r="J11" i="1"/>
  <c r="G11" i="1"/>
  <c r="E214" i="1"/>
  <c r="N308" i="1"/>
  <c r="F308" i="1"/>
  <c r="J397" i="1"/>
  <c r="G397" i="1"/>
  <c r="E501" i="1"/>
  <c r="E184" i="1"/>
  <c r="F278" i="1"/>
  <c r="J367" i="1"/>
  <c r="G367" i="1"/>
  <c r="E484" i="1"/>
  <c r="E160" i="1"/>
  <c r="F250" i="1"/>
  <c r="G343" i="1"/>
  <c r="J343" i="1"/>
  <c r="E467" i="1"/>
  <c r="E132" i="1"/>
  <c r="F221" i="1"/>
  <c r="G314" i="1"/>
  <c r="J314" i="1"/>
  <c r="E450" i="1"/>
  <c r="E103" i="1"/>
  <c r="F197" i="1"/>
  <c r="J286" i="1"/>
  <c r="G286" i="1"/>
  <c r="E211" i="1"/>
  <c r="F456" i="1"/>
  <c r="N200" i="1"/>
  <c r="F200" i="1"/>
  <c r="J444" i="1"/>
  <c r="O444" i="1" s="1"/>
  <c r="P444" i="1" s="1"/>
  <c r="G444" i="1"/>
  <c r="J188" i="1"/>
  <c r="G188" i="1"/>
  <c r="E285" i="1"/>
  <c r="E29" i="1"/>
  <c r="F274" i="1"/>
  <c r="N18" i="1"/>
  <c r="F18" i="1"/>
  <c r="G262" i="1"/>
  <c r="J262" i="1"/>
  <c r="J6" i="1"/>
  <c r="O6" i="1" s="1"/>
  <c r="P6" i="1" s="1"/>
  <c r="G6" i="1"/>
  <c r="E108" i="1"/>
  <c r="F353" i="1"/>
  <c r="F97" i="1"/>
  <c r="G341" i="1"/>
  <c r="J341" i="1"/>
  <c r="J85" i="1"/>
  <c r="G85" i="1"/>
  <c r="E187" i="1"/>
  <c r="F432" i="1"/>
  <c r="F176" i="1"/>
  <c r="N176" i="1"/>
  <c r="J420" i="1"/>
  <c r="G420" i="1"/>
  <c r="J164" i="1"/>
  <c r="G164" i="1"/>
  <c r="E266" i="1"/>
  <c r="E10" i="1"/>
  <c r="F255" i="1"/>
  <c r="G499" i="1"/>
  <c r="J499" i="1"/>
  <c r="J243" i="1"/>
  <c r="G243" i="1"/>
  <c r="E345" i="1"/>
  <c r="E89" i="1"/>
  <c r="F334" i="1"/>
  <c r="N78" i="1"/>
  <c r="F78" i="1"/>
  <c r="J322" i="1"/>
  <c r="O322" i="1" s="1"/>
  <c r="P322" i="1" s="1"/>
  <c r="G322" i="1"/>
  <c r="G66" i="1"/>
  <c r="J66" i="1"/>
  <c r="O66" i="1" s="1"/>
  <c r="P66" i="1" s="1"/>
  <c r="F315" i="1"/>
  <c r="N388" i="1"/>
  <c r="F388" i="1"/>
  <c r="J45" i="1"/>
  <c r="G45" i="1"/>
  <c r="E144" i="1"/>
  <c r="G154" i="1"/>
  <c r="J154" i="1"/>
  <c r="J478" i="1"/>
  <c r="G478" i="1"/>
  <c r="E427" i="1"/>
  <c r="N393" i="1"/>
  <c r="F393" i="1"/>
  <c r="J303" i="1"/>
  <c r="G303" i="1"/>
  <c r="N468" i="1"/>
  <c r="F468" i="1"/>
  <c r="J439" i="1"/>
  <c r="G439" i="1"/>
  <c r="E408" i="1"/>
  <c r="N470" i="1"/>
  <c r="F470" i="1"/>
  <c r="J225" i="1"/>
  <c r="G225" i="1"/>
  <c r="M275" i="1"/>
  <c r="N275" i="1" s="1"/>
  <c r="M35" i="1"/>
  <c r="N35" i="1" s="1"/>
  <c r="M39" i="1"/>
  <c r="N39" i="1" s="1"/>
  <c r="M440" i="1"/>
  <c r="N440" i="1" s="1"/>
  <c r="M16" i="1"/>
  <c r="N16" i="1" s="1"/>
  <c r="M154" i="1"/>
  <c r="N154" i="1" s="1"/>
  <c r="M367" i="1"/>
  <c r="N367" i="1" s="1"/>
  <c r="M302" i="1"/>
  <c r="N302" i="1" s="1"/>
  <c r="M126" i="1"/>
  <c r="N126" i="1" s="1"/>
  <c r="M477" i="1"/>
  <c r="N477" i="1" s="1"/>
  <c r="M24" i="1"/>
  <c r="N24" i="1" s="1"/>
  <c r="M472" i="1"/>
  <c r="N472" i="1" s="1"/>
  <c r="M314" i="1"/>
  <c r="N314" i="1" s="1"/>
  <c r="M451" i="1"/>
  <c r="N451" i="1" s="1"/>
  <c r="M239" i="1"/>
  <c r="N239" i="1" s="1"/>
  <c r="M333" i="1"/>
  <c r="N333" i="1" s="1"/>
  <c r="M74" i="1"/>
  <c r="N74" i="1" s="1"/>
  <c r="M412" i="1"/>
  <c r="M156" i="1"/>
  <c r="N156" i="1" s="1"/>
  <c r="M491" i="1"/>
  <c r="N491" i="1" s="1"/>
  <c r="M235" i="1"/>
  <c r="M43" i="1"/>
  <c r="N43" i="1" s="1"/>
  <c r="J189" i="1"/>
  <c r="G189" i="1"/>
  <c r="F43" i="1"/>
  <c r="N88" i="1"/>
  <c r="F88" i="1"/>
  <c r="E252" i="1"/>
  <c r="F64" i="1"/>
  <c r="E233" i="1"/>
  <c r="E280" i="1"/>
  <c r="F413" i="1"/>
  <c r="M300" i="1"/>
  <c r="N300" i="1" s="1"/>
  <c r="E78" i="1"/>
  <c r="E98" i="1"/>
  <c r="E128" i="1"/>
  <c r="J458" i="1"/>
  <c r="G458" i="1"/>
  <c r="G191" i="1"/>
  <c r="J191" i="1"/>
  <c r="F44" i="1"/>
  <c r="F403" i="1"/>
  <c r="J60" i="1"/>
  <c r="G60" i="1"/>
  <c r="N481" i="1"/>
  <c r="F481" i="1"/>
  <c r="G292" i="1"/>
  <c r="J292" i="1"/>
  <c r="N462" i="1"/>
  <c r="F462" i="1"/>
  <c r="E119" i="1"/>
  <c r="E406" i="1"/>
  <c r="M360" i="1"/>
  <c r="N360" i="1" s="1"/>
  <c r="M432" i="1"/>
  <c r="N432" i="1" s="1"/>
  <c r="E222" i="1"/>
  <c r="J145" i="1"/>
  <c r="G145" i="1"/>
  <c r="F445" i="1"/>
  <c r="E415" i="1"/>
  <c r="E357" i="1"/>
  <c r="E308" i="1"/>
  <c r="E67" i="1"/>
  <c r="N386" i="1"/>
  <c r="F386" i="1"/>
  <c r="G453" i="1"/>
  <c r="J453" i="1"/>
  <c r="J20" i="1"/>
  <c r="G20" i="1"/>
  <c r="F446" i="1"/>
  <c r="N214" i="1"/>
  <c r="F214" i="1"/>
  <c r="N10" i="1"/>
  <c r="F10" i="1"/>
  <c r="M452" i="1"/>
  <c r="N452" i="1" s="1"/>
  <c r="J475" i="1"/>
  <c r="G475" i="1"/>
  <c r="E376" i="1"/>
  <c r="F475" i="1"/>
  <c r="F459" i="1"/>
  <c r="J111" i="1"/>
  <c r="G111" i="1"/>
  <c r="J58" i="1"/>
  <c r="G58" i="1"/>
  <c r="F296" i="1"/>
  <c r="J102" i="1"/>
  <c r="G102" i="1"/>
  <c r="E27" i="1"/>
  <c r="N351" i="1"/>
  <c r="F351" i="1"/>
  <c r="G418" i="1"/>
  <c r="J418" i="1"/>
  <c r="E117" i="1"/>
  <c r="F91" i="1"/>
  <c r="M249" i="1"/>
  <c r="N249" i="1" s="1"/>
  <c r="E290" i="1"/>
  <c r="N51" i="1"/>
  <c r="F51" i="1"/>
  <c r="E71" i="1"/>
  <c r="E18" i="1"/>
  <c r="E246" i="1"/>
  <c r="F25" i="1"/>
  <c r="J88" i="1"/>
  <c r="G88" i="1"/>
  <c r="J442" i="1"/>
  <c r="O442" i="1" s="1"/>
  <c r="P442" i="1" s="1"/>
  <c r="G442" i="1"/>
  <c r="J7" i="1"/>
  <c r="G7" i="1"/>
  <c r="E109" i="1"/>
  <c r="J86" i="1"/>
  <c r="G86" i="1"/>
  <c r="E267" i="1"/>
  <c r="J244" i="1"/>
  <c r="G244" i="1"/>
  <c r="J323" i="1"/>
  <c r="G323" i="1"/>
  <c r="J402" i="1"/>
  <c r="G402" i="1"/>
  <c r="E194" i="1"/>
  <c r="N471" i="1"/>
  <c r="F471" i="1"/>
  <c r="J75" i="1"/>
  <c r="O75" i="1" s="1"/>
  <c r="P75" i="1" s="1"/>
  <c r="G75" i="1"/>
  <c r="M458" i="1"/>
  <c r="N458" i="1" s="1"/>
  <c r="M242" i="1"/>
  <c r="N242" i="1" s="1"/>
  <c r="M236" i="1"/>
  <c r="N236" i="1" s="1"/>
  <c r="M44" i="1"/>
  <c r="N44" i="1" s="1"/>
  <c r="G78" i="1"/>
  <c r="J78" i="1"/>
  <c r="E38" i="1"/>
  <c r="J352" i="1"/>
  <c r="G352" i="1"/>
  <c r="J305" i="1"/>
  <c r="G305" i="1"/>
  <c r="N409" i="1"/>
  <c r="F409" i="1"/>
  <c r="G472" i="1"/>
  <c r="J472" i="1"/>
  <c r="E232" i="1"/>
  <c r="E275" i="1"/>
  <c r="E93" i="1"/>
  <c r="F417" i="1"/>
  <c r="N417" i="1"/>
  <c r="F496" i="1"/>
  <c r="F63" i="1"/>
  <c r="J386" i="1"/>
  <c r="G386" i="1"/>
  <c r="N361" i="1"/>
  <c r="F361" i="1"/>
  <c r="N233" i="1"/>
  <c r="F233" i="1"/>
  <c r="M324" i="1"/>
  <c r="N324" i="1" s="1"/>
  <c r="M353" i="1"/>
  <c r="N353" i="1" s="1"/>
  <c r="N28" i="1"/>
  <c r="F28" i="1"/>
  <c r="F500" i="1"/>
  <c r="J350" i="1"/>
  <c r="G350" i="1"/>
  <c r="N215" i="1"/>
  <c r="F215" i="1"/>
  <c r="G33" i="1"/>
  <c r="J33" i="1"/>
  <c r="E181" i="1"/>
  <c r="J236" i="1"/>
  <c r="G236" i="1"/>
  <c r="N401" i="1"/>
  <c r="F401" i="1"/>
  <c r="E314" i="1"/>
  <c r="F246" i="1"/>
  <c r="J368" i="1"/>
  <c r="G368" i="1"/>
  <c r="N410" i="1"/>
  <c r="F410" i="1"/>
  <c r="F229" i="1"/>
  <c r="E239" i="1"/>
  <c r="E182" i="1"/>
  <c r="J336" i="1"/>
  <c r="G336" i="1"/>
  <c r="E61" i="1"/>
  <c r="G411" i="1"/>
  <c r="J411" i="1"/>
  <c r="E7" i="1"/>
  <c r="J297" i="1"/>
  <c r="G297" i="1"/>
  <c r="N188" i="1"/>
  <c r="F188" i="1"/>
  <c r="E481" i="1"/>
  <c r="E248" i="1"/>
  <c r="N347" i="1"/>
  <c r="F347" i="1"/>
  <c r="F37" i="1"/>
  <c r="N489" i="1"/>
  <c r="F489" i="1"/>
  <c r="J318" i="1"/>
  <c r="G318" i="1"/>
  <c r="E191" i="1"/>
  <c r="E161" i="1"/>
  <c r="E133" i="1"/>
  <c r="E451" i="1"/>
  <c r="J287" i="1"/>
  <c r="O287" i="1" s="1"/>
  <c r="P287" i="1" s="1"/>
  <c r="G287" i="1"/>
  <c r="E80" i="1"/>
  <c r="N170" i="1"/>
  <c r="F170" i="1"/>
  <c r="J263" i="1"/>
  <c r="G263" i="1"/>
  <c r="E195" i="1"/>
  <c r="F440" i="1"/>
  <c r="F184" i="1"/>
  <c r="J428" i="1"/>
  <c r="G428" i="1"/>
  <c r="J172" i="1"/>
  <c r="G172" i="1"/>
  <c r="E269" i="1"/>
  <c r="E13" i="1"/>
  <c r="N258" i="1"/>
  <c r="F258" i="1"/>
  <c r="G246" i="1"/>
  <c r="J246" i="1"/>
  <c r="E348" i="1"/>
  <c r="E92" i="1"/>
  <c r="F337" i="1"/>
  <c r="N81" i="1"/>
  <c r="F81" i="1"/>
  <c r="G325" i="1"/>
  <c r="J325" i="1"/>
  <c r="J69" i="1"/>
  <c r="O69" i="1" s="1"/>
  <c r="P69" i="1" s="1"/>
  <c r="G69" i="1"/>
  <c r="E171" i="1"/>
  <c r="N416" i="1"/>
  <c r="F416" i="1"/>
  <c r="N160" i="1"/>
  <c r="F160" i="1"/>
  <c r="J404" i="1"/>
  <c r="G404" i="1"/>
  <c r="J148" i="1"/>
  <c r="G148" i="1"/>
  <c r="E250" i="1"/>
  <c r="F495" i="1"/>
  <c r="F239" i="1"/>
  <c r="G483" i="1"/>
  <c r="J483" i="1"/>
  <c r="O483" i="1" s="1"/>
  <c r="P483" i="1" s="1"/>
  <c r="J227" i="1"/>
  <c r="G227" i="1"/>
  <c r="E329" i="1"/>
  <c r="E73" i="1"/>
  <c r="N318" i="1"/>
  <c r="F318" i="1"/>
  <c r="N62" i="1"/>
  <c r="F62" i="1"/>
  <c r="J306" i="1"/>
  <c r="G306" i="1"/>
  <c r="G50" i="1"/>
  <c r="J50" i="1"/>
  <c r="N380" i="1"/>
  <c r="F380" i="1"/>
  <c r="F439" i="1"/>
  <c r="J413" i="1"/>
  <c r="G413" i="1"/>
  <c r="E364" i="1"/>
  <c r="J379" i="1"/>
  <c r="G379" i="1"/>
  <c r="N54" i="1"/>
  <c r="F54" i="1"/>
  <c r="J256" i="1"/>
  <c r="O256" i="1" s="1"/>
  <c r="P256" i="1" s="1"/>
  <c r="G256" i="1"/>
  <c r="E304" i="1"/>
  <c r="E40" i="1"/>
  <c r="E23" i="1"/>
  <c r="F11" i="1"/>
  <c r="E446" i="1"/>
  <c r="E34" i="1"/>
  <c r="F243" i="1"/>
  <c r="M337" i="1"/>
  <c r="N337" i="1" s="1"/>
  <c r="M97" i="1"/>
  <c r="N97" i="1" s="1"/>
  <c r="M102" i="1"/>
  <c r="N102" i="1" s="1"/>
  <c r="M246" i="1"/>
  <c r="N246" i="1" s="1"/>
  <c r="M404" i="1"/>
  <c r="N404" i="1" s="1"/>
  <c r="M113" i="1"/>
  <c r="N113" i="1" s="1"/>
  <c r="M341" i="1"/>
  <c r="N341" i="1" s="1"/>
  <c r="M270" i="1"/>
  <c r="N270" i="1" s="1"/>
  <c r="M181" i="1"/>
  <c r="N181" i="1" s="1"/>
  <c r="M454" i="1"/>
  <c r="N454" i="1" s="1"/>
  <c r="M294" i="1"/>
  <c r="N294" i="1" s="1"/>
  <c r="M100" i="1"/>
  <c r="N100" i="1" s="1"/>
  <c r="M223" i="1"/>
  <c r="N223" i="1" s="1"/>
  <c r="M317" i="1"/>
  <c r="N317" i="1" s="1"/>
  <c r="M56" i="1"/>
  <c r="N56" i="1" s="1"/>
  <c r="M396" i="1"/>
  <c r="N396" i="1" s="1"/>
  <c r="M140" i="1"/>
  <c r="M475" i="1"/>
  <c r="N475" i="1" s="1"/>
  <c r="M219" i="1"/>
  <c r="N219" i="1" s="1"/>
  <c r="M27" i="1"/>
  <c r="N27" i="1" s="1"/>
  <c r="F100" i="1"/>
  <c r="J136" i="1"/>
  <c r="G136" i="1"/>
  <c r="J332" i="1"/>
  <c r="G332" i="1"/>
  <c r="N497" i="1"/>
  <c r="F497" i="1"/>
  <c r="J308" i="1"/>
  <c r="G308" i="1"/>
  <c r="F478" i="1"/>
  <c r="E272" i="1"/>
  <c r="J376" i="1"/>
  <c r="G376" i="1"/>
  <c r="M338" i="1"/>
  <c r="N338" i="1" s="1"/>
  <c r="M37" i="1"/>
  <c r="N37" i="1" s="1"/>
  <c r="E39" i="1"/>
  <c r="J183" i="1"/>
  <c r="G183" i="1"/>
  <c r="E135" i="1"/>
  <c r="J171" i="1"/>
  <c r="G171" i="1"/>
  <c r="F102" i="1"/>
  <c r="N455" i="1"/>
  <c r="F455" i="1"/>
  <c r="E307" i="1"/>
  <c r="J316" i="1"/>
  <c r="G316" i="1"/>
  <c r="E236" i="1"/>
  <c r="N304" i="1"/>
  <c r="F304" i="1"/>
  <c r="E217" i="1"/>
  <c r="E448" i="1"/>
  <c r="N469" i="1"/>
  <c r="F469" i="1"/>
  <c r="M146" i="1"/>
  <c r="N146" i="1" s="1"/>
  <c r="M111" i="1"/>
  <c r="N111" i="1" s="1"/>
  <c r="J399" i="1"/>
  <c r="G399" i="1"/>
  <c r="F55" i="1"/>
  <c r="N3" i="1"/>
  <c r="F3" i="1"/>
  <c r="J271" i="1"/>
  <c r="G271" i="1"/>
  <c r="N45" i="1"/>
  <c r="F45" i="1"/>
  <c r="F404" i="1"/>
  <c r="J464" i="1"/>
  <c r="G464" i="1"/>
  <c r="E141" i="1"/>
  <c r="N209" i="1"/>
  <c r="F209" i="1"/>
  <c r="J276" i="1"/>
  <c r="G276" i="1"/>
  <c r="E201" i="1"/>
  <c r="E358" i="1"/>
  <c r="E440" i="1"/>
  <c r="M321" i="1"/>
  <c r="N321" i="1" s="1"/>
  <c r="E425" i="1"/>
  <c r="J128" i="1"/>
  <c r="G128" i="1"/>
  <c r="J459" i="1"/>
  <c r="G459" i="1"/>
  <c r="E359" i="1"/>
  <c r="E309" i="1"/>
  <c r="J465" i="1"/>
  <c r="G465" i="1"/>
  <c r="F40" i="1"/>
  <c r="G358" i="1"/>
  <c r="J358" i="1"/>
  <c r="O358" i="1" s="1"/>
  <c r="P358" i="1" s="1"/>
  <c r="E283" i="1"/>
  <c r="N95" i="1"/>
  <c r="F95" i="1"/>
  <c r="G162" i="1"/>
  <c r="J162" i="1"/>
  <c r="J27" i="1"/>
  <c r="G27" i="1"/>
  <c r="E480" i="1"/>
  <c r="M457" i="1"/>
  <c r="N457" i="1" s="1"/>
  <c r="M60" i="1"/>
  <c r="N60" i="1" s="1"/>
  <c r="G249" i="1"/>
  <c r="J249" i="1"/>
  <c r="E458" i="1"/>
  <c r="J479" i="1"/>
  <c r="G479" i="1"/>
  <c r="F115" i="1"/>
  <c r="J349" i="1"/>
  <c r="G349" i="1"/>
  <c r="F436" i="1"/>
  <c r="E288" i="1"/>
  <c r="F349" i="1"/>
  <c r="E35" i="1"/>
  <c r="J12" i="1"/>
  <c r="G12" i="1"/>
  <c r="E188" i="1"/>
  <c r="G165" i="1"/>
  <c r="J165" i="1"/>
  <c r="O165" i="1" s="1"/>
  <c r="P165" i="1" s="1"/>
  <c r="E346" i="1"/>
  <c r="J67" i="1"/>
  <c r="G67" i="1"/>
  <c r="J146" i="1"/>
  <c r="G146" i="1"/>
  <c r="N103" i="1"/>
  <c r="F103" i="1"/>
  <c r="F163" i="1"/>
  <c r="M350" i="1"/>
  <c r="N350" i="1" s="1"/>
  <c r="M80" i="1"/>
  <c r="N80" i="1" s="1"/>
  <c r="M29" i="1"/>
  <c r="N29" i="1" s="1"/>
  <c r="J321" i="1"/>
  <c r="G321" i="1"/>
  <c r="N118" i="1"/>
  <c r="F118" i="1"/>
  <c r="J39" i="1"/>
  <c r="G39" i="1"/>
  <c r="J126" i="1"/>
  <c r="G126" i="1"/>
  <c r="F407" i="1"/>
  <c r="J155" i="1"/>
  <c r="G155" i="1"/>
  <c r="G61" i="1"/>
  <c r="J61" i="1"/>
  <c r="F326" i="1"/>
  <c r="G391" i="1"/>
  <c r="J391" i="1"/>
  <c r="E349" i="1"/>
  <c r="E172" i="1"/>
  <c r="N240" i="1"/>
  <c r="F240" i="1"/>
  <c r="N319" i="1"/>
  <c r="F319" i="1"/>
  <c r="N142" i="1"/>
  <c r="F142" i="1"/>
  <c r="E400" i="1"/>
  <c r="J143" i="1"/>
  <c r="G143" i="1"/>
  <c r="F236" i="1"/>
  <c r="F90" i="1"/>
  <c r="J55" i="1"/>
  <c r="G55" i="1"/>
  <c r="E306" i="1"/>
  <c r="E238" i="1"/>
  <c r="J392" i="1"/>
  <c r="G392" i="1"/>
  <c r="E333" i="1"/>
  <c r="N145" i="1"/>
  <c r="F145" i="1"/>
  <c r="N224" i="1"/>
  <c r="F224" i="1"/>
  <c r="J431" i="1"/>
  <c r="G431" i="1"/>
  <c r="E477" i="1"/>
  <c r="J311" i="1"/>
  <c r="G311" i="1"/>
  <c r="N182" i="1"/>
  <c r="F182" i="1"/>
  <c r="N329" i="1"/>
  <c r="F329" i="1"/>
  <c r="E499" i="1"/>
  <c r="E243" i="1"/>
  <c r="N306" i="1"/>
  <c r="F306" i="1"/>
  <c r="N342" i="1"/>
  <c r="F342" i="1"/>
  <c r="G184" i="1"/>
  <c r="J184" i="1"/>
  <c r="N390" i="1"/>
  <c r="F390" i="1"/>
  <c r="N116" i="1"/>
  <c r="F116" i="1"/>
  <c r="E15" i="1"/>
  <c r="N58" i="1"/>
  <c r="F58" i="1"/>
  <c r="E409" i="1"/>
  <c r="E129" i="1"/>
  <c r="F294" i="1"/>
  <c r="G123" i="1"/>
  <c r="J123" i="1"/>
  <c r="E2" i="1"/>
  <c r="E485" i="1"/>
  <c r="G344" i="1"/>
  <c r="J344" i="1"/>
  <c r="E104" i="1"/>
  <c r="N245" i="1"/>
  <c r="F245" i="1"/>
  <c r="E255" i="1"/>
  <c r="F492" i="1"/>
  <c r="E431" i="1"/>
  <c r="N85" i="1"/>
  <c r="F85" i="1"/>
  <c r="J408" i="1"/>
  <c r="G408" i="1"/>
  <c r="E383" i="1"/>
  <c r="F314" i="1"/>
  <c r="J221" i="1"/>
  <c r="G221" i="1"/>
  <c r="J429" i="1"/>
  <c r="G429" i="1"/>
  <c r="E96" i="1"/>
  <c r="F4" i="1"/>
  <c r="J320" i="1"/>
  <c r="G320" i="1"/>
  <c r="E344" i="1"/>
  <c r="N261" i="1"/>
  <c r="F261" i="1"/>
  <c r="J167" i="1"/>
  <c r="O167" i="1" s="1"/>
  <c r="P167" i="1" s="1"/>
  <c r="G167" i="1"/>
  <c r="F373" i="1"/>
  <c r="E276" i="1"/>
  <c r="N183" i="1"/>
  <c r="F183" i="1"/>
  <c r="J89" i="1"/>
  <c r="O89" i="1" s="1"/>
  <c r="P89" i="1" s="1"/>
  <c r="G89" i="1"/>
  <c r="J247" i="1"/>
  <c r="O247" i="1" s="1"/>
  <c r="P247" i="1" s="1"/>
  <c r="G247" i="1"/>
  <c r="E126" i="1"/>
  <c r="F29" i="1"/>
  <c r="E487" i="1"/>
  <c r="E164" i="1"/>
  <c r="N253" i="1"/>
  <c r="F253" i="1"/>
  <c r="J346" i="1"/>
  <c r="G346" i="1"/>
  <c r="E469" i="1"/>
  <c r="E134" i="1"/>
  <c r="F228" i="1"/>
  <c r="J317" i="1"/>
  <c r="G317" i="1"/>
  <c r="E452" i="1"/>
  <c r="E110" i="1"/>
  <c r="N199" i="1"/>
  <c r="F199" i="1"/>
  <c r="J288" i="1"/>
  <c r="G288" i="1"/>
  <c r="E435" i="1"/>
  <c r="E81" i="1"/>
  <c r="F171" i="1"/>
  <c r="N171" i="1"/>
  <c r="J264" i="1"/>
  <c r="G264" i="1"/>
  <c r="E418" i="1"/>
  <c r="E53" i="1"/>
  <c r="N147" i="1"/>
  <c r="F147" i="1"/>
  <c r="J235" i="1"/>
  <c r="G235" i="1"/>
  <c r="E179" i="1"/>
  <c r="N424" i="1"/>
  <c r="F424" i="1"/>
  <c r="F168" i="1"/>
  <c r="J412" i="1"/>
  <c r="G412" i="1"/>
  <c r="J156" i="1"/>
  <c r="G156" i="1"/>
  <c r="E253" i="1"/>
  <c r="N498" i="1"/>
  <c r="F498" i="1"/>
  <c r="F242" i="1"/>
  <c r="G486" i="1"/>
  <c r="J486" i="1"/>
  <c r="J230" i="1"/>
  <c r="G230" i="1"/>
  <c r="E332" i="1"/>
  <c r="E76" i="1"/>
  <c r="F321" i="1"/>
  <c r="N65" i="1"/>
  <c r="F65" i="1"/>
  <c r="J309" i="1"/>
  <c r="O309" i="1" s="1"/>
  <c r="P309" i="1" s="1"/>
  <c r="G309" i="1"/>
  <c r="G53" i="1"/>
  <c r="J53" i="1"/>
  <c r="E155" i="1"/>
  <c r="F400" i="1"/>
  <c r="N144" i="1"/>
  <c r="F144" i="1"/>
  <c r="J388" i="1"/>
  <c r="O388" i="1" s="1"/>
  <c r="P388" i="1" s="1"/>
  <c r="G388" i="1"/>
  <c r="J132" i="1"/>
  <c r="G132" i="1"/>
  <c r="E234" i="1"/>
  <c r="N479" i="1"/>
  <c r="F479" i="1"/>
  <c r="F223" i="1"/>
  <c r="G467" i="1"/>
  <c r="J467" i="1"/>
  <c r="G211" i="1"/>
  <c r="J211" i="1"/>
  <c r="E313" i="1"/>
  <c r="E57" i="1"/>
  <c r="F302" i="1"/>
  <c r="N46" i="1"/>
  <c r="F46" i="1"/>
  <c r="G290" i="1"/>
  <c r="J290" i="1"/>
  <c r="G34" i="1"/>
  <c r="J34" i="1"/>
  <c r="N437" i="1"/>
  <c r="F437" i="1"/>
  <c r="E178" i="1"/>
  <c r="N213" i="1"/>
  <c r="F213" i="1"/>
  <c r="E476" i="1"/>
  <c r="J456" i="1"/>
  <c r="G456" i="1"/>
  <c r="N131" i="1"/>
  <c r="F131" i="1"/>
  <c r="H131" i="1" s="1"/>
  <c r="E118" i="1"/>
  <c r="G282" i="1"/>
  <c r="J282" i="1"/>
  <c r="E413" i="1"/>
  <c r="E79" i="1"/>
  <c r="N87" i="1"/>
  <c r="F87" i="1"/>
  <c r="E479" i="1"/>
  <c r="E87" i="1"/>
  <c r="E151" i="1"/>
  <c r="M150" i="1"/>
  <c r="N150" i="1" s="1"/>
  <c r="M201" i="1"/>
  <c r="N201" i="1" s="1"/>
  <c r="M362" i="1"/>
  <c r="N362" i="1" s="1"/>
  <c r="M473" i="1"/>
  <c r="N473" i="1" s="1"/>
  <c r="M68" i="1"/>
  <c r="N68" i="1" s="1"/>
  <c r="M311" i="1"/>
  <c r="N311" i="1" s="1"/>
  <c r="M243" i="1"/>
  <c r="N243" i="1" s="1"/>
  <c r="M500" i="1"/>
  <c r="N500" i="1" s="1"/>
  <c r="M64" i="1"/>
  <c r="N64" i="1" s="1"/>
  <c r="M436" i="1"/>
  <c r="N436" i="1" s="1"/>
  <c r="M274" i="1"/>
  <c r="N274" i="1" s="1"/>
  <c r="M414" i="1"/>
  <c r="N414" i="1" s="1"/>
  <c r="M79" i="1"/>
  <c r="N79" i="1" s="1"/>
  <c r="M228" i="1"/>
  <c r="N228" i="1" s="1"/>
  <c r="M207" i="1"/>
  <c r="N207" i="1" s="1"/>
  <c r="M38" i="1"/>
  <c r="N38" i="1" s="1"/>
  <c r="M124" i="1"/>
  <c r="N124" i="1" s="1"/>
  <c r="M459" i="1"/>
  <c r="N459" i="1" s="1"/>
  <c r="M203" i="1"/>
  <c r="N203" i="1" s="1"/>
  <c r="M11" i="1"/>
  <c r="N11" i="1" s="1"/>
  <c r="G218" i="1"/>
  <c r="J218" i="1"/>
  <c r="N71" i="1"/>
  <c r="F71" i="1"/>
  <c r="N19" i="1"/>
  <c r="F19" i="1"/>
  <c r="F418" i="1"/>
  <c r="N418" i="1"/>
  <c r="G229" i="1"/>
  <c r="J229" i="1"/>
  <c r="N399" i="1"/>
  <c r="F399" i="1"/>
  <c r="G210" i="1"/>
  <c r="J210" i="1"/>
  <c r="E68" i="1"/>
  <c r="M41" i="1"/>
  <c r="N41" i="1" s="1"/>
  <c r="E102" i="1"/>
  <c r="F267" i="1"/>
  <c r="E422" i="1"/>
  <c r="J17" i="1"/>
  <c r="O17" i="1" s="1"/>
  <c r="P17" i="1" s="1"/>
  <c r="G17" i="1"/>
  <c r="E391" i="1"/>
  <c r="J161" i="1"/>
  <c r="G161" i="1"/>
  <c r="N20" i="1"/>
  <c r="F20" i="1"/>
  <c r="F328" i="1"/>
  <c r="G390" i="1"/>
  <c r="J390" i="1"/>
  <c r="E315" i="1"/>
  <c r="N383" i="1"/>
  <c r="F383" i="1"/>
  <c r="J450" i="1"/>
  <c r="G450" i="1"/>
  <c r="E380" i="1"/>
  <c r="G448" i="1"/>
  <c r="J448" i="1"/>
  <c r="M263" i="1"/>
  <c r="N263" i="1" s="1"/>
  <c r="G96" i="1"/>
  <c r="J96" i="1"/>
  <c r="E382" i="1"/>
  <c r="J353" i="1"/>
  <c r="G353" i="1"/>
  <c r="J395" i="1"/>
  <c r="G395" i="1"/>
  <c r="F364" i="1"/>
  <c r="F457" i="1"/>
  <c r="J110" i="1"/>
  <c r="O110" i="1" s="1"/>
  <c r="P110" i="1" s="1"/>
  <c r="G110" i="1"/>
  <c r="J57" i="1"/>
  <c r="G57" i="1"/>
  <c r="N130" i="1"/>
  <c r="F130" i="1"/>
  <c r="J197" i="1"/>
  <c r="G197" i="1"/>
  <c r="E122" i="1"/>
  <c r="N190" i="1"/>
  <c r="F190" i="1"/>
  <c r="J77" i="1"/>
  <c r="O77" i="1" s="1"/>
  <c r="P77" i="1" s="1"/>
  <c r="G77" i="1"/>
  <c r="E24" i="1"/>
  <c r="M343" i="1"/>
  <c r="N343" i="1" s="1"/>
  <c r="M122" i="1"/>
  <c r="N122" i="1" s="1"/>
  <c r="J173" i="1"/>
  <c r="G173" i="1"/>
  <c r="E180" i="1"/>
  <c r="N295" i="1"/>
  <c r="F295" i="1"/>
  <c r="E398" i="1"/>
  <c r="J141" i="1"/>
  <c r="G141" i="1"/>
  <c r="J87" i="1"/>
  <c r="O87" i="1" s="1"/>
  <c r="P87" i="1" s="1"/>
  <c r="G87" i="1"/>
  <c r="J441" i="1"/>
  <c r="G441" i="1"/>
  <c r="G28" i="1"/>
  <c r="J28" i="1"/>
  <c r="F449" i="1"/>
  <c r="N449" i="1"/>
  <c r="J260" i="1"/>
  <c r="G260" i="1"/>
  <c r="G83" i="1"/>
  <c r="J83" i="1"/>
  <c r="E472" i="1"/>
  <c r="N86" i="1"/>
  <c r="F86" i="1"/>
  <c r="M161" i="1"/>
  <c r="N161" i="1" s="1"/>
  <c r="M276" i="1"/>
  <c r="N276" i="1" s="1"/>
  <c r="M467" i="1"/>
  <c r="N467" i="1" s="1"/>
  <c r="M53" i="1"/>
  <c r="N53" i="1" s="1"/>
  <c r="E341" i="1"/>
  <c r="E174" i="1"/>
  <c r="E416" i="1"/>
  <c r="N381" i="1"/>
  <c r="F381" i="1"/>
  <c r="N327" i="1"/>
  <c r="F327" i="1"/>
  <c r="F275" i="1"/>
  <c r="E77" i="1"/>
  <c r="J389" i="1"/>
  <c r="G389" i="1"/>
  <c r="J473" i="1"/>
  <c r="O473" i="1" s="1"/>
  <c r="P473" i="1" s="1"/>
  <c r="G473" i="1"/>
  <c r="E459" i="1"/>
  <c r="E21" i="1"/>
  <c r="E351" i="1"/>
  <c r="G79" i="1"/>
  <c r="J79" i="1"/>
  <c r="G417" i="1"/>
  <c r="J417" i="1"/>
  <c r="F276" i="1"/>
  <c r="F488" i="1"/>
  <c r="N50" i="1"/>
  <c r="F50" i="1"/>
  <c r="E325" i="1"/>
  <c r="J64" i="1"/>
  <c r="G64" i="1"/>
  <c r="F187" i="1"/>
  <c r="E384" i="1"/>
  <c r="E152" i="1"/>
  <c r="J360" i="1"/>
  <c r="O360" i="1" s="1"/>
  <c r="P360" i="1" s="1"/>
  <c r="G360" i="1"/>
  <c r="J254" i="1"/>
  <c r="O254" i="1" s="1"/>
  <c r="P254" i="1" s="1"/>
  <c r="G254" i="1"/>
  <c r="J463" i="1"/>
  <c r="G463" i="1"/>
  <c r="J201" i="1"/>
  <c r="G201" i="1"/>
  <c r="F217" i="1"/>
  <c r="N67" i="1"/>
  <c r="F67" i="1"/>
  <c r="J369" i="1"/>
  <c r="O369" i="1" s="1"/>
  <c r="P369" i="1" s="1"/>
  <c r="G369" i="1"/>
  <c r="E468" i="1"/>
  <c r="J315" i="1"/>
  <c r="G315" i="1"/>
  <c r="E434" i="1"/>
  <c r="N391" i="1"/>
  <c r="F391" i="1"/>
  <c r="E337" i="1"/>
  <c r="F317" i="1"/>
  <c r="F311" i="1"/>
  <c r="J112" i="1"/>
  <c r="G112" i="1"/>
  <c r="E69" i="1"/>
  <c r="E475" i="1"/>
  <c r="J378" i="1"/>
  <c r="O378" i="1" s="1"/>
  <c r="P378" i="1" s="1"/>
  <c r="G378" i="1"/>
  <c r="E493" i="1"/>
  <c r="E47" i="1"/>
  <c r="N501" i="1"/>
  <c r="F501" i="1"/>
  <c r="J193" i="1"/>
  <c r="G193" i="1"/>
  <c r="N283" i="1"/>
  <c r="F283" i="1"/>
  <c r="G375" i="1"/>
  <c r="J375" i="1"/>
  <c r="E362" i="1"/>
  <c r="N279" i="1"/>
  <c r="F279" i="1"/>
  <c r="J177" i="1"/>
  <c r="G177" i="1"/>
  <c r="J280" i="1"/>
  <c r="O280" i="1" s="1"/>
  <c r="P280" i="1" s="1"/>
  <c r="G280" i="1"/>
  <c r="E62" i="1"/>
  <c r="J461" i="1"/>
  <c r="G461" i="1"/>
  <c r="J205" i="1"/>
  <c r="G205" i="1"/>
  <c r="E318" i="1"/>
  <c r="F218" i="1"/>
  <c r="J125" i="1"/>
  <c r="G125" i="1"/>
  <c r="F263" i="1"/>
  <c r="E242" i="1"/>
  <c r="N140" i="1"/>
  <c r="F140" i="1"/>
  <c r="J47" i="1"/>
  <c r="G47" i="1"/>
  <c r="J170" i="1"/>
  <c r="O170" i="1" s="1"/>
  <c r="P170" i="1" s="1"/>
  <c r="G170" i="1"/>
  <c r="E88" i="1"/>
  <c r="J490" i="1"/>
  <c r="G490" i="1"/>
  <c r="E471" i="1"/>
  <c r="E136" i="1"/>
  <c r="F230" i="1"/>
  <c r="J319" i="1"/>
  <c r="O319" i="1" s="1"/>
  <c r="P319" i="1" s="1"/>
  <c r="G319" i="1"/>
  <c r="E453" i="1"/>
  <c r="E111" i="1"/>
  <c r="F201" i="1"/>
  <c r="J289" i="1"/>
  <c r="G289" i="1"/>
  <c r="E436" i="1"/>
  <c r="E82" i="1"/>
  <c r="F172" i="1"/>
  <c r="J265" i="1"/>
  <c r="G265" i="1"/>
  <c r="E419" i="1"/>
  <c r="E54" i="1"/>
  <c r="N148" i="1"/>
  <c r="F148" i="1"/>
  <c r="J237" i="1"/>
  <c r="G237" i="1"/>
  <c r="E402" i="1"/>
  <c r="E30" i="1"/>
  <c r="N119" i="1"/>
  <c r="F119" i="1"/>
  <c r="J208" i="1"/>
  <c r="O208" i="1" s="1"/>
  <c r="P208" i="1" s="1"/>
  <c r="G208" i="1"/>
  <c r="E163" i="1"/>
  <c r="N408" i="1"/>
  <c r="F408" i="1"/>
  <c r="F152" i="1"/>
  <c r="J396" i="1"/>
  <c r="G396" i="1"/>
  <c r="J140" i="1"/>
  <c r="G140" i="1"/>
  <c r="E237" i="1"/>
  <c r="N482" i="1"/>
  <c r="F482" i="1"/>
  <c r="N226" i="1"/>
  <c r="F226" i="1"/>
  <c r="J470" i="1"/>
  <c r="G470" i="1"/>
  <c r="G214" i="1"/>
  <c r="J214" i="1"/>
  <c r="E316" i="1"/>
  <c r="E60" i="1"/>
  <c r="N305" i="1"/>
  <c r="F305" i="1"/>
  <c r="F49" i="1"/>
  <c r="J293" i="1"/>
  <c r="O293" i="1" s="1"/>
  <c r="P293" i="1" s="1"/>
  <c r="G293" i="1"/>
  <c r="J37" i="1"/>
  <c r="G37" i="1"/>
  <c r="E139" i="1"/>
  <c r="N384" i="1"/>
  <c r="F384" i="1"/>
  <c r="N128" i="1"/>
  <c r="F128" i="1"/>
  <c r="J372" i="1"/>
  <c r="G372" i="1"/>
  <c r="J116" i="1"/>
  <c r="G116" i="1"/>
  <c r="E218" i="1"/>
  <c r="N463" i="1"/>
  <c r="F463" i="1"/>
  <c r="F207" i="1"/>
  <c r="G451" i="1"/>
  <c r="J451" i="1"/>
  <c r="J195" i="1"/>
  <c r="G195" i="1"/>
  <c r="E297" i="1"/>
  <c r="E41" i="1"/>
  <c r="F286" i="1"/>
  <c r="F30" i="1"/>
  <c r="G274" i="1"/>
  <c r="J274" i="1"/>
  <c r="G18" i="1"/>
  <c r="J18" i="1"/>
  <c r="F493" i="1"/>
  <c r="N493" i="1"/>
  <c r="E353" i="1"/>
  <c r="E14" i="1"/>
  <c r="J377" i="1"/>
  <c r="O377" i="1" s="1"/>
  <c r="P377" i="1" s="1"/>
  <c r="G377" i="1"/>
  <c r="N105" i="1"/>
  <c r="F105" i="1"/>
  <c r="F196" i="1"/>
  <c r="J257" i="1"/>
  <c r="O257" i="1" s="1"/>
  <c r="P257" i="1" s="1"/>
  <c r="G257" i="1"/>
  <c r="F282" i="1"/>
  <c r="G65" i="1"/>
  <c r="J65" i="1"/>
  <c r="E145" i="1"/>
  <c r="N164" i="1"/>
  <c r="F164" i="1"/>
  <c r="J74" i="1"/>
  <c r="G74" i="1"/>
  <c r="E149" i="1"/>
  <c r="E412" i="1"/>
  <c r="M446" i="1"/>
  <c r="N446" i="1" s="1"/>
  <c r="M218" i="1"/>
  <c r="N218" i="1" s="1"/>
  <c r="M222" i="1"/>
  <c r="N222" i="1" s="1"/>
  <c r="M83" i="1"/>
  <c r="N83" i="1" s="1"/>
  <c r="M163" i="1"/>
  <c r="N163" i="1" s="1"/>
  <c r="M439" i="1"/>
  <c r="N439" i="1" s="1"/>
  <c r="M286" i="1"/>
  <c r="N286" i="1" s="1"/>
  <c r="M129" i="1"/>
  <c r="N129" i="1" s="1"/>
  <c r="M478" i="1"/>
  <c r="N478" i="1" s="1"/>
  <c r="M25" i="1"/>
  <c r="N25" i="1" s="1"/>
  <c r="M52" i="1"/>
  <c r="N52" i="1" s="1"/>
  <c r="M208" i="1"/>
  <c r="N208" i="1" s="1"/>
  <c r="M285" i="1"/>
  <c r="N285" i="1" s="1"/>
  <c r="M364" i="1"/>
  <c r="N364" i="1" s="1"/>
  <c r="M108" i="1"/>
  <c r="N108" i="1" s="1"/>
  <c r="M187" i="1"/>
  <c r="N187" i="1" s="1"/>
  <c r="J160" i="1"/>
  <c r="G160" i="1"/>
  <c r="E99" i="1"/>
  <c r="F162" i="1"/>
  <c r="N162" i="1"/>
  <c r="E75" i="1"/>
  <c r="G387" i="1"/>
  <c r="J387" i="1"/>
  <c r="O387" i="1" s="1"/>
  <c r="P387" i="1" s="1"/>
  <c r="J175" i="1"/>
  <c r="G175" i="1"/>
  <c r="N231" i="1"/>
  <c r="F231" i="1"/>
  <c r="J327" i="1"/>
  <c r="G327" i="1"/>
  <c r="E190" i="1"/>
  <c r="J279" i="1"/>
  <c r="G279" i="1"/>
  <c r="E441" i="1"/>
  <c r="E373" i="1"/>
  <c r="E334" i="1"/>
  <c r="E83" i="1"/>
  <c r="F146" i="1"/>
  <c r="G213" i="1"/>
  <c r="J213" i="1"/>
  <c r="E138" i="1"/>
  <c r="F206" i="1"/>
  <c r="N7" i="1"/>
  <c r="F7" i="1"/>
  <c r="J433" i="1"/>
  <c r="O433" i="1" s="1"/>
  <c r="P433" i="1" s="1"/>
  <c r="G433" i="1"/>
  <c r="M466" i="1"/>
  <c r="N466" i="1" s="1"/>
  <c r="F341" i="1"/>
  <c r="E411" i="1"/>
  <c r="J240" i="1"/>
  <c r="G240" i="1"/>
  <c r="G425" i="1"/>
  <c r="J425" i="1"/>
  <c r="O425" i="1" s="1"/>
  <c r="P425" i="1" s="1"/>
  <c r="J168" i="1"/>
  <c r="O168" i="1" s="1"/>
  <c r="P168" i="1" s="1"/>
  <c r="G168" i="1"/>
  <c r="N21" i="1"/>
  <c r="F21" i="1"/>
  <c r="F375" i="1"/>
  <c r="J44" i="1"/>
  <c r="G44" i="1"/>
  <c r="F465" i="1"/>
  <c r="N465" i="1"/>
  <c r="N288" i="1"/>
  <c r="F288" i="1"/>
  <c r="J355" i="1"/>
  <c r="O355" i="1" s="1"/>
  <c r="P355" i="1" s="1"/>
  <c r="G355" i="1"/>
  <c r="E426" i="1"/>
  <c r="J267" i="1"/>
  <c r="G267" i="1"/>
  <c r="M198" i="1"/>
  <c r="N198" i="1" s="1"/>
  <c r="E438" i="1"/>
  <c r="E114" i="1"/>
  <c r="E489" i="1"/>
  <c r="F52" i="1"/>
  <c r="J43" i="1"/>
  <c r="G43" i="1"/>
  <c r="E320" i="1"/>
  <c r="J383" i="1"/>
  <c r="O383" i="1" s="1"/>
  <c r="P383" i="1" s="1"/>
  <c r="G383" i="1"/>
  <c r="E342" i="1"/>
  <c r="J90" i="1"/>
  <c r="G90" i="1"/>
  <c r="F355" i="1"/>
  <c r="J8" i="1"/>
  <c r="G8" i="1"/>
  <c r="F264" i="1"/>
  <c r="N82" i="1"/>
  <c r="F82" i="1"/>
  <c r="J405" i="1"/>
  <c r="O405" i="1" s="1"/>
  <c r="P405" i="1" s="1"/>
  <c r="G405" i="1"/>
  <c r="J228" i="1"/>
  <c r="G228" i="1"/>
  <c r="G51" i="1"/>
  <c r="J51" i="1"/>
  <c r="F53" i="1"/>
  <c r="E229" i="1"/>
  <c r="F235" i="1"/>
  <c r="N235" i="1"/>
  <c r="M151" i="1"/>
  <c r="N151" i="1" s="1"/>
  <c r="M397" i="1"/>
  <c r="N397" i="1" s="1"/>
  <c r="M299" i="1"/>
  <c r="N299" i="1" s="1"/>
  <c r="J129" i="1"/>
  <c r="G129" i="1"/>
  <c r="E143" i="1"/>
  <c r="J93" i="1"/>
  <c r="G93" i="1"/>
  <c r="N412" i="1"/>
  <c r="F412" i="1"/>
  <c r="E262" i="1"/>
  <c r="E209" i="1"/>
  <c r="E3" i="1"/>
  <c r="E156" i="1"/>
  <c r="J468" i="1"/>
  <c r="G468" i="1"/>
  <c r="N359" i="1"/>
  <c r="F359" i="1"/>
  <c r="N57" i="1"/>
  <c r="F57" i="1"/>
  <c r="J49" i="1"/>
  <c r="G49" i="1"/>
  <c r="J233" i="1"/>
  <c r="O233" i="1" s="1"/>
  <c r="P233" i="1" s="1"/>
  <c r="G233" i="1"/>
  <c r="G447" i="1"/>
  <c r="J447" i="1"/>
  <c r="F300" i="1"/>
  <c r="E158" i="1"/>
  <c r="E317" i="1"/>
  <c r="E494" i="1"/>
  <c r="F374" i="1"/>
  <c r="E430" i="1"/>
  <c r="N76" i="1"/>
  <c r="F76" i="1"/>
  <c r="N212" i="1"/>
  <c r="F212" i="1"/>
  <c r="N435" i="1"/>
  <c r="F435" i="1"/>
  <c r="J446" i="1"/>
  <c r="G446" i="1"/>
  <c r="F38" i="1"/>
  <c r="E374" i="1"/>
  <c r="E311" i="1"/>
  <c r="E165" i="1"/>
  <c r="N281" i="1"/>
  <c r="F281" i="1"/>
  <c r="F251" i="1"/>
  <c r="N251" i="1"/>
  <c r="N227" i="1"/>
  <c r="F227" i="1"/>
  <c r="F198" i="1"/>
  <c r="E497" i="1"/>
  <c r="G153" i="1"/>
  <c r="J153" i="1"/>
  <c r="O153" i="1" s="1"/>
  <c r="P153" i="1" s="1"/>
  <c r="N363" i="1"/>
  <c r="F363" i="1"/>
  <c r="J409" i="1"/>
  <c r="G409" i="1"/>
  <c r="E303" i="1"/>
  <c r="J207" i="1"/>
  <c r="G207" i="1"/>
  <c r="F27" i="1"/>
  <c r="J25" i="1"/>
  <c r="G25" i="1"/>
  <c r="E112" i="1"/>
  <c r="E230" i="1"/>
  <c r="J489" i="1"/>
  <c r="G489" i="1"/>
  <c r="N461" i="1"/>
  <c r="F461" i="1"/>
  <c r="J331" i="1"/>
  <c r="G331" i="1"/>
  <c r="E326" i="1"/>
  <c r="F237" i="1"/>
  <c r="N237" i="1"/>
  <c r="J144" i="1"/>
  <c r="O144" i="1" s="1"/>
  <c r="P144" i="1" s="1"/>
  <c r="G144" i="1"/>
  <c r="J127" i="1"/>
  <c r="G127" i="1"/>
  <c r="E20" i="1"/>
  <c r="J427" i="1"/>
  <c r="G427" i="1"/>
  <c r="J95" i="1"/>
  <c r="G95" i="1"/>
  <c r="E277" i="1"/>
  <c r="F185" i="1"/>
  <c r="J91" i="1"/>
  <c r="O91" i="1" s="1"/>
  <c r="P91" i="1" s="1"/>
  <c r="G91" i="1"/>
  <c r="F154" i="1"/>
  <c r="E199" i="1"/>
  <c r="N107" i="1"/>
  <c r="F107" i="1"/>
  <c r="J14" i="1"/>
  <c r="G14" i="1"/>
  <c r="J94" i="1"/>
  <c r="G94" i="1"/>
  <c r="E49" i="1"/>
  <c r="J457" i="1"/>
  <c r="G457" i="1"/>
  <c r="E455" i="1"/>
  <c r="E113" i="1"/>
  <c r="F203" i="1"/>
  <c r="J296" i="1"/>
  <c r="O296" i="1" s="1"/>
  <c r="P296" i="1" s="1"/>
  <c r="G296" i="1"/>
  <c r="E437" i="1"/>
  <c r="E84" i="1"/>
  <c r="N173" i="1"/>
  <c r="F173" i="1"/>
  <c r="J266" i="1"/>
  <c r="O266" i="1" s="1"/>
  <c r="P266" i="1" s="1"/>
  <c r="G266" i="1"/>
  <c r="E420" i="1"/>
  <c r="E55" i="1"/>
  <c r="N149" i="1"/>
  <c r="F149" i="1"/>
  <c r="J238" i="1"/>
  <c r="O238" i="1" s="1"/>
  <c r="P238" i="1" s="1"/>
  <c r="G238" i="1"/>
  <c r="E403" i="1"/>
  <c r="E31" i="1"/>
  <c r="N121" i="1"/>
  <c r="F121" i="1"/>
  <c r="J209" i="1"/>
  <c r="G209" i="1"/>
  <c r="E386" i="1"/>
  <c r="N2" i="1"/>
  <c r="F2" i="1"/>
  <c r="N92" i="1"/>
  <c r="F92" i="1"/>
  <c r="G185" i="1"/>
  <c r="J185" i="1"/>
  <c r="E147" i="1"/>
  <c r="N392" i="1"/>
  <c r="F392" i="1"/>
  <c r="F136" i="1"/>
  <c r="J380" i="1"/>
  <c r="G380" i="1"/>
  <c r="J124" i="1"/>
  <c r="O124" i="1" s="1"/>
  <c r="P124" i="1" s="1"/>
  <c r="G124" i="1"/>
  <c r="E221" i="1"/>
  <c r="F466" i="1"/>
  <c r="F210" i="1"/>
  <c r="G454" i="1"/>
  <c r="J454" i="1"/>
  <c r="O454" i="1" s="1"/>
  <c r="P454" i="1" s="1"/>
  <c r="J198" i="1"/>
  <c r="G198" i="1"/>
  <c r="E300" i="1"/>
  <c r="E44" i="1"/>
  <c r="F289" i="1"/>
  <c r="N289" i="1"/>
  <c r="F33" i="1"/>
  <c r="G277" i="1"/>
  <c r="J277" i="1"/>
  <c r="J21" i="1"/>
  <c r="G21" i="1"/>
  <c r="E123" i="1"/>
  <c r="F368" i="1"/>
  <c r="N368" i="1"/>
  <c r="N112" i="1"/>
  <c r="F112" i="1"/>
  <c r="J356" i="1"/>
  <c r="G356" i="1"/>
  <c r="J100" i="1"/>
  <c r="O100" i="1" s="1"/>
  <c r="P100" i="1" s="1"/>
  <c r="G100" i="1"/>
  <c r="E202" i="1"/>
  <c r="N447" i="1"/>
  <c r="F447" i="1"/>
  <c r="N191" i="1"/>
  <c r="F191" i="1"/>
  <c r="J435" i="1"/>
  <c r="G435" i="1"/>
  <c r="J179" i="1"/>
  <c r="O179" i="1" s="1"/>
  <c r="P179" i="1" s="1"/>
  <c r="G179" i="1"/>
  <c r="E281" i="1"/>
  <c r="E25" i="1"/>
  <c r="F270" i="1"/>
  <c r="N14" i="1"/>
  <c r="F14" i="1"/>
  <c r="G258" i="1"/>
  <c r="J258" i="1"/>
  <c r="G2" i="1"/>
  <c r="J2" i="1"/>
  <c r="E48" i="1"/>
  <c r="E461" i="1"/>
  <c r="E193" i="1"/>
  <c r="F101" i="1"/>
  <c r="F362" i="1"/>
  <c r="F265" i="1"/>
  <c r="J410" i="1"/>
  <c r="O410" i="1" s="1"/>
  <c r="P410" i="1" s="1"/>
  <c r="G410" i="1"/>
  <c r="E72" i="1"/>
  <c r="J142" i="1"/>
  <c r="G142" i="1"/>
  <c r="E197" i="1"/>
  <c r="N234" i="1"/>
  <c r="F234" i="1"/>
  <c r="J151" i="1"/>
  <c r="G151" i="1"/>
  <c r="E215" i="1"/>
  <c r="J231" i="1"/>
  <c r="G231" i="1"/>
  <c r="M277" i="1"/>
  <c r="N277" i="1" s="1"/>
  <c r="M42" i="1"/>
  <c r="N42" i="1" s="1"/>
  <c r="M136" i="1"/>
  <c r="N136" i="1" s="1"/>
  <c r="M282" i="1"/>
  <c r="N282" i="1" s="1"/>
  <c r="M400" i="1"/>
  <c r="N400" i="1" s="1"/>
  <c r="M259" i="1"/>
  <c r="N259" i="1" s="1"/>
  <c r="M96" i="1"/>
  <c r="N96" i="1" s="1"/>
  <c r="M453" i="1"/>
  <c r="N453" i="1" s="1"/>
  <c r="M371" i="1"/>
  <c r="N371" i="1" s="1"/>
  <c r="M398" i="1"/>
  <c r="N398" i="1" s="1"/>
  <c r="M230" i="1"/>
  <c r="N230" i="1" s="1"/>
  <c r="M373" i="1"/>
  <c r="N373" i="1" s="1"/>
  <c r="M30" i="1"/>
  <c r="N30" i="1" s="1"/>
  <c r="M184" i="1"/>
  <c r="N184" i="1" s="1"/>
  <c r="M175" i="1"/>
  <c r="N175" i="1" s="1"/>
  <c r="M269" i="1"/>
  <c r="N269" i="1" s="1"/>
  <c r="M348" i="1"/>
  <c r="N348" i="1" s="1"/>
  <c r="M90" i="1"/>
  <c r="N90" i="1" s="1"/>
  <c r="M427" i="1"/>
  <c r="N427" i="1" s="1"/>
  <c r="O9" i="1" l="1"/>
  <c r="P9" i="1" s="1"/>
  <c r="O379" i="1"/>
  <c r="P379" i="1" s="1"/>
  <c r="O486" i="1"/>
  <c r="P486" i="1" s="1"/>
  <c r="O284" i="1"/>
  <c r="P284" i="1" s="1"/>
  <c r="O70" i="1"/>
  <c r="P70" i="1" s="1"/>
  <c r="O468" i="1"/>
  <c r="P468" i="1" s="1"/>
  <c r="O260" i="1"/>
  <c r="P260" i="1" s="1"/>
  <c r="O464" i="1"/>
  <c r="P464" i="1" s="1"/>
  <c r="O142" i="1"/>
  <c r="P142" i="1" s="1"/>
  <c r="O456" i="1"/>
  <c r="P456" i="1" s="1"/>
  <c r="O417" i="1"/>
  <c r="P417" i="1" s="1"/>
  <c r="O258" i="1"/>
  <c r="P258" i="1" s="1"/>
  <c r="O12" i="1"/>
  <c r="P12" i="1" s="1"/>
  <c r="O78" i="1"/>
  <c r="P78" i="1" s="1"/>
  <c r="O244" i="1"/>
  <c r="P244" i="1" s="1"/>
  <c r="O409" i="1"/>
  <c r="P409" i="1" s="1"/>
  <c r="O44" i="1"/>
  <c r="P44" i="1" s="1"/>
  <c r="O192" i="1"/>
  <c r="P192" i="1" s="1"/>
  <c r="O308" i="1"/>
  <c r="P308" i="1" s="1"/>
  <c r="O214" i="1"/>
  <c r="P214" i="1" s="1"/>
  <c r="O194" i="1"/>
  <c r="P194" i="1" s="1"/>
  <c r="O34" i="1"/>
  <c r="P34" i="1" s="1"/>
  <c r="O311" i="1"/>
  <c r="P311" i="1" s="1"/>
  <c r="O298" i="1"/>
  <c r="P298" i="1" s="1"/>
  <c r="O177" i="1"/>
  <c r="P177" i="1" s="1"/>
  <c r="O94" i="1"/>
  <c r="P94" i="1" s="1"/>
  <c r="O493" i="1"/>
  <c r="P493" i="1" s="1"/>
  <c r="O292" i="1"/>
  <c r="P292" i="1" s="1"/>
  <c r="O435" i="1"/>
  <c r="P435" i="1" s="1"/>
  <c r="O470" i="1"/>
  <c r="P470" i="1" s="1"/>
  <c r="O141" i="1"/>
  <c r="P141" i="1" s="1"/>
  <c r="O484" i="1"/>
  <c r="P484" i="1" s="1"/>
  <c r="O271" i="1"/>
  <c r="P271" i="1" s="1"/>
  <c r="O64" i="1"/>
  <c r="P64" i="1" s="1"/>
  <c r="O394" i="1"/>
  <c r="P394" i="1" s="1"/>
  <c r="O195" i="1"/>
  <c r="P195" i="1" s="1"/>
  <c r="O429" i="1"/>
  <c r="P429" i="1" s="1"/>
  <c r="O415" i="1"/>
  <c r="P415" i="1" s="1"/>
  <c r="O218" i="1"/>
  <c r="P218" i="1" s="1"/>
  <c r="O178" i="1"/>
  <c r="P178" i="1" s="1"/>
  <c r="O335" i="1"/>
  <c r="P335" i="1" s="1"/>
  <c r="O375" i="1"/>
  <c r="P375" i="1" s="1"/>
  <c r="O120" i="1"/>
  <c r="P120" i="1" s="1"/>
  <c r="O93" i="1"/>
  <c r="P93" i="1" s="1"/>
  <c r="O23" i="1"/>
  <c r="P23" i="1" s="1"/>
  <c r="O411" i="1"/>
  <c r="P411" i="1" s="1"/>
  <c r="O133" i="1"/>
  <c r="P133" i="1" s="1"/>
  <c r="O458" i="1"/>
  <c r="P458" i="1" s="1"/>
  <c r="O157" i="1"/>
  <c r="P157" i="1" s="1"/>
  <c r="O481" i="1"/>
  <c r="P481" i="1" s="1"/>
  <c r="O205" i="1"/>
  <c r="P205" i="1" s="1"/>
  <c r="O132" i="1"/>
  <c r="P132" i="1" s="1"/>
  <c r="O490" i="1"/>
  <c r="P490" i="1" s="1"/>
  <c r="O459" i="1"/>
  <c r="P459" i="1" s="1"/>
  <c r="O325" i="1"/>
  <c r="P325" i="1" s="1"/>
  <c r="O58" i="1"/>
  <c r="P58" i="1" s="1"/>
  <c r="O453" i="1"/>
  <c r="P453" i="1" s="1"/>
  <c r="O476" i="1"/>
  <c r="P476" i="1" s="1"/>
  <c r="O376" i="1"/>
  <c r="P376" i="1" s="1"/>
  <c r="O336" i="1"/>
  <c r="P336" i="1" s="1"/>
  <c r="O33" i="1"/>
  <c r="P33" i="1" s="1"/>
  <c r="O412" i="1"/>
  <c r="P412" i="1" s="1"/>
  <c r="O392" i="1"/>
  <c r="P392" i="1" s="1"/>
  <c r="O245" i="1"/>
  <c r="P245" i="1" s="1"/>
  <c r="O127" i="1"/>
  <c r="P127" i="1" s="1"/>
  <c r="O372" i="1"/>
  <c r="P372" i="1" s="1"/>
  <c r="O81" i="1"/>
  <c r="P81" i="1" s="1"/>
  <c r="O156" i="1"/>
  <c r="P156" i="1" s="1"/>
  <c r="O197" i="1"/>
  <c r="P197" i="1" s="1"/>
  <c r="O172" i="1"/>
  <c r="P172" i="1" s="1"/>
  <c r="O88" i="1"/>
  <c r="P88" i="1" s="1"/>
  <c r="O104" i="1"/>
  <c r="P104" i="1" s="1"/>
  <c r="O227" i="1"/>
  <c r="P227" i="1" s="1"/>
  <c r="O480" i="1"/>
  <c r="P480" i="1" s="1"/>
  <c r="O36" i="1"/>
  <c r="P36" i="1" s="1"/>
  <c r="O289" i="1"/>
  <c r="P289" i="1" s="1"/>
  <c r="O161" i="1"/>
  <c r="P161" i="1" s="1"/>
  <c r="O160" i="1"/>
  <c r="P160" i="1" s="1"/>
  <c r="O389" i="1"/>
  <c r="P389" i="1" s="1"/>
  <c r="O290" i="1"/>
  <c r="P290" i="1" s="1"/>
  <c r="O55" i="1"/>
  <c r="P55" i="1" s="1"/>
  <c r="O428" i="1"/>
  <c r="P428" i="1" s="1"/>
  <c r="O318" i="1"/>
  <c r="P318" i="1" s="1"/>
  <c r="O236" i="1"/>
  <c r="P236" i="1" s="1"/>
  <c r="O402" i="1"/>
  <c r="P402" i="1" s="1"/>
  <c r="O303" i="1"/>
  <c r="P303" i="1" s="1"/>
  <c r="O262" i="1"/>
  <c r="P262" i="1" s="1"/>
  <c r="O200" i="1"/>
  <c r="P200" i="1" s="1"/>
  <c r="O430" i="1"/>
  <c r="P430" i="1" s="1"/>
  <c r="O158" i="1"/>
  <c r="P158" i="1" s="1"/>
  <c r="O380" i="1"/>
  <c r="P380" i="1" s="1"/>
  <c r="O279" i="1"/>
  <c r="P279" i="1" s="1"/>
  <c r="O128" i="1"/>
  <c r="P128" i="1" s="1"/>
  <c r="O20" i="1"/>
  <c r="P20" i="1" s="1"/>
  <c r="O286" i="1"/>
  <c r="P286" i="1" s="1"/>
  <c r="O10" i="1"/>
  <c r="P10" i="1" s="1"/>
  <c r="O474" i="1"/>
  <c r="P474" i="1" s="1"/>
  <c r="O370" i="1"/>
  <c r="P370" i="1" s="1"/>
  <c r="O97" i="1"/>
  <c r="P97" i="1" s="1"/>
  <c r="O61" i="1"/>
  <c r="P61" i="1" s="1"/>
  <c r="O106" i="1"/>
  <c r="P106" i="1" s="1"/>
  <c r="O431" i="1"/>
  <c r="P431" i="1" s="1"/>
  <c r="O273" i="1"/>
  <c r="P273" i="1" s="1"/>
  <c r="O228" i="1"/>
  <c r="P228" i="1" s="1"/>
  <c r="O50" i="1"/>
  <c r="P50" i="1" s="1"/>
  <c r="O125" i="1"/>
  <c r="P125" i="1" s="1"/>
  <c r="O356" i="1"/>
  <c r="P356" i="1" s="1"/>
  <c r="O221" i="1"/>
  <c r="P221" i="1" s="1"/>
  <c r="O440" i="1"/>
  <c r="P440" i="1" s="1"/>
  <c r="O202" i="1"/>
  <c r="P202" i="1" s="1"/>
  <c r="O357" i="1"/>
  <c r="P357" i="1" s="1"/>
  <c r="O339" i="1"/>
  <c r="P339" i="1" s="1"/>
  <c r="O488" i="1"/>
  <c r="P488" i="1" s="1"/>
  <c r="O334" i="1"/>
  <c r="P334" i="1" s="1"/>
  <c r="O72" i="1"/>
  <c r="P72" i="1" s="1"/>
  <c r="O487" i="1"/>
  <c r="P487" i="1" s="1"/>
  <c r="O217" i="1"/>
  <c r="P217" i="1" s="1"/>
  <c r="O176" i="1"/>
  <c r="P176" i="1" s="1"/>
  <c r="O248" i="1"/>
  <c r="P248" i="1" s="1"/>
  <c r="O317" i="1"/>
  <c r="P317" i="1" s="1"/>
  <c r="O457" i="1"/>
  <c r="P457" i="1" s="1"/>
  <c r="O95" i="1"/>
  <c r="P95" i="1" s="1"/>
  <c r="O489" i="1"/>
  <c r="P489" i="1" s="1"/>
  <c r="O306" i="1"/>
  <c r="P306" i="1" s="1"/>
  <c r="O246" i="1"/>
  <c r="P246" i="1" s="1"/>
  <c r="O225" i="1"/>
  <c r="P225" i="1" s="1"/>
  <c r="O18" i="1"/>
  <c r="P18" i="1" s="1"/>
  <c r="O28" i="1"/>
  <c r="P28" i="1" s="1"/>
  <c r="O116" i="1"/>
  <c r="P116" i="1" s="1"/>
  <c r="O390" i="1"/>
  <c r="P390" i="1" s="1"/>
  <c r="O211" i="1"/>
  <c r="P211" i="1" s="1"/>
  <c r="O126" i="1"/>
  <c r="P126" i="1" s="1"/>
  <c r="O404" i="1"/>
  <c r="P404" i="1" s="1"/>
  <c r="O188" i="1"/>
  <c r="P188" i="1" s="1"/>
  <c r="O173" i="1"/>
  <c r="P173" i="1" s="1"/>
  <c r="O450" i="1"/>
  <c r="P450" i="1" s="1"/>
  <c r="O213" i="1"/>
  <c r="P213" i="1" s="1"/>
  <c r="O274" i="1"/>
  <c r="P274" i="1" s="1"/>
  <c r="O265" i="1"/>
  <c r="P265" i="1" s="1"/>
  <c r="O332" i="1"/>
  <c r="P332" i="1" s="1"/>
  <c r="O113" i="1"/>
  <c r="P113" i="1" s="1"/>
  <c r="O328" i="1"/>
  <c r="P328" i="1" s="1"/>
  <c r="O407" i="1"/>
  <c r="P407" i="1" s="1"/>
  <c r="O169" i="1"/>
  <c r="P169" i="1" s="1"/>
  <c r="O212" i="1"/>
  <c r="P212" i="1" s="1"/>
  <c r="O99" i="1"/>
  <c r="P99" i="1" s="1"/>
  <c r="O60" i="1"/>
  <c r="P60" i="1" s="1"/>
  <c r="O461" i="1"/>
  <c r="P461" i="1" s="1"/>
  <c r="O315" i="1"/>
  <c r="P315" i="1" s="1"/>
  <c r="O408" i="1"/>
  <c r="P408" i="1" s="1"/>
  <c r="O465" i="1"/>
  <c r="P465" i="1" s="1"/>
  <c r="O297" i="1"/>
  <c r="P297" i="1" s="1"/>
  <c r="O472" i="1"/>
  <c r="P472" i="1" s="1"/>
  <c r="O31" i="1"/>
  <c r="P31" i="1" s="1"/>
  <c r="O446" i="1"/>
  <c r="P446" i="1" s="1"/>
  <c r="O47" i="1"/>
  <c r="P47" i="1" s="1"/>
  <c r="O39" i="1"/>
  <c r="P39" i="1" s="1"/>
  <c r="O171" i="1"/>
  <c r="P171" i="1" s="1"/>
  <c r="O148" i="1"/>
  <c r="P148" i="1" s="1"/>
  <c r="O263" i="1"/>
  <c r="P263" i="1" s="1"/>
  <c r="O352" i="1"/>
  <c r="P352" i="1" s="1"/>
  <c r="O323" i="1"/>
  <c r="P323" i="1" s="1"/>
  <c r="O189" i="1"/>
  <c r="P189" i="1" s="1"/>
  <c r="O362" i="1"/>
  <c r="P362" i="1" s="1"/>
  <c r="O82" i="1"/>
  <c r="P82" i="1" s="1"/>
  <c r="O196" i="1"/>
  <c r="P196" i="1" s="1"/>
  <c r="O40" i="1"/>
  <c r="P40" i="1" s="1"/>
  <c r="O482" i="1"/>
  <c r="P482" i="1" s="1"/>
  <c r="O164" i="1"/>
  <c r="P164" i="1" s="1"/>
  <c r="O366" i="1"/>
  <c r="P366" i="1" s="1"/>
  <c r="O270" i="1"/>
  <c r="P270" i="1" s="1"/>
  <c r="O149" i="1"/>
  <c r="P149" i="1" s="1"/>
  <c r="O381" i="1"/>
  <c r="P381" i="1" s="1"/>
  <c r="O239" i="1"/>
  <c r="P239" i="1" s="1"/>
  <c r="O283" i="1"/>
  <c r="P283" i="1" s="1"/>
  <c r="O255" i="1"/>
  <c r="P255" i="1" s="1"/>
  <c r="O400" i="1"/>
  <c r="P400" i="1" s="1"/>
  <c r="O80" i="1"/>
  <c r="P80" i="1" s="1"/>
  <c r="O452" i="1"/>
  <c r="P452" i="1" s="1"/>
  <c r="O224" i="1"/>
  <c r="P224" i="1" s="1"/>
  <c r="O251" i="1"/>
  <c r="P251" i="1" s="1"/>
  <c r="O43" i="1"/>
  <c r="P43" i="1" s="1"/>
  <c r="O249" i="1"/>
  <c r="P249" i="1" s="1"/>
  <c r="O46" i="1"/>
  <c r="P46" i="1" s="1"/>
  <c r="O427" i="1"/>
  <c r="P427" i="1" s="1"/>
  <c r="O83" i="1"/>
  <c r="P83" i="1" s="1"/>
  <c r="O288" i="1"/>
  <c r="P288" i="1" s="1"/>
  <c r="O183" i="1"/>
  <c r="P183" i="1" s="1"/>
  <c r="O136" i="1"/>
  <c r="P136" i="1" s="1"/>
  <c r="O350" i="1"/>
  <c r="P350" i="1" s="1"/>
  <c r="O420" i="1"/>
  <c r="P420" i="1" s="1"/>
  <c r="O497" i="1"/>
  <c r="P497" i="1" s="1"/>
  <c r="O477" i="1"/>
  <c r="P477" i="1" s="1"/>
  <c r="O131" i="1"/>
  <c r="P131" i="1" s="1"/>
  <c r="O180" i="1"/>
  <c r="P180" i="1" s="1"/>
  <c r="O22" i="1"/>
  <c r="P22" i="1" s="1"/>
  <c r="O16" i="1"/>
  <c r="P16" i="1" s="1"/>
  <c r="O373" i="1"/>
  <c r="P373" i="1" s="1"/>
  <c r="O361" i="1"/>
  <c r="P361" i="1" s="1"/>
  <c r="O329" i="1"/>
  <c r="P329" i="1" s="1"/>
  <c r="O326" i="1"/>
  <c r="P326" i="1" s="1"/>
  <c r="O118" i="1"/>
  <c r="P118" i="1" s="1"/>
  <c r="O219" i="1"/>
  <c r="P219" i="1" s="1"/>
  <c r="O73" i="1"/>
  <c r="P73" i="1" s="1"/>
  <c r="O374" i="1"/>
  <c r="P374" i="1" s="1"/>
  <c r="O174" i="1"/>
  <c r="P174" i="1" s="1"/>
  <c r="O15" i="1"/>
  <c r="P15" i="1" s="1"/>
  <c r="O242" i="1"/>
  <c r="P242" i="1" s="1"/>
  <c r="O432" i="1"/>
  <c r="P432" i="1" s="1"/>
  <c r="O48" i="1"/>
  <c r="P48" i="1" s="1"/>
  <c r="O185" i="1"/>
  <c r="P185" i="1" s="1"/>
  <c r="O198" i="1"/>
  <c r="P198" i="1" s="1"/>
  <c r="O451" i="1"/>
  <c r="P451" i="1" s="1"/>
  <c r="O37" i="1"/>
  <c r="P37" i="1" s="1"/>
  <c r="O448" i="1"/>
  <c r="P448" i="1" s="1"/>
  <c r="O338" i="1"/>
  <c r="P338" i="1" s="1"/>
  <c r="O49" i="1"/>
  <c r="P49" i="1" s="1"/>
  <c r="O327" i="1"/>
  <c r="P327" i="1" s="1"/>
  <c r="O74" i="1"/>
  <c r="P74" i="1" s="1"/>
  <c r="O237" i="1"/>
  <c r="P237" i="1" s="1"/>
  <c r="O112" i="1"/>
  <c r="P112" i="1" s="1"/>
  <c r="O57" i="1"/>
  <c r="P57" i="1" s="1"/>
  <c r="O282" i="1"/>
  <c r="P282" i="1" s="1"/>
  <c r="O391" i="1"/>
  <c r="P391" i="1" s="1"/>
  <c r="O321" i="1"/>
  <c r="P321" i="1" s="1"/>
  <c r="O367" i="1"/>
  <c r="P367" i="1" s="1"/>
  <c r="O462" i="1"/>
  <c r="P462" i="1" s="1"/>
  <c r="O426" i="1"/>
  <c r="P426" i="1" s="1"/>
  <c r="O278" i="1"/>
  <c r="P278" i="1" s="1"/>
  <c r="O313" i="1"/>
  <c r="P313" i="1" s="1"/>
  <c r="O268" i="1"/>
  <c r="P268" i="1" s="1"/>
  <c r="O114" i="1"/>
  <c r="P114" i="1" s="1"/>
  <c r="O68" i="1"/>
  <c r="P68" i="1" s="1"/>
  <c r="O103" i="1"/>
  <c r="P103" i="1" s="1"/>
  <c r="O147" i="1"/>
  <c r="P147" i="1" s="1"/>
  <c r="O166" i="1"/>
  <c r="P166" i="1" s="1"/>
  <c r="O498" i="1"/>
  <c r="P498" i="1" s="1"/>
  <c r="O111" i="1"/>
  <c r="P111" i="1" s="1"/>
  <c r="O14" i="1"/>
  <c r="P14" i="1" s="1"/>
  <c r="O25" i="1"/>
  <c r="P25" i="1" s="1"/>
  <c r="O129" i="1"/>
  <c r="P129" i="1" s="1"/>
  <c r="O140" i="1"/>
  <c r="P140" i="1" s="1"/>
  <c r="O201" i="1"/>
  <c r="P201" i="1" s="1"/>
  <c r="O320" i="1"/>
  <c r="P320" i="1" s="1"/>
  <c r="O368" i="1"/>
  <c r="P368" i="1" s="1"/>
  <c r="O86" i="1"/>
  <c r="P86" i="1" s="1"/>
  <c r="O436" i="1"/>
  <c r="P436" i="1" s="1"/>
  <c r="O117" i="1"/>
  <c r="P117" i="1" s="1"/>
  <c r="O310" i="1"/>
  <c r="P310" i="1" s="1"/>
  <c r="O342" i="1"/>
  <c r="P342" i="1" s="1"/>
  <c r="O115" i="1"/>
  <c r="P115" i="1" s="1"/>
  <c r="O423" i="1"/>
  <c r="P423" i="1" s="1"/>
  <c r="O422" i="1"/>
  <c r="P422" i="1" s="1"/>
  <c r="O261" i="1"/>
  <c r="P261" i="1" s="1"/>
  <c r="O121" i="1"/>
  <c r="P121" i="1" s="1"/>
  <c r="O384" i="1"/>
  <c r="P384" i="1" s="1"/>
  <c r="O223" i="1"/>
  <c r="P223" i="1" s="1"/>
  <c r="O396" i="1"/>
  <c r="P396" i="1" s="1"/>
  <c r="O463" i="1"/>
  <c r="P463" i="1" s="1"/>
  <c r="O230" i="1"/>
  <c r="P230" i="1" s="1"/>
  <c r="O235" i="1"/>
  <c r="P235" i="1" s="1"/>
  <c r="O27" i="1"/>
  <c r="P27" i="1" s="1"/>
  <c r="O418" i="1"/>
  <c r="P418" i="1" s="1"/>
  <c r="O475" i="1"/>
  <c r="P475" i="1" s="1"/>
  <c r="O154" i="1"/>
  <c r="P154" i="1" s="1"/>
  <c r="O314" i="1"/>
  <c r="P314" i="1" s="1"/>
  <c r="O130" i="1"/>
  <c r="P130" i="1" s="1"/>
  <c r="O150" i="1"/>
  <c r="P150" i="1" s="1"/>
  <c r="O354" i="1"/>
  <c r="P354" i="1" s="1"/>
  <c r="O59" i="1"/>
  <c r="P59" i="1" s="1"/>
  <c r="O302" i="1"/>
  <c r="P302" i="1" s="1"/>
  <c r="O501" i="1"/>
  <c r="P501" i="1" s="1"/>
  <c r="O8" i="1"/>
  <c r="P8" i="1" s="1"/>
  <c r="O175" i="1"/>
  <c r="P175" i="1" s="1"/>
  <c r="O65" i="1"/>
  <c r="P65" i="1" s="1"/>
  <c r="O162" i="1"/>
  <c r="P162" i="1" s="1"/>
  <c r="O7" i="1"/>
  <c r="P7" i="1" s="1"/>
  <c r="O401" i="1"/>
  <c r="P401" i="1" s="1"/>
  <c r="O38" i="1"/>
  <c r="P38" i="1" s="1"/>
  <c r="O304" i="1"/>
  <c r="P304" i="1" s="1"/>
  <c r="O98" i="1"/>
  <c r="P98" i="1" s="1"/>
  <c r="O398" i="1"/>
  <c r="P398" i="1" s="1"/>
  <c r="O134" i="1"/>
  <c r="P134" i="1" s="1"/>
  <c r="O52" i="1"/>
  <c r="P52" i="1" s="1"/>
  <c r="O492" i="1"/>
  <c r="P492" i="1" s="1"/>
  <c r="O455" i="1"/>
  <c r="P455" i="1" s="1"/>
  <c r="O359" i="1"/>
  <c r="P359" i="1" s="1"/>
  <c r="O347" i="1"/>
  <c r="P347" i="1" s="1"/>
  <c r="O163" i="1"/>
  <c r="P163" i="1" s="1"/>
  <c r="O348" i="1"/>
  <c r="P348" i="1" s="1"/>
  <c r="O85" i="1"/>
  <c r="P85" i="1" s="1"/>
  <c r="O63" i="1"/>
  <c r="P63" i="1" s="1"/>
  <c r="O382" i="1"/>
  <c r="P382" i="1" s="1"/>
  <c r="O3" i="1"/>
  <c r="P3" i="1" s="1"/>
  <c r="O54" i="1"/>
  <c r="P54" i="1" s="1"/>
  <c r="O406" i="1"/>
  <c r="P406" i="1" s="1"/>
  <c r="O443" i="1"/>
  <c r="P443" i="1" s="1"/>
  <c r="O138" i="1"/>
  <c r="P138" i="1" s="1"/>
  <c r="O281" i="1"/>
  <c r="P281" i="1" s="1"/>
  <c r="O119" i="1"/>
  <c r="P119" i="1" s="1"/>
  <c r="O159" i="1"/>
  <c r="P159" i="1" s="1"/>
  <c r="O108" i="1"/>
  <c r="P108" i="1" s="1"/>
  <c r="O414" i="1"/>
  <c r="P414" i="1" s="1"/>
  <c r="O324" i="1"/>
  <c r="P324" i="1" s="1"/>
  <c r="O193" i="1"/>
  <c r="P193" i="1" s="1"/>
  <c r="O79" i="1"/>
  <c r="P79" i="1" s="1"/>
  <c r="O143" i="1"/>
  <c r="P143" i="1" s="1"/>
  <c r="O316" i="1"/>
  <c r="P316" i="1" s="1"/>
  <c r="O243" i="1"/>
  <c r="P243" i="1" s="1"/>
  <c r="O341" i="1"/>
  <c r="P341" i="1" s="1"/>
  <c r="O397" i="1"/>
  <c r="P397" i="1" s="1"/>
  <c r="O307" i="1"/>
  <c r="P307" i="1" s="1"/>
  <c r="O101" i="1"/>
  <c r="P101" i="1" s="1"/>
  <c r="O337" i="1"/>
  <c r="P337" i="1" s="1"/>
  <c r="O330" i="1"/>
  <c r="P330" i="1" s="1"/>
  <c r="O19" i="1"/>
  <c r="P19" i="1" s="1"/>
  <c r="O220" i="1"/>
  <c r="P220" i="1" s="1"/>
  <c r="O56" i="1"/>
  <c r="P56" i="1" s="1"/>
  <c r="O371" i="1"/>
  <c r="P371" i="1" s="1"/>
  <c r="O449" i="1"/>
  <c r="P449" i="1" s="1"/>
  <c r="O495" i="1"/>
  <c r="P495" i="1" s="1"/>
  <c r="O4" i="1"/>
  <c r="P4" i="1" s="1"/>
  <c r="O26" i="1"/>
  <c r="P26" i="1" s="1"/>
  <c r="O105" i="1"/>
  <c r="P105" i="1" s="1"/>
  <c r="O216" i="1"/>
  <c r="P216" i="1" s="1"/>
  <c r="O203" i="1"/>
  <c r="P203" i="1" s="1"/>
  <c r="O92" i="1"/>
  <c r="P92" i="1" s="1"/>
  <c r="O419" i="1"/>
  <c r="P419" i="1" s="1"/>
  <c r="O312" i="1"/>
  <c r="P312" i="1" s="1"/>
  <c r="O438" i="1"/>
  <c r="P438" i="1" s="1"/>
  <c r="O340" i="1"/>
  <c r="P340" i="1" s="1"/>
  <c r="O478" i="1"/>
  <c r="P478" i="1" s="1"/>
  <c r="O277" i="1"/>
  <c r="P277" i="1" s="1"/>
  <c r="O267" i="1"/>
  <c r="P267" i="1" s="1"/>
  <c r="O151" i="1"/>
  <c r="P151" i="1" s="1"/>
  <c r="O90" i="1"/>
  <c r="P90" i="1" s="1"/>
  <c r="O395" i="1"/>
  <c r="P395" i="1" s="1"/>
  <c r="O210" i="1"/>
  <c r="P210" i="1" s="1"/>
  <c r="O344" i="1"/>
  <c r="P344" i="1" s="1"/>
  <c r="O184" i="1"/>
  <c r="P184" i="1" s="1"/>
  <c r="O155" i="1"/>
  <c r="P155" i="1" s="1"/>
  <c r="O349" i="1"/>
  <c r="P349" i="1" s="1"/>
  <c r="O45" i="1"/>
  <c r="P45" i="1" s="1"/>
  <c r="O499" i="1"/>
  <c r="P499" i="1" s="1"/>
  <c r="O272" i="1"/>
  <c r="P272" i="1" s="1"/>
  <c r="O301" i="1"/>
  <c r="P301" i="1" s="1"/>
  <c r="O259" i="1"/>
  <c r="P259" i="1" s="1"/>
  <c r="O107" i="1"/>
  <c r="P107" i="1" s="1"/>
  <c r="O294" i="1"/>
  <c r="P294" i="1" s="1"/>
  <c r="O485" i="1"/>
  <c r="P485" i="1" s="1"/>
  <c r="O253" i="1"/>
  <c r="P253" i="1" s="1"/>
  <c r="O35" i="1"/>
  <c r="P35" i="1" s="1"/>
  <c r="O445" i="1"/>
  <c r="P445" i="1" s="1"/>
  <c r="O252" i="1"/>
  <c r="P252" i="1" s="1"/>
  <c r="O491" i="1"/>
  <c r="P491" i="1" s="1"/>
  <c r="O215" i="1"/>
  <c r="P215" i="1" s="1"/>
  <c r="O182" i="1"/>
  <c r="P182" i="1" s="1"/>
  <c r="O345" i="1"/>
  <c r="P345" i="1" s="1"/>
  <c r="O403" i="1"/>
  <c r="P403" i="1" s="1"/>
  <c r="O209" i="1"/>
  <c r="P209" i="1" s="1"/>
  <c r="O207" i="1"/>
  <c r="P207" i="1" s="1"/>
  <c r="O2" i="1"/>
  <c r="P2" i="1" s="1"/>
  <c r="O240" i="1"/>
  <c r="P240" i="1" s="1"/>
  <c r="O441" i="1"/>
  <c r="P441" i="1" s="1"/>
  <c r="O53" i="1"/>
  <c r="P53" i="1" s="1"/>
  <c r="O146" i="1"/>
  <c r="P146" i="1" s="1"/>
  <c r="O145" i="1"/>
  <c r="P145" i="1" s="1"/>
  <c r="O234" i="1"/>
  <c r="P234" i="1" s="1"/>
  <c r="O181" i="1"/>
  <c r="P181" i="1" s="1"/>
  <c r="O109" i="1"/>
  <c r="P109" i="1" s="1"/>
  <c r="O41" i="1"/>
  <c r="P41" i="1" s="1"/>
  <c r="O437" i="1"/>
  <c r="P437" i="1" s="1"/>
  <c r="O135" i="1"/>
  <c r="P135" i="1" s="1"/>
  <c r="O152" i="1"/>
  <c r="P152" i="1" s="1"/>
  <c r="O496" i="1"/>
  <c r="P496" i="1" s="1"/>
  <c r="O466" i="1"/>
  <c r="P466" i="1" s="1"/>
  <c r="O231" i="1"/>
  <c r="P231" i="1" s="1"/>
  <c r="O21" i="1"/>
  <c r="P21" i="1" s="1"/>
  <c r="O413" i="1"/>
  <c r="P413" i="1" s="1"/>
  <c r="O331" i="1"/>
  <c r="P331" i="1" s="1"/>
  <c r="O51" i="1"/>
  <c r="P51" i="1" s="1"/>
  <c r="O353" i="1"/>
  <c r="P353" i="1" s="1"/>
  <c r="O467" i="1"/>
  <c r="P467" i="1" s="1"/>
  <c r="O264" i="1"/>
  <c r="P264" i="1" s="1"/>
  <c r="O102" i="1"/>
  <c r="P102" i="1" s="1"/>
  <c r="O191" i="1"/>
  <c r="P191" i="1" s="1"/>
  <c r="O439" i="1"/>
  <c r="P439" i="1" s="1"/>
  <c r="O343" i="1"/>
  <c r="P343" i="1" s="1"/>
  <c r="O206" i="1"/>
  <c r="P206" i="1" s="1"/>
  <c r="O204" i="1"/>
  <c r="P204" i="1" s="1"/>
  <c r="O424" i="1"/>
  <c r="P424" i="1" s="1"/>
  <c r="O393" i="1"/>
  <c r="P393" i="1" s="1"/>
  <c r="O300" i="1"/>
  <c r="P300" i="1" s="1"/>
  <c r="O469" i="1"/>
  <c r="P469" i="1" s="1"/>
  <c r="O275" i="1"/>
  <c r="P275" i="1" s="1"/>
  <c r="O363" i="1"/>
  <c r="P363" i="1" s="1"/>
  <c r="O42" i="1"/>
  <c r="P42" i="1" s="1"/>
  <c r="O122" i="1"/>
  <c r="P122" i="1" s="1"/>
  <c r="O199" i="1"/>
  <c r="P199" i="1" s="1"/>
  <c r="O137" i="1"/>
  <c r="P137" i="1" s="1"/>
  <c r="O299" i="1"/>
  <c r="P299" i="1" s="1"/>
  <c r="O385" i="1"/>
  <c r="P385" i="1" s="1"/>
  <c r="O269" i="1"/>
  <c r="P269" i="1" s="1"/>
  <c r="O222" i="1"/>
  <c r="P222" i="1" s="1"/>
  <c r="O187" i="1"/>
  <c r="P187" i="1" s="1"/>
  <c r="O364" i="1"/>
  <c r="P364" i="1" s="1"/>
  <c r="O232" i="1"/>
  <c r="P232" i="1" s="1"/>
  <c r="O333" i="1"/>
  <c r="P333" i="1" s="1"/>
  <c r="O500" i="1"/>
  <c r="P500" i="1" s="1"/>
  <c r="O139" i="1"/>
  <c r="P139" i="1" s="1"/>
  <c r="O291" i="1"/>
  <c r="P291" i="1" s="1"/>
  <c r="O32" i="1"/>
  <c r="P32" i="1" s="1"/>
  <c r="O285" i="1"/>
  <c r="P285" i="1" s="1"/>
  <c r="O29" i="1"/>
  <c r="P29" i="1" s="1"/>
  <c r="O84" i="1"/>
  <c r="P84" i="1" s="1"/>
  <c r="O67" i="1"/>
  <c r="P67" i="1" s="1"/>
  <c r="O305" i="1"/>
  <c r="P305" i="1" s="1"/>
  <c r="O447" i="1"/>
  <c r="P447" i="1" s="1"/>
  <c r="O96" i="1"/>
  <c r="P96" i="1" s="1"/>
  <c r="O229" i="1"/>
  <c r="P229" i="1" s="1"/>
  <c r="O346" i="1"/>
  <c r="P346" i="1" s="1"/>
  <c r="O123" i="1"/>
  <c r="P123" i="1" s="1"/>
  <c r="O479" i="1"/>
  <c r="P479" i="1" s="1"/>
  <c r="O276" i="1"/>
  <c r="P276" i="1" s="1"/>
  <c r="O399" i="1"/>
  <c r="P399" i="1" s="1"/>
  <c r="O386" i="1"/>
  <c r="P386" i="1" s="1"/>
  <c r="O11" i="1"/>
  <c r="P11" i="1" s="1"/>
  <c r="O71" i="1"/>
  <c r="P71" i="1" s="1"/>
  <c r="O471" i="1"/>
  <c r="P471" i="1" s="1"/>
  <c r="O460" i="1"/>
  <c r="P460" i="1" s="1"/>
  <c r="O295" i="1"/>
  <c r="P295" i="1" s="1"/>
  <c r="O24" i="1"/>
  <c r="P24" i="1" s="1"/>
  <c r="O365" i="1"/>
  <c r="P365" i="1" s="1"/>
  <c r="O416" i="1"/>
  <c r="P416" i="1" s="1"/>
  <c r="O30" i="1"/>
  <c r="P30" i="1" s="1"/>
  <c r="O76" i="1"/>
  <c r="P76" i="1" s="1"/>
  <c r="O62" i="1"/>
  <c r="P62" i="1" s="1"/>
  <c r="O241" i="1"/>
  <c r="P241" i="1" s="1"/>
  <c r="O351" i="1"/>
  <c r="P351" i="1" s="1"/>
  <c r="O250" i="1"/>
  <c r="P250" i="1" s="1"/>
  <c r="O186" i="1"/>
  <c r="P186" i="1" s="1"/>
  <c r="O226" i="1"/>
  <c r="P226" i="1" s="1"/>
  <c r="O190" i="1"/>
  <c r="P190" i="1" s="1"/>
  <c r="I48" i="1"/>
  <c r="H48" i="1"/>
  <c r="H486" i="1"/>
  <c r="I486" i="1"/>
  <c r="I14" i="1"/>
  <c r="H14" i="1"/>
  <c r="H102" i="1"/>
  <c r="I102" i="1"/>
  <c r="H68" i="1"/>
  <c r="I68" i="1"/>
  <c r="I349" i="1"/>
  <c r="H349" i="1"/>
  <c r="H109" i="1"/>
  <c r="I109" i="1"/>
  <c r="I343" i="1"/>
  <c r="H343" i="1"/>
  <c r="I11" i="1"/>
  <c r="I13" i="1" s="1"/>
  <c r="H11" i="1"/>
  <c r="I124" i="1"/>
  <c r="H124" i="1"/>
  <c r="I204" i="1"/>
  <c r="H204" i="1"/>
  <c r="H245" i="1"/>
  <c r="I245" i="1"/>
  <c r="I410" i="1"/>
  <c r="H410" i="1"/>
  <c r="H146" i="1"/>
  <c r="I146" i="1"/>
  <c r="H401" i="1"/>
  <c r="I401" i="1"/>
  <c r="I465" i="1"/>
  <c r="H465" i="1"/>
  <c r="I326" i="1"/>
  <c r="H326" i="1"/>
  <c r="I229" i="1"/>
  <c r="H229" i="1"/>
  <c r="I242" i="1"/>
  <c r="H242" i="1"/>
  <c r="I476" i="1"/>
  <c r="H476" i="1"/>
  <c r="I255" i="1"/>
  <c r="H255" i="1"/>
  <c r="I15" i="1"/>
  <c r="H15" i="1"/>
  <c r="H188" i="1"/>
  <c r="I188" i="1"/>
  <c r="I133" i="1"/>
  <c r="H133" i="1"/>
  <c r="I275" i="1"/>
  <c r="H275" i="1"/>
  <c r="H128" i="1"/>
  <c r="I128" i="1"/>
  <c r="H10" i="1"/>
  <c r="I10" i="1"/>
  <c r="I97" i="1"/>
  <c r="H97" i="1"/>
  <c r="I210" i="1"/>
  <c r="H210" i="1"/>
  <c r="I336" i="1"/>
  <c r="H336" i="1"/>
  <c r="I385" i="1"/>
  <c r="H385" i="1"/>
  <c r="H241" i="1"/>
  <c r="I241" i="1"/>
  <c r="I256" i="1"/>
  <c r="H256" i="1"/>
  <c r="I43" i="1"/>
  <c r="H43" i="1"/>
  <c r="I177" i="1"/>
  <c r="H177" i="1"/>
  <c r="H52" i="1"/>
  <c r="I52" i="1"/>
  <c r="I196" i="1"/>
  <c r="H196" i="1"/>
  <c r="H224" i="1"/>
  <c r="I224" i="1"/>
  <c r="I33" i="1"/>
  <c r="H33" i="1"/>
  <c r="H86" i="1"/>
  <c r="I86" i="1"/>
  <c r="I84" i="1"/>
  <c r="H84" i="1"/>
  <c r="I62" i="1"/>
  <c r="H62" i="1"/>
  <c r="I499" i="1"/>
  <c r="H499" i="1"/>
  <c r="I251" i="1"/>
  <c r="H251" i="1"/>
  <c r="I285" i="1"/>
  <c r="H285" i="1"/>
  <c r="H28" i="1"/>
  <c r="I28" i="1"/>
  <c r="I114" i="1"/>
  <c r="H114" i="1"/>
  <c r="H384" i="1"/>
  <c r="I384" i="1"/>
  <c r="I172" i="1"/>
  <c r="H172" i="1"/>
  <c r="I445" i="1"/>
  <c r="H445" i="1"/>
  <c r="H228" i="1"/>
  <c r="I228" i="1"/>
  <c r="I287" i="1"/>
  <c r="H287" i="1"/>
  <c r="I8" i="1"/>
  <c r="H8" i="1"/>
  <c r="I85" i="1"/>
  <c r="H85" i="1"/>
  <c r="I56" i="1"/>
  <c r="H56" i="1"/>
  <c r="H127" i="1"/>
  <c r="I127" i="1"/>
  <c r="I202" i="1"/>
  <c r="H202" i="1"/>
  <c r="I438" i="1"/>
  <c r="H438" i="1"/>
  <c r="H111" i="1"/>
  <c r="I111" i="1"/>
  <c r="I21" i="1"/>
  <c r="H21" i="1"/>
  <c r="H452" i="1"/>
  <c r="I452" i="1"/>
  <c r="I458" i="1"/>
  <c r="H458" i="1"/>
  <c r="I392" i="1"/>
  <c r="H392" i="1"/>
  <c r="H244" i="1"/>
  <c r="I244" i="1"/>
  <c r="H432" i="1"/>
  <c r="I432" i="1"/>
  <c r="I279" i="1"/>
  <c r="H279" i="1"/>
  <c r="H32" i="1"/>
  <c r="I32" i="1"/>
  <c r="I31" i="1"/>
  <c r="H31" i="1"/>
  <c r="I311" i="1"/>
  <c r="H311" i="1"/>
  <c r="H145" i="1"/>
  <c r="I145" i="1"/>
  <c r="I453" i="1"/>
  <c r="H453" i="1"/>
  <c r="I475" i="1"/>
  <c r="H475" i="1"/>
  <c r="H44" i="1"/>
  <c r="I44" i="1"/>
  <c r="H403" i="1"/>
  <c r="I403" i="1"/>
  <c r="H3" i="1"/>
  <c r="I3" i="1"/>
  <c r="H155" i="1"/>
  <c r="I155" i="1"/>
  <c r="I96" i="1"/>
  <c r="H96" i="1"/>
  <c r="I141" i="1"/>
  <c r="H141" i="1"/>
  <c r="I23" i="1"/>
  <c r="H23" i="1"/>
  <c r="I161" i="1"/>
  <c r="H161" i="1"/>
  <c r="I7" i="1"/>
  <c r="H7" i="1"/>
  <c r="H314" i="1"/>
  <c r="I314" i="1"/>
  <c r="I232" i="1"/>
  <c r="H232" i="1"/>
  <c r="I117" i="1"/>
  <c r="H117" i="1"/>
  <c r="I98" i="1"/>
  <c r="H98" i="1"/>
  <c r="H266" i="1"/>
  <c r="I266" i="1"/>
  <c r="I132" i="1"/>
  <c r="H132" i="1"/>
  <c r="H433" i="1"/>
  <c r="I433" i="1"/>
  <c r="I302" i="1"/>
  <c r="H302" i="1"/>
  <c r="I331" i="1"/>
  <c r="H331" i="1"/>
  <c r="I394" i="1"/>
  <c r="H394" i="1"/>
  <c r="I270" i="1"/>
  <c r="H270" i="1"/>
  <c r="I260" i="1"/>
  <c r="H260" i="1"/>
  <c r="I296" i="1"/>
  <c r="H296" i="1"/>
  <c r="I101" i="1"/>
  <c r="H101" i="1"/>
  <c r="H488" i="1"/>
  <c r="I488" i="1"/>
  <c r="I139" i="1"/>
  <c r="H139" i="1"/>
  <c r="H129" i="1"/>
  <c r="I129" i="1"/>
  <c r="I267" i="1"/>
  <c r="H267" i="1"/>
  <c r="H26" i="1"/>
  <c r="I26" i="1"/>
  <c r="I437" i="1"/>
  <c r="H437" i="1"/>
  <c r="I152" i="1"/>
  <c r="H152" i="1"/>
  <c r="I321" i="1"/>
  <c r="H321" i="1"/>
  <c r="I51" i="1"/>
  <c r="H51" i="1"/>
  <c r="I402" i="1"/>
  <c r="H402" i="1"/>
  <c r="I351" i="1"/>
  <c r="H351" i="1"/>
  <c r="H110" i="1"/>
  <c r="I110" i="1"/>
  <c r="I269" i="1"/>
  <c r="H269" i="1"/>
  <c r="I483" i="1"/>
  <c r="H483" i="1"/>
  <c r="H456" i="1"/>
  <c r="I456" i="1"/>
  <c r="H457" i="1"/>
  <c r="I457" i="1"/>
  <c r="I95" i="1"/>
  <c r="H95" i="1"/>
  <c r="I395" i="1"/>
  <c r="H395" i="1"/>
  <c r="I175" i="1"/>
  <c r="H175" i="1"/>
  <c r="I377" i="1"/>
  <c r="H377" i="1"/>
  <c r="H324" i="1"/>
  <c r="I324" i="1"/>
  <c r="I303" i="1"/>
  <c r="H303" i="1"/>
  <c r="H165" i="1"/>
  <c r="I165" i="1"/>
  <c r="I494" i="1"/>
  <c r="H494" i="1"/>
  <c r="I237" i="1"/>
  <c r="H237" i="1"/>
  <c r="H313" i="1"/>
  <c r="I313" i="1"/>
  <c r="H451" i="1"/>
  <c r="I451" i="1"/>
  <c r="I93" i="1"/>
  <c r="H93" i="1"/>
  <c r="I119" i="1"/>
  <c r="H119" i="1"/>
  <c r="H482" i="1"/>
  <c r="I482" i="1"/>
  <c r="H148" i="1"/>
  <c r="I148" i="1"/>
  <c r="H278" i="1"/>
  <c r="I278" i="1"/>
  <c r="H50" i="1"/>
  <c r="I50" i="1"/>
  <c r="I423" i="1"/>
  <c r="H423" i="1"/>
  <c r="I176" i="1"/>
  <c r="H176" i="1"/>
  <c r="H317" i="1"/>
  <c r="I317" i="1"/>
  <c r="H156" i="1"/>
  <c r="I156" i="1"/>
  <c r="H138" i="1"/>
  <c r="I138" i="1"/>
  <c r="I459" i="1"/>
  <c r="H459" i="1"/>
  <c r="I72" i="1"/>
  <c r="H72" i="1"/>
  <c r="I374" i="1"/>
  <c r="H374" i="1"/>
  <c r="I158" i="1"/>
  <c r="H158" i="1"/>
  <c r="I69" i="1"/>
  <c r="H69" i="1"/>
  <c r="I300" i="1"/>
  <c r="H300" i="1"/>
  <c r="H113" i="1"/>
  <c r="I113" i="1"/>
  <c r="H209" i="1"/>
  <c r="I209" i="1"/>
  <c r="I122" i="1"/>
  <c r="H122" i="1"/>
  <c r="I151" i="1"/>
  <c r="H151" i="1"/>
  <c r="I53" i="1"/>
  <c r="H53" i="1"/>
  <c r="H309" i="1"/>
  <c r="I309" i="1"/>
  <c r="I135" i="1"/>
  <c r="H135" i="1"/>
  <c r="I40" i="1"/>
  <c r="H40" i="1"/>
  <c r="I191" i="1"/>
  <c r="H191" i="1"/>
  <c r="H78" i="1"/>
  <c r="I78" i="1"/>
  <c r="I467" i="1"/>
  <c r="H467" i="1"/>
  <c r="H227" i="1"/>
  <c r="I227" i="1"/>
  <c r="I464" i="1"/>
  <c r="H464" i="1"/>
  <c r="H42" i="1"/>
  <c r="I42" i="1"/>
  <c r="I258" i="1"/>
  <c r="H258" i="1"/>
  <c r="I293" i="1"/>
  <c r="H293" i="1"/>
  <c r="H414" i="1"/>
  <c r="I414" i="1"/>
  <c r="H208" i="1"/>
  <c r="I208" i="1"/>
  <c r="I478" i="1"/>
  <c r="H478" i="1"/>
  <c r="I254" i="1"/>
  <c r="H254" i="1"/>
  <c r="I424" i="1"/>
  <c r="H424" i="1"/>
  <c r="I407" i="1"/>
  <c r="H407" i="1"/>
  <c r="I271" i="1"/>
  <c r="H271" i="1"/>
  <c r="I322" i="1"/>
  <c r="H322" i="1"/>
  <c r="I200" i="1"/>
  <c r="H200" i="1"/>
  <c r="H404" i="1"/>
  <c r="I404" i="1"/>
  <c r="I201" i="1"/>
  <c r="H201" i="1"/>
  <c r="I29" i="1"/>
  <c r="H29" i="1"/>
  <c r="I173" i="1"/>
  <c r="H173" i="1"/>
  <c r="I24" i="1"/>
  <c r="H24" i="1"/>
  <c r="H346" i="1"/>
  <c r="I346" i="1"/>
  <c r="I327" i="1"/>
  <c r="H327" i="1"/>
  <c r="I159" i="1"/>
  <c r="H159" i="1"/>
  <c r="I356" i="1"/>
  <c r="H356" i="1"/>
  <c r="H137" i="1"/>
  <c r="I137" i="1"/>
  <c r="I406" i="1"/>
  <c r="H406" i="1"/>
  <c r="H90" i="1"/>
  <c r="I90" i="1"/>
  <c r="H262" i="1"/>
  <c r="I262" i="1"/>
  <c r="I218" i="1"/>
  <c r="H218" i="1"/>
  <c r="H362" i="1"/>
  <c r="I362" i="1"/>
  <c r="I325" i="1"/>
  <c r="H325" i="1"/>
  <c r="H382" i="1"/>
  <c r="I382" i="1"/>
  <c r="I87" i="1"/>
  <c r="H87" i="1"/>
  <c r="I104" i="1"/>
  <c r="H104" i="1"/>
  <c r="I477" i="1"/>
  <c r="H477" i="1"/>
  <c r="I304" i="1"/>
  <c r="H304" i="1"/>
  <c r="I250" i="1"/>
  <c r="H250" i="1"/>
  <c r="H376" i="1"/>
  <c r="I376" i="1"/>
  <c r="I67" i="1"/>
  <c r="H67" i="1"/>
  <c r="H108" i="1"/>
  <c r="I108" i="1"/>
  <c r="H214" i="1"/>
  <c r="I214" i="1"/>
  <c r="I495" i="1"/>
  <c r="H495" i="1"/>
  <c r="I449" i="1"/>
  <c r="H449" i="1"/>
  <c r="I105" i="1"/>
  <c r="H105" i="1"/>
  <c r="I183" i="1"/>
  <c r="H183" i="1"/>
  <c r="I350" i="1"/>
  <c r="H350" i="1"/>
  <c r="I428" i="1"/>
  <c r="H428" i="1"/>
  <c r="H106" i="1"/>
  <c r="I106" i="1"/>
  <c r="H70" i="1"/>
  <c r="I70" i="1"/>
  <c r="I372" i="1"/>
  <c r="H372" i="1"/>
  <c r="H205" i="1"/>
  <c r="I205" i="1"/>
  <c r="I268" i="1"/>
  <c r="H268" i="1"/>
  <c r="I295" i="1"/>
  <c r="H295" i="1"/>
  <c r="I263" i="1"/>
  <c r="H263" i="1"/>
  <c r="I257" i="1"/>
  <c r="H257" i="1"/>
  <c r="I439" i="1"/>
  <c r="H439" i="1"/>
  <c r="I390" i="1"/>
  <c r="H390" i="1"/>
  <c r="H353" i="1"/>
  <c r="I353" i="1"/>
  <c r="I342" i="1"/>
  <c r="H342" i="1"/>
  <c r="I426" i="1"/>
  <c r="H426" i="1"/>
  <c r="H54" i="1"/>
  <c r="I54" i="1"/>
  <c r="I178" i="1"/>
  <c r="H178" i="1"/>
  <c r="I418" i="1"/>
  <c r="H418" i="1"/>
  <c r="H35" i="1"/>
  <c r="I35" i="1"/>
  <c r="I359" i="1"/>
  <c r="H359" i="1"/>
  <c r="H147" i="1"/>
  <c r="I147" i="1"/>
  <c r="I277" i="1"/>
  <c r="H277" i="1"/>
  <c r="I75" i="1"/>
  <c r="H75" i="1"/>
  <c r="I419" i="1"/>
  <c r="H419" i="1"/>
  <c r="I479" i="1"/>
  <c r="H479" i="1"/>
  <c r="I253" i="1"/>
  <c r="H253" i="1"/>
  <c r="H134" i="1"/>
  <c r="I134" i="1"/>
  <c r="H480" i="1"/>
  <c r="I480" i="1"/>
  <c r="I448" i="1"/>
  <c r="H448" i="1"/>
  <c r="I61" i="1"/>
  <c r="H61" i="1"/>
  <c r="I308" i="1"/>
  <c r="H308" i="1"/>
  <c r="I427" i="1"/>
  <c r="H427" i="1"/>
  <c r="I339" i="1"/>
  <c r="H339" i="1"/>
  <c r="H500" i="1"/>
  <c r="I500" i="1"/>
  <c r="I460" i="1"/>
  <c r="H460" i="1"/>
  <c r="H220" i="1"/>
  <c r="I220" i="1"/>
  <c r="I140" i="1"/>
  <c r="H140" i="1"/>
  <c r="I367" i="1"/>
  <c r="H367" i="1"/>
  <c r="H6" i="1"/>
  <c r="I6" i="1"/>
  <c r="I473" i="1"/>
  <c r="H473" i="1"/>
  <c r="I12" i="1"/>
  <c r="H12" i="1"/>
  <c r="I116" i="1"/>
  <c r="H116" i="1"/>
  <c r="H469" i="1"/>
  <c r="I469" i="1"/>
  <c r="I276" i="1"/>
  <c r="H276" i="1"/>
  <c r="I217" i="1"/>
  <c r="H217" i="1"/>
  <c r="I39" i="1"/>
  <c r="H39" i="1"/>
  <c r="I92" i="1"/>
  <c r="H92" i="1"/>
  <c r="I194" i="1"/>
  <c r="H194" i="1"/>
  <c r="I357" i="1"/>
  <c r="H357" i="1"/>
  <c r="H396" i="1"/>
  <c r="I396" i="1"/>
  <c r="I496" i="1"/>
  <c r="H496" i="1"/>
  <c r="I216" i="1"/>
  <c r="H216" i="1"/>
  <c r="I240" i="1"/>
  <c r="H240" i="1"/>
  <c r="I352" i="1"/>
  <c r="H352" i="1"/>
  <c r="I289" i="1"/>
  <c r="H289" i="1"/>
  <c r="I247" i="1"/>
  <c r="H247" i="1"/>
  <c r="I157" i="1"/>
  <c r="H157" i="1"/>
  <c r="I462" i="1"/>
  <c r="H462" i="1"/>
  <c r="H265" i="1"/>
  <c r="I265" i="1"/>
  <c r="I389" i="1"/>
  <c r="H389" i="1"/>
  <c r="I249" i="1"/>
  <c r="H249" i="1"/>
  <c r="I37" i="1"/>
  <c r="H37" i="1"/>
  <c r="I91" i="1"/>
  <c r="H91" i="1"/>
  <c r="I185" i="1"/>
  <c r="H185" i="1"/>
  <c r="H360" i="1"/>
  <c r="I360" i="1"/>
  <c r="I203" i="1"/>
  <c r="H203" i="1"/>
  <c r="I273" i="1"/>
  <c r="H273" i="1"/>
  <c r="H274" i="1"/>
  <c r="I274" i="1"/>
  <c r="I291" i="1"/>
  <c r="H291" i="1"/>
  <c r="H361" i="1"/>
  <c r="I361" i="1"/>
  <c r="I355" i="1"/>
  <c r="H355" i="1"/>
  <c r="I121" i="1"/>
  <c r="H121" i="1"/>
  <c r="I59" i="1"/>
  <c r="H59" i="1"/>
  <c r="I58" i="1"/>
  <c r="H58" i="1"/>
  <c r="I120" i="1"/>
  <c r="H120" i="1"/>
  <c r="I167" i="1"/>
  <c r="H167" i="1"/>
  <c r="I36" i="1"/>
  <c r="H36" i="1"/>
  <c r="H347" i="1"/>
  <c r="I347" i="1"/>
  <c r="I66" i="1"/>
  <c r="H66" i="1"/>
  <c r="I443" i="1"/>
  <c r="H443" i="1"/>
  <c r="I491" i="1"/>
  <c r="H491" i="1"/>
  <c r="I16" i="1"/>
  <c r="H16" i="1"/>
  <c r="H344" i="1"/>
  <c r="I344" i="1"/>
  <c r="H481" i="1"/>
  <c r="I481" i="1"/>
  <c r="H259" i="1"/>
  <c r="I259" i="1"/>
  <c r="H299" i="1"/>
  <c r="I299" i="1"/>
  <c r="I174" i="1"/>
  <c r="H174" i="1"/>
  <c r="I184" i="1"/>
  <c r="H184" i="1"/>
  <c r="I169" i="1"/>
  <c r="H169" i="1"/>
  <c r="H328" i="1"/>
  <c r="I328" i="1"/>
  <c r="H166" i="1"/>
  <c r="I166" i="1"/>
  <c r="I315" i="1"/>
  <c r="H315" i="1"/>
  <c r="I455" i="1"/>
  <c r="H455" i="1"/>
  <c r="I25" i="1"/>
  <c r="H25" i="1"/>
  <c r="I83" i="1"/>
  <c r="H83" i="1"/>
  <c r="H398" i="1"/>
  <c r="I398" i="1"/>
  <c r="H497" i="1"/>
  <c r="I497" i="1"/>
  <c r="I320" i="1"/>
  <c r="H320" i="1"/>
  <c r="I411" i="1"/>
  <c r="H411" i="1"/>
  <c r="H334" i="1"/>
  <c r="I334" i="1"/>
  <c r="H316" i="1"/>
  <c r="I316" i="1"/>
  <c r="I471" i="1"/>
  <c r="H471" i="1"/>
  <c r="H472" i="1"/>
  <c r="I472" i="1"/>
  <c r="I485" i="1"/>
  <c r="H485" i="1"/>
  <c r="H288" i="1"/>
  <c r="I288" i="1"/>
  <c r="I348" i="1"/>
  <c r="H348" i="1"/>
  <c r="I181" i="1"/>
  <c r="H181" i="1"/>
  <c r="H27" i="1"/>
  <c r="I27" i="1"/>
  <c r="H415" i="1"/>
  <c r="I415" i="1"/>
  <c r="I280" i="1"/>
  <c r="H280" i="1"/>
  <c r="I211" i="1"/>
  <c r="H211" i="1"/>
  <c r="I168" i="1"/>
  <c r="H168" i="1"/>
  <c r="I420" i="1"/>
  <c r="H420" i="1"/>
  <c r="H230" i="1"/>
  <c r="I230" i="1"/>
  <c r="I373" i="1"/>
  <c r="H373" i="1"/>
  <c r="I99" i="1"/>
  <c r="H99" i="1"/>
  <c r="I318" i="1"/>
  <c r="H318" i="1"/>
  <c r="I391" i="1"/>
  <c r="H391" i="1"/>
  <c r="I79" i="1"/>
  <c r="H79" i="1"/>
  <c r="H2" i="1"/>
  <c r="I2" i="1"/>
  <c r="H400" i="1"/>
  <c r="I400" i="1"/>
  <c r="I195" i="1"/>
  <c r="H195" i="1"/>
  <c r="H182" i="1"/>
  <c r="I182" i="1"/>
  <c r="I233" i="1"/>
  <c r="H233" i="1"/>
  <c r="H160" i="1"/>
  <c r="I160" i="1"/>
  <c r="I305" i="1"/>
  <c r="H305" i="1"/>
  <c r="I381" i="1"/>
  <c r="H381" i="1"/>
  <c r="I225" i="1"/>
  <c r="H225" i="1"/>
  <c r="H130" i="1"/>
  <c r="I130" i="1"/>
  <c r="H206" i="1"/>
  <c r="I206" i="1"/>
  <c r="H192" i="1"/>
  <c r="I192" i="1"/>
  <c r="H219" i="1"/>
  <c r="I219" i="1"/>
  <c r="H490" i="1"/>
  <c r="I490" i="1"/>
  <c r="I286" i="1"/>
  <c r="H286" i="1"/>
  <c r="I340" i="1"/>
  <c r="H340" i="1"/>
  <c r="I323" i="1"/>
  <c r="H323" i="1"/>
  <c r="H378" i="1"/>
  <c r="I378" i="1"/>
  <c r="H335" i="1"/>
  <c r="I335" i="1"/>
  <c r="I312" i="1"/>
  <c r="H312" i="1"/>
  <c r="I65" i="1"/>
  <c r="H65" i="1"/>
  <c r="I17" i="1"/>
  <c r="H17" i="1"/>
  <c r="I115" i="1"/>
  <c r="H115" i="1"/>
  <c r="H363" i="1"/>
  <c r="I363" i="1"/>
  <c r="H470" i="1"/>
  <c r="I470" i="1"/>
  <c r="I354" i="1"/>
  <c r="H354" i="1"/>
  <c r="H430" i="1"/>
  <c r="I430" i="1"/>
  <c r="I171" i="1"/>
  <c r="H171" i="1"/>
  <c r="H450" i="1"/>
  <c r="I450" i="1"/>
  <c r="H474" i="1"/>
  <c r="I474" i="1"/>
  <c r="I199" i="1"/>
  <c r="H199" i="1"/>
  <c r="I493" i="1"/>
  <c r="H493" i="1"/>
  <c r="I238" i="1"/>
  <c r="H238" i="1"/>
  <c r="H34" i="1"/>
  <c r="I34" i="1"/>
  <c r="I207" i="1"/>
  <c r="H207" i="1"/>
  <c r="I387" i="1"/>
  <c r="H387" i="1"/>
  <c r="I446" i="1"/>
  <c r="H446" i="1"/>
  <c r="I64" i="1"/>
  <c r="H64" i="1"/>
  <c r="I143" i="1"/>
  <c r="H143" i="1"/>
  <c r="H163" i="1"/>
  <c r="I163" i="1"/>
  <c r="H413" i="1"/>
  <c r="I413" i="1"/>
  <c r="H383" i="1"/>
  <c r="I383" i="1"/>
  <c r="H236" i="1"/>
  <c r="I236" i="1"/>
  <c r="I484" i="1"/>
  <c r="H484" i="1"/>
  <c r="H429" i="1"/>
  <c r="I429" i="1"/>
  <c r="H45" i="1"/>
  <c r="I45" i="1"/>
  <c r="I466" i="1"/>
  <c r="H466" i="1"/>
  <c r="I442" i="1"/>
  <c r="H442" i="1"/>
  <c r="I375" i="1"/>
  <c r="H375" i="1"/>
  <c r="I393" i="1"/>
  <c r="H393" i="1"/>
  <c r="I492" i="1"/>
  <c r="H492" i="1"/>
  <c r="I371" i="1"/>
  <c r="H371" i="1"/>
  <c r="H284" i="1"/>
  <c r="I284" i="1"/>
  <c r="H226" i="1"/>
  <c r="I226" i="1"/>
  <c r="I370" i="1"/>
  <c r="H370" i="1"/>
  <c r="I107" i="1"/>
  <c r="H107" i="1"/>
  <c r="I5" i="1"/>
  <c r="H5" i="1"/>
  <c r="I170" i="1"/>
  <c r="H170" i="1"/>
  <c r="H186" i="1"/>
  <c r="I186" i="1"/>
  <c r="I47" i="1"/>
  <c r="H47" i="1"/>
  <c r="H80" i="1"/>
  <c r="I80" i="1"/>
  <c r="I421" i="1"/>
  <c r="H421" i="1"/>
  <c r="I131" i="1"/>
  <c r="H489" i="1"/>
  <c r="I489" i="1"/>
  <c r="I30" i="1"/>
  <c r="H30" i="1"/>
  <c r="I409" i="1"/>
  <c r="H409" i="1"/>
  <c r="H13" i="1"/>
  <c r="I290" i="1"/>
  <c r="H290" i="1"/>
  <c r="I498" i="1"/>
  <c r="H498" i="1"/>
  <c r="I197" i="1"/>
  <c r="H197" i="1"/>
  <c r="I57" i="1"/>
  <c r="H57" i="1"/>
  <c r="I306" i="1"/>
  <c r="H306" i="1"/>
  <c r="I136" i="1"/>
  <c r="H136" i="1"/>
  <c r="H77" i="1"/>
  <c r="I77" i="1"/>
  <c r="I55" i="1"/>
  <c r="H55" i="1"/>
  <c r="I49" i="1"/>
  <c r="H49" i="1"/>
  <c r="H112" i="1"/>
  <c r="I112" i="1"/>
  <c r="H337" i="1"/>
  <c r="I337" i="1"/>
  <c r="H81" i="1"/>
  <c r="I81" i="1"/>
  <c r="I425" i="1"/>
  <c r="H425" i="1"/>
  <c r="H239" i="1"/>
  <c r="I239" i="1"/>
  <c r="H198" i="1"/>
  <c r="I198" i="1"/>
  <c r="I215" i="1"/>
  <c r="H215" i="1"/>
  <c r="I20" i="1"/>
  <c r="H20" i="1"/>
  <c r="H82" i="1"/>
  <c r="I82" i="1"/>
  <c r="I18" i="1"/>
  <c r="H18" i="1"/>
  <c r="H365" i="1"/>
  <c r="I365" i="1"/>
  <c r="I301" i="1"/>
  <c r="H301" i="1"/>
  <c r="I212" i="1"/>
  <c r="H212" i="1"/>
  <c r="I94" i="1"/>
  <c r="H94" i="1"/>
  <c r="I88" i="1"/>
  <c r="H88" i="1"/>
  <c r="H73" i="1"/>
  <c r="I73" i="1"/>
  <c r="I144" i="1"/>
  <c r="H144" i="1"/>
  <c r="I235" i="1"/>
  <c r="H235" i="1"/>
  <c r="H150" i="1"/>
  <c r="I150" i="1"/>
  <c r="I319" i="1"/>
  <c r="H319" i="1"/>
  <c r="H405" i="1"/>
  <c r="I405" i="1"/>
  <c r="I412" i="1"/>
  <c r="H412" i="1"/>
  <c r="I297" i="1"/>
  <c r="H297" i="1"/>
  <c r="H436" i="1"/>
  <c r="I436" i="1"/>
  <c r="I422" i="1"/>
  <c r="H422" i="1"/>
  <c r="I76" i="1"/>
  <c r="H76" i="1"/>
  <c r="H164" i="1"/>
  <c r="I164" i="1"/>
  <c r="H333" i="1"/>
  <c r="I333" i="1"/>
  <c r="H440" i="1"/>
  <c r="I440" i="1"/>
  <c r="H272" i="1"/>
  <c r="I272" i="1"/>
  <c r="H364" i="1"/>
  <c r="I364" i="1"/>
  <c r="I329" i="1"/>
  <c r="H329" i="1"/>
  <c r="H38" i="1"/>
  <c r="I38" i="1"/>
  <c r="I71" i="1"/>
  <c r="H71" i="1"/>
  <c r="I252" i="1"/>
  <c r="H252" i="1"/>
  <c r="H187" i="1"/>
  <c r="I187" i="1"/>
  <c r="H310" i="1"/>
  <c r="I310" i="1"/>
  <c r="I231" i="1"/>
  <c r="H231" i="1"/>
  <c r="I153" i="1"/>
  <c r="H153" i="1"/>
  <c r="I463" i="1"/>
  <c r="H463" i="1"/>
  <c r="H447" i="1"/>
  <c r="I447" i="1"/>
  <c r="H397" i="1"/>
  <c r="I397" i="1"/>
  <c r="I399" i="1"/>
  <c r="H399" i="1"/>
  <c r="H46" i="1"/>
  <c r="I46" i="1"/>
  <c r="I223" i="1"/>
  <c r="H223" i="1"/>
  <c r="I9" i="1"/>
  <c r="H9" i="1"/>
  <c r="I444" i="1"/>
  <c r="H444" i="1"/>
  <c r="I416" i="1"/>
  <c r="H416" i="1"/>
  <c r="I369" i="1"/>
  <c r="H369" i="1"/>
  <c r="I100" i="1"/>
  <c r="H100" i="1"/>
  <c r="H22" i="1"/>
  <c r="I22" i="1"/>
  <c r="I179" i="1"/>
  <c r="H179" i="1"/>
  <c r="H431" i="1"/>
  <c r="I431" i="1"/>
  <c r="I282" i="1"/>
  <c r="H282" i="1"/>
  <c r="I264" i="1"/>
  <c r="H264" i="1"/>
  <c r="I63" i="1"/>
  <c r="H63" i="1"/>
  <c r="H468" i="1"/>
  <c r="I468" i="1"/>
  <c r="H341" i="1"/>
  <c r="I341" i="1"/>
  <c r="H126" i="1"/>
  <c r="I126" i="1"/>
  <c r="H501" i="1"/>
  <c r="I501" i="1"/>
  <c r="I60" i="1"/>
  <c r="H60" i="1"/>
  <c r="I281" i="1"/>
  <c r="H281" i="1"/>
  <c r="I123" i="1"/>
  <c r="H123" i="1"/>
  <c r="I441" i="1"/>
  <c r="H441" i="1"/>
  <c r="I180" i="1"/>
  <c r="H180" i="1"/>
  <c r="H234" i="1"/>
  <c r="I234" i="1"/>
  <c r="H246" i="1"/>
  <c r="I246" i="1"/>
  <c r="I89" i="1"/>
  <c r="H89" i="1"/>
  <c r="I19" i="1"/>
  <c r="H19" i="1"/>
  <c r="H366" i="1"/>
  <c r="I366" i="1"/>
  <c r="I41" i="1"/>
  <c r="H41" i="1"/>
  <c r="H380" i="1"/>
  <c r="I380" i="1"/>
  <c r="H435" i="1"/>
  <c r="I435" i="1"/>
  <c r="I345" i="1"/>
  <c r="H345" i="1"/>
  <c r="I338" i="1"/>
  <c r="H338" i="1"/>
  <c r="I417" i="1"/>
  <c r="H417" i="1"/>
  <c r="H294" i="1"/>
  <c r="I294" i="1"/>
  <c r="I154" i="1"/>
  <c r="H154" i="1"/>
  <c r="I292" i="1"/>
  <c r="H292" i="1"/>
  <c r="I193" i="1"/>
  <c r="H193" i="1"/>
  <c r="H461" i="1"/>
  <c r="I461" i="1"/>
  <c r="H221" i="1"/>
  <c r="I221" i="1"/>
  <c r="I386" i="1"/>
  <c r="H386" i="1"/>
  <c r="H190" i="1"/>
  <c r="I190" i="1"/>
  <c r="H149" i="1"/>
  <c r="I149" i="1"/>
  <c r="H434" i="1"/>
  <c r="I434" i="1"/>
  <c r="H118" i="1"/>
  <c r="I118" i="1"/>
  <c r="I332" i="1"/>
  <c r="H332" i="1"/>
  <c r="H487" i="1"/>
  <c r="I487" i="1"/>
  <c r="I243" i="1"/>
  <c r="H243" i="1"/>
  <c r="H283" i="1"/>
  <c r="I283" i="1"/>
  <c r="H358" i="1"/>
  <c r="I358" i="1"/>
  <c r="I307" i="1"/>
  <c r="H307" i="1"/>
  <c r="I248" i="1"/>
  <c r="H248" i="1"/>
  <c r="I222" i="1"/>
  <c r="H222" i="1"/>
  <c r="I408" i="1"/>
  <c r="H408" i="1"/>
  <c r="I103" i="1"/>
  <c r="H103" i="1"/>
  <c r="I213" i="1"/>
  <c r="H213" i="1"/>
  <c r="I261" i="1"/>
  <c r="H261" i="1"/>
  <c r="H368" i="1"/>
  <c r="I368" i="1"/>
  <c r="I125" i="1"/>
  <c r="H125" i="1"/>
  <c r="H379" i="1"/>
  <c r="I379" i="1"/>
  <c r="H298" i="1"/>
  <c r="I298" i="1"/>
  <c r="I330" i="1"/>
  <c r="H330" i="1"/>
  <c r="H454" i="1"/>
  <c r="I454" i="1"/>
  <c r="H74" i="1"/>
  <c r="I74" i="1"/>
  <c r="H162" i="1"/>
  <c r="I162" i="1"/>
  <c r="H4" i="1"/>
  <c r="I4" i="1"/>
  <c r="I189" i="1"/>
  <c r="H189" i="1"/>
  <c r="H142" i="1"/>
  <c r="I142" i="1"/>
  <c r="I388" i="1"/>
  <c r="H38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E7DB2D-38B5-4589-B06C-F51AA53561F8}" keepAlive="1" name="Query - ecommerce_transactions" description="Connection to the 'ecommerce_transactions' query in the workbook." type="5" refreshedVersion="8" background="1" saveData="1">
    <dbPr connection="Provider=Microsoft.Mashup.OleDb.1;Data Source=$Workbook$;Location=ecommerce_transactions;Extended Properties=&quot;&quot;" command="SELECT * FROM [ecommerce_transaction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<sst xmlns="http://schemas.openxmlformats.org/spreadsheetml/2006/main" count="17332" uniqueCount="5006">
  <si>
    <t>Transaction_ID</t>
  </si>
  <si>
    <t>Customer_ID</t>
  </si>
  <si>
    <t>Customer_Name</t>
  </si>
  <si>
    <t>Transaction_Date</t>
  </si>
  <si>
    <t>Purchase_Amount</t>
  </si>
  <si>
    <t>Quantity</t>
  </si>
  <si>
    <t>Product_Category</t>
  </si>
  <si>
    <t>T000001</t>
  </si>
  <si>
    <t>C0001</t>
  </si>
  <si>
    <t>Customer_1</t>
  </si>
  <si>
    <t>Books</t>
  </si>
  <si>
    <t>T000002</t>
  </si>
  <si>
    <t>Home &amp; Garden</t>
  </si>
  <si>
    <t>T000003</t>
  </si>
  <si>
    <t>T000004</t>
  </si>
  <si>
    <t>Sports</t>
  </si>
  <si>
    <t>T000005</t>
  </si>
  <si>
    <t>T000006</t>
  </si>
  <si>
    <t>Beauty</t>
  </si>
  <si>
    <t>T000007</t>
  </si>
  <si>
    <t>T000008</t>
  </si>
  <si>
    <t>C0002</t>
  </si>
  <si>
    <t>Customer_2</t>
  </si>
  <si>
    <t>T000009</t>
  </si>
  <si>
    <t>T000010</t>
  </si>
  <si>
    <t>T000011</t>
  </si>
  <si>
    <t>Clothing</t>
  </si>
  <si>
    <t>T000012</t>
  </si>
  <si>
    <t>T000013</t>
  </si>
  <si>
    <t>T000014</t>
  </si>
  <si>
    <t>T000015</t>
  </si>
  <si>
    <t>T000016</t>
  </si>
  <si>
    <t>T000017</t>
  </si>
  <si>
    <t>T000018</t>
  </si>
  <si>
    <t>T000019</t>
  </si>
  <si>
    <t>T000020</t>
  </si>
  <si>
    <t>T000021</t>
  </si>
  <si>
    <t>T000022</t>
  </si>
  <si>
    <t>Electronics</t>
  </si>
  <si>
    <t>T000023</t>
  </si>
  <si>
    <t>C0003</t>
  </si>
  <si>
    <t>Customer_3</t>
  </si>
  <si>
    <t>T000024</t>
  </si>
  <si>
    <t>T000025</t>
  </si>
  <si>
    <t>T000026</t>
  </si>
  <si>
    <t>T000027</t>
  </si>
  <si>
    <t>T000028</t>
  </si>
  <si>
    <t>T000029</t>
  </si>
  <si>
    <t>T000030</t>
  </si>
  <si>
    <t>T000031</t>
  </si>
  <si>
    <t>T000032</t>
  </si>
  <si>
    <t>T000033</t>
  </si>
  <si>
    <t>T000034</t>
  </si>
  <si>
    <t>T000035</t>
  </si>
  <si>
    <t>T000036</t>
  </si>
  <si>
    <t>T000037</t>
  </si>
  <si>
    <t>T000038</t>
  </si>
  <si>
    <t>C0004</t>
  </si>
  <si>
    <t>Customer_4</t>
  </si>
  <si>
    <t>T000039</t>
  </si>
  <si>
    <t>T000040</t>
  </si>
  <si>
    <t>C0005</t>
  </si>
  <si>
    <t>Customer_5</t>
  </si>
  <si>
    <t>T000041</t>
  </si>
  <si>
    <t>T000042</t>
  </si>
  <si>
    <t>T000043</t>
  </si>
  <si>
    <t>T000044</t>
  </si>
  <si>
    <t>T000045</t>
  </si>
  <si>
    <t>T000046</t>
  </si>
  <si>
    <t>T000047</t>
  </si>
  <si>
    <t>T000048</t>
  </si>
  <si>
    <t>T000049</t>
  </si>
  <si>
    <t>T000050</t>
  </si>
  <si>
    <t>T000051</t>
  </si>
  <si>
    <t>T000052</t>
  </si>
  <si>
    <t>T000053</t>
  </si>
  <si>
    <t>T000054</t>
  </si>
  <si>
    <t>C0006</t>
  </si>
  <si>
    <t>Customer_6</t>
  </si>
  <si>
    <t>T000055</t>
  </si>
  <si>
    <t>T000056</t>
  </si>
  <si>
    <t>T000057</t>
  </si>
  <si>
    <t>T000058</t>
  </si>
  <si>
    <t>T000059</t>
  </si>
  <si>
    <t>T000060</t>
  </si>
  <si>
    <t>T000061</t>
  </si>
  <si>
    <t>T000062</t>
  </si>
  <si>
    <t>T000063</t>
  </si>
  <si>
    <t>T000064</t>
  </si>
  <si>
    <t>T000065</t>
  </si>
  <si>
    <t>C0007</t>
  </si>
  <si>
    <t>Customer_7</t>
  </si>
  <si>
    <t>T000066</t>
  </si>
  <si>
    <t>T000067</t>
  </si>
  <si>
    <t>T000068</t>
  </si>
  <si>
    <t>T000069</t>
  </si>
  <si>
    <t>T000070</t>
  </si>
  <si>
    <t>T000071</t>
  </si>
  <si>
    <t>T000072</t>
  </si>
  <si>
    <t>T000073</t>
  </si>
  <si>
    <t>T000074</t>
  </si>
  <si>
    <t>C0008</t>
  </si>
  <si>
    <t>Customer_8</t>
  </si>
  <si>
    <t>T000075</t>
  </si>
  <si>
    <t>T000076</t>
  </si>
  <si>
    <t>T000077</t>
  </si>
  <si>
    <t>T000078</t>
  </si>
  <si>
    <t>C0009</t>
  </si>
  <si>
    <t>Customer_9</t>
  </si>
  <si>
    <t>T000079</t>
  </si>
  <si>
    <t>T000080</t>
  </si>
  <si>
    <t>T000081</t>
  </si>
  <si>
    <t>T000082</t>
  </si>
  <si>
    <t>T000083</t>
  </si>
  <si>
    <t>T000084</t>
  </si>
  <si>
    <t>T000085</t>
  </si>
  <si>
    <t>T000086</t>
  </si>
  <si>
    <t>C0010</t>
  </si>
  <si>
    <t>Customer_10</t>
  </si>
  <si>
    <t>T000087</t>
  </si>
  <si>
    <t>T000088</t>
  </si>
  <si>
    <t>T000089</t>
  </si>
  <si>
    <t>T000090</t>
  </si>
  <si>
    <t>T000091</t>
  </si>
  <si>
    <t>T000092</t>
  </si>
  <si>
    <t>T000093</t>
  </si>
  <si>
    <t>C0011</t>
  </si>
  <si>
    <t>Customer_11</t>
  </si>
  <si>
    <t>T000094</t>
  </si>
  <si>
    <t>T000095</t>
  </si>
  <si>
    <t>T000096</t>
  </si>
  <si>
    <t>T000097</t>
  </si>
  <si>
    <t>T000098</t>
  </si>
  <si>
    <t>T000099</t>
  </si>
  <si>
    <t>T000100</t>
  </si>
  <si>
    <t>T000101</t>
  </si>
  <si>
    <t>T000102</t>
  </si>
  <si>
    <t>T000103</t>
  </si>
  <si>
    <t>T000104</t>
  </si>
  <si>
    <t>T000105</t>
  </si>
  <si>
    <t>T000106</t>
  </si>
  <si>
    <t>C0012</t>
  </si>
  <si>
    <t>Customer_12</t>
  </si>
  <si>
    <t>T000107</t>
  </si>
  <si>
    <t>T000108</t>
  </si>
  <si>
    <t>T000109</t>
  </si>
  <si>
    <t>T000110</t>
  </si>
  <si>
    <t>T000111</t>
  </si>
  <si>
    <t>T000112</t>
  </si>
  <si>
    <t>T000113</t>
  </si>
  <si>
    <t>T000114</t>
  </si>
  <si>
    <t>T000115</t>
  </si>
  <si>
    <t>T000116</t>
  </si>
  <si>
    <t>C0013</t>
  </si>
  <si>
    <t>Customer_13</t>
  </si>
  <si>
    <t>T000117</t>
  </si>
  <si>
    <t>T000118</t>
  </si>
  <si>
    <t>T000119</t>
  </si>
  <si>
    <t>C0014</t>
  </si>
  <si>
    <t>Customer_14</t>
  </si>
  <si>
    <t>T000120</t>
  </si>
  <si>
    <t>T000121</t>
  </si>
  <si>
    <t>T000122</t>
  </si>
  <si>
    <t>T000123</t>
  </si>
  <si>
    <t>T000124</t>
  </si>
  <si>
    <t>T000125</t>
  </si>
  <si>
    <t>T000126</t>
  </si>
  <si>
    <t>T000127</t>
  </si>
  <si>
    <t>T000128</t>
  </si>
  <si>
    <t>T000129</t>
  </si>
  <si>
    <t>T000130</t>
  </si>
  <si>
    <t>T000131</t>
  </si>
  <si>
    <t>C0015</t>
  </si>
  <si>
    <t>Customer_15</t>
  </si>
  <si>
    <t>T000132</t>
  </si>
  <si>
    <t>T000133</t>
  </si>
  <si>
    <t>T000134</t>
  </si>
  <si>
    <t>T000135</t>
  </si>
  <si>
    <t>C0016</t>
  </si>
  <si>
    <t>Customer_16</t>
  </si>
  <si>
    <t>T000136</t>
  </si>
  <si>
    <t>T000137</t>
  </si>
  <si>
    <t>T000138</t>
  </si>
  <si>
    <t>T000139</t>
  </si>
  <si>
    <t>T000140</t>
  </si>
  <si>
    <t>T000141</t>
  </si>
  <si>
    <t>T000142</t>
  </si>
  <si>
    <t>T000143</t>
  </si>
  <si>
    <t>T000144</t>
  </si>
  <si>
    <t>T000145</t>
  </si>
  <si>
    <t>T000146</t>
  </si>
  <si>
    <t>C0017</t>
  </si>
  <si>
    <t>Customer_17</t>
  </si>
  <si>
    <t>T000147</t>
  </si>
  <si>
    <t>T000148</t>
  </si>
  <si>
    <t>T000149</t>
  </si>
  <si>
    <t>T000150</t>
  </si>
  <si>
    <t>T000151</t>
  </si>
  <si>
    <t>T000152</t>
  </si>
  <si>
    <t>T000153</t>
  </si>
  <si>
    <t>T000154</t>
  </si>
  <si>
    <t>T000155</t>
  </si>
  <si>
    <t>T000156</t>
  </si>
  <si>
    <t>T000157</t>
  </si>
  <si>
    <t>T000158</t>
  </si>
  <si>
    <t>T000159</t>
  </si>
  <si>
    <t>T000160</t>
  </si>
  <si>
    <t>C0018</t>
  </si>
  <si>
    <t>Customer_18</t>
  </si>
  <si>
    <t>T000161</t>
  </si>
  <si>
    <t>T000162</t>
  </si>
  <si>
    <t>T000163</t>
  </si>
  <si>
    <t>T000164</t>
  </si>
  <si>
    <t>T000165</t>
  </si>
  <si>
    <t>T000166</t>
  </si>
  <si>
    <t>C0019</t>
  </si>
  <si>
    <t>Customer_19</t>
  </si>
  <si>
    <t>T000167</t>
  </si>
  <si>
    <t>T000168</t>
  </si>
  <si>
    <t>T000169</t>
  </si>
  <si>
    <t>T000170</t>
  </si>
  <si>
    <t>C0020</t>
  </si>
  <si>
    <t>Customer_20</t>
  </si>
  <si>
    <t>T000171</t>
  </si>
  <si>
    <t>T000172</t>
  </si>
  <si>
    <t>T000173</t>
  </si>
  <si>
    <t>T000174</t>
  </si>
  <si>
    <t>T000175</t>
  </si>
  <si>
    <t>T000176</t>
  </si>
  <si>
    <t>T000177</t>
  </si>
  <si>
    <t>T000178</t>
  </si>
  <si>
    <t>T000179</t>
  </si>
  <si>
    <t>T000180</t>
  </si>
  <si>
    <t>T000181</t>
  </si>
  <si>
    <t>T000182</t>
  </si>
  <si>
    <t>T000183</t>
  </si>
  <si>
    <t>C0021</t>
  </si>
  <si>
    <t>Customer_21</t>
  </si>
  <si>
    <t>T000184</t>
  </si>
  <si>
    <t>T000185</t>
  </si>
  <si>
    <t>C0022</t>
  </si>
  <si>
    <t>Customer_22</t>
  </si>
  <si>
    <t>T000186</t>
  </si>
  <si>
    <t>T000187</t>
  </si>
  <si>
    <t>T000188</t>
  </si>
  <si>
    <t>T000189</t>
  </si>
  <si>
    <t>T000190</t>
  </si>
  <si>
    <t>T000191</t>
  </si>
  <si>
    <t>T000192</t>
  </si>
  <si>
    <t>T000193</t>
  </si>
  <si>
    <t>T000194</t>
  </si>
  <si>
    <t>T000195</t>
  </si>
  <si>
    <t>T000196</t>
  </si>
  <si>
    <t>T000197</t>
  </si>
  <si>
    <t>T000198</t>
  </si>
  <si>
    <t>T000199</t>
  </si>
  <si>
    <t>C0023</t>
  </si>
  <si>
    <t>Customer_23</t>
  </si>
  <si>
    <t>T000200</t>
  </si>
  <si>
    <t>T000201</t>
  </si>
  <si>
    <t>T000202</t>
  </si>
  <si>
    <t>T000203</t>
  </si>
  <si>
    <t>T000204</t>
  </si>
  <si>
    <t>T000205</t>
  </si>
  <si>
    <t>T000206</t>
  </si>
  <si>
    <t>T000207</t>
  </si>
  <si>
    <t>T000208</t>
  </si>
  <si>
    <t>T000209</t>
  </si>
  <si>
    <t>T000210</t>
  </si>
  <si>
    <t>T000211</t>
  </si>
  <si>
    <t>T000212</t>
  </si>
  <si>
    <t>C0024</t>
  </si>
  <si>
    <t>Customer_24</t>
  </si>
  <si>
    <t>T000213</t>
  </si>
  <si>
    <t>T000214</t>
  </si>
  <si>
    <t>T000215</t>
  </si>
  <si>
    <t>T000216</t>
  </si>
  <si>
    <t>T000217</t>
  </si>
  <si>
    <t>T000218</t>
  </si>
  <si>
    <t>T000219</t>
  </si>
  <si>
    <t>T000220</t>
  </si>
  <si>
    <t>T000221</t>
  </si>
  <si>
    <t>T000222</t>
  </si>
  <si>
    <t>C0025</t>
  </si>
  <si>
    <t>Customer_25</t>
  </si>
  <si>
    <t>T000223</t>
  </si>
  <si>
    <t>T000224</t>
  </si>
  <si>
    <t>T000225</t>
  </si>
  <si>
    <t>T000226</t>
  </si>
  <si>
    <t>C0026</t>
  </si>
  <si>
    <t>Customer_26</t>
  </si>
  <si>
    <t>T000227</t>
  </si>
  <si>
    <t>T000228</t>
  </si>
  <si>
    <t>T000229</t>
  </si>
  <si>
    <t>T000230</t>
  </si>
  <si>
    <t>T000231</t>
  </si>
  <si>
    <t>T000232</t>
  </si>
  <si>
    <t>T000233</t>
  </si>
  <si>
    <t>T000234</t>
  </si>
  <si>
    <t>T000235</t>
  </si>
  <si>
    <t>T000236</t>
  </si>
  <si>
    <t>T000237</t>
  </si>
  <si>
    <t>C0027</t>
  </si>
  <si>
    <t>Customer_27</t>
  </si>
  <si>
    <t>T000238</t>
  </si>
  <si>
    <t>T000239</t>
  </si>
  <si>
    <t>T000240</t>
  </si>
  <si>
    <t>C0028</t>
  </si>
  <si>
    <t>Customer_28</t>
  </si>
  <si>
    <t>T000241</t>
  </si>
  <si>
    <t>T000242</t>
  </si>
  <si>
    <t>T000243</t>
  </si>
  <si>
    <t>C0029</t>
  </si>
  <si>
    <t>Customer_29</t>
  </si>
  <si>
    <t>T000244</t>
  </si>
  <si>
    <t>T000245</t>
  </si>
  <si>
    <t>T000246</t>
  </si>
  <si>
    <t>T000247</t>
  </si>
  <si>
    <t>T000248</t>
  </si>
  <si>
    <t>C0030</t>
  </si>
  <si>
    <t>Customer_30</t>
  </si>
  <si>
    <t>T000249</t>
  </si>
  <si>
    <t>T000250</t>
  </si>
  <si>
    <t>T000251</t>
  </si>
  <si>
    <t>T000252</t>
  </si>
  <si>
    <t>T000253</t>
  </si>
  <si>
    <t>C0031</t>
  </si>
  <si>
    <t>Customer_31</t>
  </si>
  <si>
    <t>T000254</t>
  </si>
  <si>
    <t>T000255</t>
  </si>
  <si>
    <t>T000256</t>
  </si>
  <si>
    <t>T000257</t>
  </si>
  <si>
    <t>T000258</t>
  </si>
  <si>
    <t>T000259</t>
  </si>
  <si>
    <t>T000260</t>
  </si>
  <si>
    <t>T000261</t>
  </si>
  <si>
    <t>T000262</t>
  </si>
  <si>
    <t>T000263</t>
  </si>
  <si>
    <t>T000264</t>
  </si>
  <si>
    <t>C0032</t>
  </si>
  <si>
    <t>Customer_32</t>
  </si>
  <si>
    <t>T000265</t>
  </si>
  <si>
    <t>T000266</t>
  </si>
  <si>
    <t>T000267</t>
  </si>
  <si>
    <t>T000268</t>
  </si>
  <si>
    <t>T000269</t>
  </si>
  <si>
    <t>T000270</t>
  </si>
  <si>
    <t>T000271</t>
  </si>
  <si>
    <t>T000272</t>
  </si>
  <si>
    <t>T000273</t>
  </si>
  <si>
    <t>T000274</t>
  </si>
  <si>
    <t>T000275</t>
  </si>
  <si>
    <t>T000276</t>
  </si>
  <si>
    <t>C0033</t>
  </si>
  <si>
    <t>Customer_33</t>
  </si>
  <si>
    <t>T000277</t>
  </si>
  <si>
    <t>T000278</t>
  </si>
  <si>
    <t>T000279</t>
  </si>
  <si>
    <t>T000280</t>
  </si>
  <si>
    <t>T000281</t>
  </si>
  <si>
    <t>T000282</t>
  </si>
  <si>
    <t>T000283</t>
  </si>
  <si>
    <t>T000284</t>
  </si>
  <si>
    <t>T000285</t>
  </si>
  <si>
    <t>T000286</t>
  </si>
  <si>
    <t>T000287</t>
  </si>
  <si>
    <t>T000288</t>
  </si>
  <si>
    <t>C0034</t>
  </si>
  <si>
    <t>Customer_34</t>
  </si>
  <si>
    <t>T000289</t>
  </si>
  <si>
    <t>T000290</t>
  </si>
  <si>
    <t>T000291</t>
  </si>
  <si>
    <t>T000292</t>
  </si>
  <si>
    <t>T000293</t>
  </si>
  <si>
    <t>T000294</t>
  </si>
  <si>
    <t>T000295</t>
  </si>
  <si>
    <t>T000296</t>
  </si>
  <si>
    <t>T000297</t>
  </si>
  <si>
    <t>T000298</t>
  </si>
  <si>
    <t>T000299</t>
  </si>
  <si>
    <t>T000300</t>
  </si>
  <si>
    <t>T000301</t>
  </si>
  <si>
    <t>T000302</t>
  </si>
  <si>
    <t>T000303</t>
  </si>
  <si>
    <t>C0035</t>
  </si>
  <si>
    <t>Customer_35</t>
  </si>
  <si>
    <t>T000304</t>
  </si>
  <si>
    <t>T000305</t>
  </si>
  <si>
    <t>T000306</t>
  </si>
  <si>
    <t>T000307</t>
  </si>
  <si>
    <t>T000308</t>
  </si>
  <si>
    <t>T000309</t>
  </si>
  <si>
    <t>T000310</t>
  </si>
  <si>
    <t>T000311</t>
  </si>
  <si>
    <t>T000312</t>
  </si>
  <si>
    <t>T000313</t>
  </si>
  <si>
    <t>T000314</t>
  </si>
  <si>
    <t>T000315</t>
  </si>
  <si>
    <t>C0036</t>
  </si>
  <si>
    <t>Customer_36</t>
  </si>
  <si>
    <t>T000316</t>
  </si>
  <si>
    <t>T000317</t>
  </si>
  <si>
    <t>T000318</t>
  </si>
  <si>
    <t>T000319</t>
  </si>
  <si>
    <t>T000320</t>
  </si>
  <si>
    <t>C0037</t>
  </si>
  <si>
    <t>Customer_37</t>
  </si>
  <si>
    <t>T000321</t>
  </si>
  <si>
    <t>T000322</t>
  </si>
  <si>
    <t>T000323</t>
  </si>
  <si>
    <t>T000324</t>
  </si>
  <si>
    <t>C0038</t>
  </si>
  <si>
    <t>Customer_38</t>
  </si>
  <si>
    <t>T000325</t>
  </si>
  <si>
    <t>T000326</t>
  </si>
  <si>
    <t>C0039</t>
  </si>
  <si>
    <t>Customer_39</t>
  </si>
  <si>
    <t>T000327</t>
  </si>
  <si>
    <t>T000328</t>
  </si>
  <si>
    <t>T000329</t>
  </si>
  <si>
    <t>T000330</t>
  </si>
  <si>
    <t>T000331</t>
  </si>
  <si>
    <t>T000332</t>
  </si>
  <si>
    <t>T000333</t>
  </si>
  <si>
    <t>T000334</t>
  </si>
  <si>
    <t>T000335</t>
  </si>
  <si>
    <t>T000336</t>
  </si>
  <si>
    <t>T000337</t>
  </si>
  <si>
    <t>C0040</t>
  </si>
  <si>
    <t>Customer_40</t>
  </si>
  <si>
    <t>T000338</t>
  </si>
  <si>
    <t>T000339</t>
  </si>
  <si>
    <t>T000340</t>
  </si>
  <si>
    <t>T000341</t>
  </si>
  <si>
    <t>T000342</t>
  </si>
  <si>
    <t>C0041</t>
  </si>
  <si>
    <t>Customer_41</t>
  </si>
  <si>
    <t>T000343</t>
  </si>
  <si>
    <t>T000344</t>
  </si>
  <si>
    <t>T000345</t>
  </si>
  <si>
    <t>T000346</t>
  </si>
  <si>
    <t>T000347</t>
  </si>
  <si>
    <t>T000348</t>
  </si>
  <si>
    <t>T000349</t>
  </si>
  <si>
    <t>T000350</t>
  </si>
  <si>
    <t>T000351</t>
  </si>
  <si>
    <t>T000352</t>
  </si>
  <si>
    <t>C0042</t>
  </si>
  <si>
    <t>Customer_42</t>
  </si>
  <si>
    <t>T000353</t>
  </si>
  <si>
    <t>C0043</t>
  </si>
  <si>
    <t>Customer_43</t>
  </si>
  <si>
    <t>T000354</t>
  </si>
  <si>
    <t>T000355</t>
  </si>
  <si>
    <t>T000356</t>
  </si>
  <si>
    <t>T000357</t>
  </si>
  <si>
    <t>C0044</t>
  </si>
  <si>
    <t>Customer_44</t>
  </si>
  <si>
    <t>T000358</t>
  </si>
  <si>
    <t>T000359</t>
  </si>
  <si>
    <t>T000360</t>
  </si>
  <si>
    <t>T000361</t>
  </si>
  <si>
    <t>T000362</t>
  </si>
  <si>
    <t>T000363</t>
  </si>
  <si>
    <t>T000364</t>
  </si>
  <si>
    <t>T000365</t>
  </si>
  <si>
    <t>T000366</t>
  </si>
  <si>
    <t>T000367</t>
  </si>
  <si>
    <t>T000368</t>
  </si>
  <si>
    <t>C0045</t>
  </si>
  <si>
    <t>Customer_45</t>
  </si>
  <si>
    <t>T000369</t>
  </si>
  <si>
    <t>T000370</t>
  </si>
  <si>
    <t>T000371</t>
  </si>
  <si>
    <t>T000372</t>
  </si>
  <si>
    <t>T000373</t>
  </si>
  <si>
    <t>T000374</t>
  </si>
  <si>
    <t>T000375</t>
  </si>
  <si>
    <t>T000376</t>
  </si>
  <si>
    <t>T000377</t>
  </si>
  <si>
    <t>C0046</t>
  </si>
  <si>
    <t>Customer_46</t>
  </si>
  <si>
    <t>T000378</t>
  </si>
  <si>
    <t>T000379</t>
  </si>
  <si>
    <t>T000380</t>
  </si>
  <si>
    <t>T000381</t>
  </si>
  <si>
    <t>T000382</t>
  </si>
  <si>
    <t>T000383</t>
  </si>
  <si>
    <t>T000384</t>
  </si>
  <si>
    <t>T000385</t>
  </si>
  <si>
    <t>T000386</t>
  </si>
  <si>
    <t>T000387</t>
  </si>
  <si>
    <t>T000388</t>
  </si>
  <si>
    <t>T000389</t>
  </si>
  <si>
    <t>T000390</t>
  </si>
  <si>
    <t>C0047</t>
  </si>
  <si>
    <t>Customer_47</t>
  </si>
  <si>
    <t>T000391</t>
  </si>
  <si>
    <t>T000392</t>
  </si>
  <si>
    <t>T000393</t>
  </si>
  <si>
    <t>T000394</t>
  </si>
  <si>
    <t>T000395</t>
  </si>
  <si>
    <t>T000396</t>
  </si>
  <si>
    <t>C0048</t>
  </si>
  <si>
    <t>Customer_48</t>
  </si>
  <si>
    <t>T000397</t>
  </si>
  <si>
    <t>T000398</t>
  </si>
  <si>
    <t>T000399</t>
  </si>
  <si>
    <t>T000400</t>
  </si>
  <si>
    <t>T000401</t>
  </si>
  <si>
    <t>T000402</t>
  </si>
  <si>
    <t>T000403</t>
  </si>
  <si>
    <t>T000404</t>
  </si>
  <si>
    <t>T000405</t>
  </si>
  <si>
    <t>T000406</t>
  </si>
  <si>
    <t>T000407</t>
  </si>
  <si>
    <t>T000408</t>
  </si>
  <si>
    <t>C0049</t>
  </si>
  <si>
    <t>Customer_49</t>
  </si>
  <si>
    <t>T000409</t>
  </si>
  <si>
    <t>T000410</t>
  </si>
  <si>
    <t>T000411</t>
  </si>
  <si>
    <t>T000412</t>
  </si>
  <si>
    <t>T000413</t>
  </si>
  <si>
    <t>T000414</t>
  </si>
  <si>
    <t>T000415</t>
  </si>
  <si>
    <t>T000416</t>
  </si>
  <si>
    <t>T000417</t>
  </si>
  <si>
    <t>T000418</t>
  </si>
  <si>
    <t>T000419</t>
  </si>
  <si>
    <t>T000420</t>
  </si>
  <si>
    <t>C0050</t>
  </si>
  <si>
    <t>Customer_50</t>
  </si>
  <si>
    <t>T000421</t>
  </si>
  <si>
    <t>T000422</t>
  </si>
  <si>
    <t>T000423</t>
  </si>
  <si>
    <t>T000424</t>
  </si>
  <si>
    <t>T000425</t>
  </si>
  <si>
    <t>T000426</t>
  </si>
  <si>
    <t>T000427</t>
  </si>
  <si>
    <t>T000428</t>
  </si>
  <si>
    <t>T000429</t>
  </si>
  <si>
    <t>C0051</t>
  </si>
  <si>
    <t>Customer_51</t>
  </si>
  <si>
    <t>T000430</t>
  </si>
  <si>
    <t>T000431</t>
  </si>
  <si>
    <t>T000432</t>
  </si>
  <si>
    <t>T000433</t>
  </si>
  <si>
    <t>T000434</t>
  </si>
  <si>
    <t>T000435</t>
  </si>
  <si>
    <t>T000436</t>
  </si>
  <si>
    <t>T000437</t>
  </si>
  <si>
    <t>T000438</t>
  </si>
  <si>
    <t>T000439</t>
  </si>
  <si>
    <t>T000440</t>
  </si>
  <si>
    <t>T000441</t>
  </si>
  <si>
    <t>C0052</t>
  </si>
  <si>
    <t>Customer_52</t>
  </si>
  <si>
    <t>T000442</t>
  </si>
  <si>
    <t>T000443</t>
  </si>
  <si>
    <t>T000444</t>
  </si>
  <si>
    <t>T000445</t>
  </si>
  <si>
    <t>T000446</t>
  </si>
  <si>
    <t>T000447</t>
  </si>
  <si>
    <t>T000448</t>
  </si>
  <si>
    <t>T000449</t>
  </si>
  <si>
    <t>T000450</t>
  </si>
  <si>
    <t>T000451</t>
  </si>
  <si>
    <t>T000452</t>
  </si>
  <si>
    <t>T000453</t>
  </si>
  <si>
    <t>C0053</t>
  </si>
  <si>
    <t>Customer_53</t>
  </si>
  <si>
    <t>T000454</t>
  </si>
  <si>
    <t>T000455</t>
  </si>
  <si>
    <t>T000456</t>
  </si>
  <si>
    <t>T000457</t>
  </si>
  <si>
    <t>T000458</t>
  </si>
  <si>
    <t>T000459</t>
  </si>
  <si>
    <t>T000460</t>
  </si>
  <si>
    <t>T000461</t>
  </si>
  <si>
    <t>T000462</t>
  </si>
  <si>
    <t>T000463</t>
  </si>
  <si>
    <t>T000464</t>
  </si>
  <si>
    <t>T000465</t>
  </si>
  <si>
    <t>T000466</t>
  </si>
  <si>
    <t>T000467</t>
  </si>
  <si>
    <t>T000468</t>
  </si>
  <si>
    <t>C0054</t>
  </si>
  <si>
    <t>Customer_54</t>
  </si>
  <si>
    <t>T000469</t>
  </si>
  <si>
    <t>T000470</t>
  </si>
  <si>
    <t>T000471</t>
  </si>
  <si>
    <t>T000472</t>
  </si>
  <si>
    <t>T000473</t>
  </si>
  <si>
    <t>C0055</t>
  </si>
  <si>
    <t>Customer_55</t>
  </si>
  <si>
    <t>T000474</t>
  </si>
  <si>
    <t>T000475</t>
  </si>
  <si>
    <t>T000476</t>
  </si>
  <si>
    <t>T000477</t>
  </si>
  <si>
    <t>T000478</t>
  </si>
  <si>
    <t>T000479</t>
  </si>
  <si>
    <t>T000480</t>
  </si>
  <si>
    <t>T000481</t>
  </si>
  <si>
    <t>T000482</t>
  </si>
  <si>
    <t>T000483</t>
  </si>
  <si>
    <t>T000484</t>
  </si>
  <si>
    <t>T000485</t>
  </si>
  <si>
    <t>T000486</t>
  </si>
  <si>
    <t>T000487</t>
  </si>
  <si>
    <t>C0056</t>
  </si>
  <si>
    <t>Customer_56</t>
  </si>
  <si>
    <t>T000488</t>
  </si>
  <si>
    <t>T000489</t>
  </si>
  <si>
    <t>T000490</t>
  </si>
  <si>
    <t>T000491</t>
  </si>
  <si>
    <t>C0057</t>
  </si>
  <si>
    <t>Customer_57</t>
  </si>
  <si>
    <t>T000492</t>
  </si>
  <si>
    <t>T000493</t>
  </si>
  <si>
    <t>T000494</t>
  </si>
  <si>
    <t>T000495</t>
  </si>
  <si>
    <t>T000496</t>
  </si>
  <si>
    <t>T000497</t>
  </si>
  <si>
    <t>T000498</t>
  </si>
  <si>
    <t>T000499</t>
  </si>
  <si>
    <t>T000500</t>
  </si>
  <si>
    <t>T000501</t>
  </si>
  <si>
    <t>T000502</t>
  </si>
  <si>
    <t>T000503</t>
  </si>
  <si>
    <t>C0058</t>
  </si>
  <si>
    <t>Customer_58</t>
  </si>
  <si>
    <t>T000504</t>
  </si>
  <si>
    <t>T000505</t>
  </si>
  <si>
    <t>T000506</t>
  </si>
  <si>
    <t>T000507</t>
  </si>
  <si>
    <t>C0059</t>
  </si>
  <si>
    <t>Customer_59</t>
  </si>
  <si>
    <t>T000508</t>
  </si>
  <si>
    <t>T000509</t>
  </si>
  <si>
    <t>T000510</t>
  </si>
  <si>
    <t>T000511</t>
  </si>
  <si>
    <t>T000512</t>
  </si>
  <si>
    <t>T000513</t>
  </si>
  <si>
    <t>T000514</t>
  </si>
  <si>
    <t>C0060</t>
  </si>
  <si>
    <t>Customer_60</t>
  </si>
  <si>
    <t>T000515</t>
  </si>
  <si>
    <t>T000516</t>
  </si>
  <si>
    <t>T000517</t>
  </si>
  <si>
    <t>T000518</t>
  </si>
  <si>
    <t>T000519</t>
  </si>
  <si>
    <t>T000520</t>
  </si>
  <si>
    <t>T000521</t>
  </si>
  <si>
    <t>T000522</t>
  </si>
  <si>
    <t>T000523</t>
  </si>
  <si>
    <t>T000524</t>
  </si>
  <si>
    <t>C0061</t>
  </si>
  <si>
    <t>Customer_61</t>
  </si>
  <si>
    <t>T000525</t>
  </si>
  <si>
    <t>T000526</t>
  </si>
  <si>
    <t>T000527</t>
  </si>
  <si>
    <t>C0062</t>
  </si>
  <si>
    <t>Customer_62</t>
  </si>
  <si>
    <t>T000528</t>
  </si>
  <si>
    <t>T000529</t>
  </si>
  <si>
    <t>T000530</t>
  </si>
  <si>
    <t>T000531</t>
  </si>
  <si>
    <t>T000532</t>
  </si>
  <si>
    <t>T000533</t>
  </si>
  <si>
    <t>T000534</t>
  </si>
  <si>
    <t>C0063</t>
  </si>
  <si>
    <t>Customer_63</t>
  </si>
  <si>
    <t>T000535</t>
  </si>
  <si>
    <t>T000536</t>
  </si>
  <si>
    <t>T000537</t>
  </si>
  <si>
    <t>T000538</t>
  </si>
  <si>
    <t>T000539</t>
  </si>
  <si>
    <t>T000540</t>
  </si>
  <si>
    <t>T000541</t>
  </si>
  <si>
    <t>C0064</t>
  </si>
  <si>
    <t>Customer_64</t>
  </si>
  <si>
    <t>T000542</t>
  </si>
  <si>
    <t>T000543</t>
  </si>
  <si>
    <t>T000544</t>
  </si>
  <si>
    <t>T000545</t>
  </si>
  <si>
    <t>T000546</t>
  </si>
  <si>
    <t>T000547</t>
  </si>
  <si>
    <t>T000548</t>
  </si>
  <si>
    <t>T000549</t>
  </si>
  <si>
    <t>C0065</t>
  </si>
  <si>
    <t>Customer_65</t>
  </si>
  <si>
    <t>T000550</t>
  </si>
  <si>
    <t>T000551</t>
  </si>
  <si>
    <t>T000552</t>
  </si>
  <si>
    <t>T000553</t>
  </si>
  <si>
    <t>T000554</t>
  </si>
  <si>
    <t>T000555</t>
  </si>
  <si>
    <t>C0066</t>
  </si>
  <si>
    <t>Customer_66</t>
  </si>
  <si>
    <t>T000556</t>
  </si>
  <si>
    <t>T000557</t>
  </si>
  <si>
    <t>T000558</t>
  </si>
  <si>
    <t>T000559</t>
  </si>
  <si>
    <t>T000560</t>
  </si>
  <si>
    <t>T000561</t>
  </si>
  <si>
    <t>T000562</t>
  </si>
  <si>
    <t>T000563</t>
  </si>
  <si>
    <t>T000564</t>
  </si>
  <si>
    <t>T000565</t>
  </si>
  <si>
    <t>T000566</t>
  </si>
  <si>
    <t>C0067</t>
  </si>
  <si>
    <t>Customer_67</t>
  </si>
  <si>
    <t>T000567</t>
  </si>
  <si>
    <t>T000568</t>
  </si>
  <si>
    <t>T000569</t>
  </si>
  <si>
    <t>C0068</t>
  </si>
  <si>
    <t>Customer_68</t>
  </si>
  <si>
    <t>T000570</t>
  </si>
  <si>
    <t>T000571</t>
  </si>
  <si>
    <t>T000572</t>
  </si>
  <si>
    <t>C0069</t>
  </si>
  <si>
    <t>Customer_69</t>
  </si>
  <si>
    <t>T000573</t>
  </si>
  <si>
    <t>T000574</t>
  </si>
  <si>
    <t>T000575</t>
  </si>
  <si>
    <t>T000576</t>
  </si>
  <si>
    <t>T000577</t>
  </si>
  <si>
    <t>T000578</t>
  </si>
  <si>
    <t>T000579</t>
  </si>
  <si>
    <t>C0070</t>
  </si>
  <si>
    <t>Customer_70</t>
  </si>
  <si>
    <t>T000580</t>
  </si>
  <si>
    <t>T000581</t>
  </si>
  <si>
    <t>T000582</t>
  </si>
  <si>
    <t>T000583</t>
  </si>
  <si>
    <t>T000584</t>
  </si>
  <si>
    <t>T000585</t>
  </si>
  <si>
    <t>T000586</t>
  </si>
  <si>
    <t>C0071</t>
  </si>
  <si>
    <t>Customer_71</t>
  </si>
  <si>
    <t>T000587</t>
  </si>
  <si>
    <t>T000588</t>
  </si>
  <si>
    <t>T000589</t>
  </si>
  <si>
    <t>T000590</t>
  </si>
  <si>
    <t>T000591</t>
  </si>
  <si>
    <t>T000592</t>
  </si>
  <si>
    <t>T000593</t>
  </si>
  <si>
    <t>T000594</t>
  </si>
  <si>
    <t>T000595</t>
  </si>
  <si>
    <t>T000596</t>
  </si>
  <si>
    <t>T000597</t>
  </si>
  <si>
    <t>T000598</t>
  </si>
  <si>
    <t>T000599</t>
  </si>
  <si>
    <t>C0072</t>
  </si>
  <si>
    <t>Customer_72</t>
  </si>
  <si>
    <t>T000600</t>
  </si>
  <si>
    <t>T000601</t>
  </si>
  <si>
    <t>T000602</t>
  </si>
  <si>
    <t>C0073</t>
  </si>
  <si>
    <t>Customer_73</t>
  </si>
  <si>
    <t>T000603</t>
  </si>
  <si>
    <t>T000604</t>
  </si>
  <si>
    <t>C0074</t>
  </si>
  <si>
    <t>Customer_74</t>
  </si>
  <si>
    <t>T000605</t>
  </si>
  <si>
    <t>T000606</t>
  </si>
  <si>
    <t>T000607</t>
  </si>
  <si>
    <t>T000608</t>
  </si>
  <si>
    <t>T000609</t>
  </si>
  <si>
    <t>T000610</t>
  </si>
  <si>
    <t>T000611</t>
  </si>
  <si>
    <t>T000612</t>
  </si>
  <si>
    <t>T000613</t>
  </si>
  <si>
    <t>T000614</t>
  </si>
  <si>
    <t>C0075</t>
  </si>
  <si>
    <t>Customer_75</t>
  </si>
  <si>
    <t>T000615</t>
  </si>
  <si>
    <t>T000616</t>
  </si>
  <si>
    <t>T000617</t>
  </si>
  <si>
    <t>T000618</t>
  </si>
  <si>
    <t>T000619</t>
  </si>
  <si>
    <t>T000620</t>
  </si>
  <si>
    <t>T000621</t>
  </si>
  <si>
    <t>T000622</t>
  </si>
  <si>
    <t>T000623</t>
  </si>
  <si>
    <t>T000624</t>
  </si>
  <si>
    <t>T000625</t>
  </si>
  <si>
    <t>T000626</t>
  </si>
  <si>
    <t>T000627</t>
  </si>
  <si>
    <t>T000628</t>
  </si>
  <si>
    <t>C0076</t>
  </si>
  <si>
    <t>Customer_76</t>
  </si>
  <si>
    <t>T000629</t>
  </si>
  <si>
    <t>T000630</t>
  </si>
  <si>
    <t>T000631</t>
  </si>
  <si>
    <t>T000632</t>
  </si>
  <si>
    <t>T000633</t>
  </si>
  <si>
    <t>T000634</t>
  </si>
  <si>
    <t>T000635</t>
  </si>
  <si>
    <t>T000636</t>
  </si>
  <si>
    <t>T000637</t>
  </si>
  <si>
    <t>T000638</t>
  </si>
  <si>
    <t>T000639</t>
  </si>
  <si>
    <t>C0077</t>
  </si>
  <si>
    <t>Customer_77</t>
  </si>
  <si>
    <t>T000640</t>
  </si>
  <si>
    <t>T000641</t>
  </si>
  <si>
    <t>T000642</t>
  </si>
  <si>
    <t>T000643</t>
  </si>
  <si>
    <t>T000644</t>
  </si>
  <si>
    <t>T000645</t>
  </si>
  <si>
    <t>T000646</t>
  </si>
  <si>
    <t>T000647</t>
  </si>
  <si>
    <t>C0078</t>
  </si>
  <si>
    <t>Customer_78</t>
  </si>
  <si>
    <t>T000648</t>
  </si>
  <si>
    <t>T000649</t>
  </si>
  <si>
    <t>T000650</t>
  </si>
  <si>
    <t>T000651</t>
  </si>
  <si>
    <t>T000652</t>
  </si>
  <si>
    <t>T000653</t>
  </si>
  <si>
    <t>T000654</t>
  </si>
  <si>
    <t>T000655</t>
  </si>
  <si>
    <t>T000656</t>
  </si>
  <si>
    <t>T000657</t>
  </si>
  <si>
    <t>T000658</t>
  </si>
  <si>
    <t>T000659</t>
  </si>
  <si>
    <t>C0079</t>
  </si>
  <si>
    <t>Customer_79</t>
  </si>
  <si>
    <t>T000660</t>
  </si>
  <si>
    <t>T000661</t>
  </si>
  <si>
    <t>T000662</t>
  </si>
  <si>
    <t>T000663</t>
  </si>
  <si>
    <t>T000664</t>
  </si>
  <si>
    <t>T000665</t>
  </si>
  <si>
    <t>T000666</t>
  </si>
  <si>
    <t>T000667</t>
  </si>
  <si>
    <t>T000668</t>
  </si>
  <si>
    <t>C0080</t>
  </si>
  <si>
    <t>Customer_80</t>
  </si>
  <si>
    <t>T000669</t>
  </si>
  <si>
    <t>T000670</t>
  </si>
  <si>
    <t>T000671</t>
  </si>
  <si>
    <t>T000672</t>
  </si>
  <si>
    <t>T000673</t>
  </si>
  <si>
    <t>T000674</t>
  </si>
  <si>
    <t>T000675</t>
  </si>
  <si>
    <t>T000676</t>
  </si>
  <si>
    <t>C0081</t>
  </si>
  <si>
    <t>Customer_81</t>
  </si>
  <si>
    <t>T000677</t>
  </si>
  <si>
    <t>T000678</t>
  </si>
  <si>
    <t>T000679</t>
  </si>
  <si>
    <t>T000680</t>
  </si>
  <si>
    <t>T000681</t>
  </si>
  <si>
    <t>T000682</t>
  </si>
  <si>
    <t>T000683</t>
  </si>
  <si>
    <t>T000684</t>
  </si>
  <si>
    <t>C0082</t>
  </si>
  <si>
    <t>Customer_82</t>
  </si>
  <si>
    <t>T000685</t>
  </si>
  <si>
    <t>T000686</t>
  </si>
  <si>
    <t>T000687</t>
  </si>
  <si>
    <t>T000688</t>
  </si>
  <si>
    <t>T000689</t>
  </si>
  <si>
    <t>T000690</t>
  </si>
  <si>
    <t>T000691</t>
  </si>
  <si>
    <t>T000692</t>
  </si>
  <si>
    <t>T000693</t>
  </si>
  <si>
    <t>T000694</t>
  </si>
  <si>
    <t>C0083</t>
  </si>
  <si>
    <t>Customer_83</t>
  </si>
  <si>
    <t>T000695</t>
  </si>
  <si>
    <t>T000696</t>
  </si>
  <si>
    <t>T000697</t>
  </si>
  <si>
    <t>T000698</t>
  </si>
  <si>
    <t>T000699</t>
  </si>
  <si>
    <t>C0084</t>
  </si>
  <si>
    <t>Customer_84</t>
  </si>
  <si>
    <t>T000700</t>
  </si>
  <si>
    <t>T000701</t>
  </si>
  <si>
    <t>T000702</t>
  </si>
  <si>
    <t>T000703</t>
  </si>
  <si>
    <t>T000704</t>
  </si>
  <si>
    <t>T000705</t>
  </si>
  <si>
    <t>T000706</t>
  </si>
  <si>
    <t>T000707</t>
  </si>
  <si>
    <t>C0085</t>
  </si>
  <si>
    <t>Customer_85</t>
  </si>
  <si>
    <t>T000708</t>
  </si>
  <si>
    <t>T000709</t>
  </si>
  <si>
    <t>T000710</t>
  </si>
  <si>
    <t>T000711</t>
  </si>
  <si>
    <t>T000712</t>
  </si>
  <si>
    <t>T000713</t>
  </si>
  <si>
    <t>T000714</t>
  </si>
  <si>
    <t>T000715</t>
  </si>
  <si>
    <t>T000716</t>
  </si>
  <si>
    <t>T000717</t>
  </si>
  <si>
    <t>T000718</t>
  </si>
  <si>
    <t>T000719</t>
  </si>
  <si>
    <t>C0086</t>
  </si>
  <si>
    <t>Customer_86</t>
  </si>
  <si>
    <t>T000720</t>
  </si>
  <si>
    <t>T000721</t>
  </si>
  <si>
    <t>T000722</t>
  </si>
  <si>
    <t>T000723</t>
  </si>
  <si>
    <t>T000724</t>
  </si>
  <si>
    <t>T000725</t>
  </si>
  <si>
    <t>T000726</t>
  </si>
  <si>
    <t>T000727</t>
  </si>
  <si>
    <t>C0087</t>
  </si>
  <si>
    <t>Customer_87</t>
  </si>
  <si>
    <t>T000728</t>
  </si>
  <si>
    <t>T000729</t>
  </si>
  <si>
    <t>T000730</t>
  </si>
  <si>
    <t>T000731</t>
  </si>
  <si>
    <t>T000732</t>
  </si>
  <si>
    <t>T000733</t>
  </si>
  <si>
    <t>T000734</t>
  </si>
  <si>
    <t>T000735</t>
  </si>
  <si>
    <t>T000736</t>
  </si>
  <si>
    <t>T000737</t>
  </si>
  <si>
    <t>T000738</t>
  </si>
  <si>
    <t>T000739</t>
  </si>
  <si>
    <t>T000740</t>
  </si>
  <si>
    <t>T000741</t>
  </si>
  <si>
    <t>C0088</t>
  </si>
  <si>
    <t>Customer_88</t>
  </si>
  <si>
    <t>T000742</t>
  </si>
  <si>
    <t>T000743</t>
  </si>
  <si>
    <t>T000744</t>
  </si>
  <si>
    <t>T000745</t>
  </si>
  <si>
    <t>T000746</t>
  </si>
  <si>
    <t>T000747</t>
  </si>
  <si>
    <t>T000748</t>
  </si>
  <si>
    <t>T000749</t>
  </si>
  <si>
    <t>T000750</t>
  </si>
  <si>
    <t>T000751</t>
  </si>
  <si>
    <t>T000752</t>
  </si>
  <si>
    <t>T000753</t>
  </si>
  <si>
    <t>T000754</t>
  </si>
  <si>
    <t>T000755</t>
  </si>
  <si>
    <t>C0089</t>
  </si>
  <si>
    <t>Customer_89</t>
  </si>
  <si>
    <t>T000756</t>
  </si>
  <si>
    <t>T000757</t>
  </si>
  <si>
    <t>T000758</t>
  </si>
  <si>
    <t>T000759</t>
  </si>
  <si>
    <t>T000760</t>
  </si>
  <si>
    <t>T000761</t>
  </si>
  <si>
    <t>T000762</t>
  </si>
  <si>
    <t>T000763</t>
  </si>
  <si>
    <t>T000764</t>
  </si>
  <si>
    <t>T000765</t>
  </si>
  <si>
    <t>C0090</t>
  </si>
  <si>
    <t>Customer_90</t>
  </si>
  <si>
    <t>T000766</t>
  </si>
  <si>
    <t>T000767</t>
  </si>
  <si>
    <t>T000768</t>
  </si>
  <si>
    <t>T000769</t>
  </si>
  <si>
    <t>T000770</t>
  </si>
  <si>
    <t>T000771</t>
  </si>
  <si>
    <t>T000772</t>
  </si>
  <si>
    <t>T000773</t>
  </si>
  <si>
    <t>T000774</t>
  </si>
  <si>
    <t>T000775</t>
  </si>
  <si>
    <t>T000776</t>
  </si>
  <si>
    <t>T000777</t>
  </si>
  <si>
    <t>T000778</t>
  </si>
  <si>
    <t>C0091</t>
  </si>
  <si>
    <t>Customer_91</t>
  </si>
  <si>
    <t>T000779</t>
  </si>
  <si>
    <t>T000780</t>
  </si>
  <si>
    <t>T000781</t>
  </si>
  <si>
    <t>T000782</t>
  </si>
  <si>
    <t>T000783</t>
  </si>
  <si>
    <t>T000784</t>
  </si>
  <si>
    <t>T000785</t>
  </si>
  <si>
    <t>T000786</t>
  </si>
  <si>
    <t>T000787</t>
  </si>
  <si>
    <t>C0092</t>
  </si>
  <si>
    <t>Customer_92</t>
  </si>
  <si>
    <t>T000788</t>
  </si>
  <si>
    <t>T000789</t>
  </si>
  <si>
    <t>T000790</t>
  </si>
  <si>
    <t>T000791</t>
  </si>
  <si>
    <t>T000792</t>
  </si>
  <si>
    <t>T000793</t>
  </si>
  <si>
    <t>T000794</t>
  </si>
  <si>
    <t>T000795</t>
  </si>
  <si>
    <t>T000796</t>
  </si>
  <si>
    <t>T000797</t>
  </si>
  <si>
    <t>T000798</t>
  </si>
  <si>
    <t>T000799</t>
  </si>
  <si>
    <t>C0093</t>
  </si>
  <si>
    <t>Customer_93</t>
  </si>
  <si>
    <t>T000800</t>
  </si>
  <si>
    <t>T000801</t>
  </si>
  <si>
    <t>T000802</t>
  </si>
  <si>
    <t>T000803</t>
  </si>
  <si>
    <t>T000804</t>
  </si>
  <si>
    <t>T000805</t>
  </si>
  <si>
    <t>T000806</t>
  </si>
  <si>
    <t>T000807</t>
  </si>
  <si>
    <t>T000808</t>
  </si>
  <si>
    <t>T000809</t>
  </si>
  <si>
    <t>T000810</t>
  </si>
  <si>
    <t>C0094</t>
  </si>
  <si>
    <t>Customer_94</t>
  </si>
  <si>
    <t>T000811</t>
  </si>
  <si>
    <t>C0095</t>
  </si>
  <si>
    <t>Customer_95</t>
  </si>
  <si>
    <t>T000812</t>
  </si>
  <si>
    <t>C0096</t>
  </si>
  <si>
    <t>Customer_96</t>
  </si>
  <si>
    <t>T000813</t>
  </si>
  <si>
    <t>T000814</t>
  </si>
  <si>
    <t>C0097</t>
  </si>
  <si>
    <t>Customer_97</t>
  </si>
  <si>
    <t>T000815</t>
  </si>
  <si>
    <t>T000816</t>
  </si>
  <si>
    <t>T000817</t>
  </si>
  <si>
    <t>T000818</t>
  </si>
  <si>
    <t>T000819</t>
  </si>
  <si>
    <t>C0098</t>
  </si>
  <si>
    <t>Customer_98</t>
  </si>
  <si>
    <t>T000820</t>
  </si>
  <si>
    <t>T000821</t>
  </si>
  <si>
    <t>T000822</t>
  </si>
  <si>
    <t>T000823</t>
  </si>
  <si>
    <t>T000824</t>
  </si>
  <si>
    <t>T000825</t>
  </si>
  <si>
    <t>C0099</t>
  </si>
  <si>
    <t>Customer_99</t>
  </si>
  <si>
    <t>T000826</t>
  </si>
  <si>
    <t>T000827</t>
  </si>
  <si>
    <t>T000828</t>
  </si>
  <si>
    <t>T000829</t>
  </si>
  <si>
    <t>C0100</t>
  </si>
  <si>
    <t>Customer_100</t>
  </si>
  <si>
    <t>T000830</t>
  </si>
  <si>
    <t>T000831</t>
  </si>
  <si>
    <t>T000832</t>
  </si>
  <si>
    <t>T000833</t>
  </si>
  <si>
    <t>T000834</t>
  </si>
  <si>
    <t>T000835</t>
  </si>
  <si>
    <t>C0101</t>
  </si>
  <si>
    <t>Customer_101</t>
  </si>
  <si>
    <t>T000836</t>
  </si>
  <si>
    <t>T000837</t>
  </si>
  <si>
    <t>T000838</t>
  </si>
  <si>
    <t>T000839</t>
  </si>
  <si>
    <t>T000840</t>
  </si>
  <si>
    <t>T000841</t>
  </si>
  <si>
    <t>T000842</t>
  </si>
  <si>
    <t>T000843</t>
  </si>
  <si>
    <t>C0102</t>
  </si>
  <si>
    <t>Customer_102</t>
  </si>
  <si>
    <t>T000844</t>
  </si>
  <si>
    <t>T000845</t>
  </si>
  <si>
    <t>C0103</t>
  </si>
  <si>
    <t>Customer_103</t>
  </si>
  <si>
    <t>T000846</t>
  </si>
  <si>
    <t>T000847</t>
  </si>
  <si>
    <t>T000848</t>
  </si>
  <si>
    <t>T000849</t>
  </si>
  <si>
    <t>T000850</t>
  </si>
  <si>
    <t>T000851</t>
  </si>
  <si>
    <t>T000852</t>
  </si>
  <si>
    <t>T000853</t>
  </si>
  <si>
    <t>T000854</t>
  </si>
  <si>
    <t>T000855</t>
  </si>
  <si>
    <t>T000856</t>
  </si>
  <si>
    <t>T000857</t>
  </si>
  <si>
    <t>T000858</t>
  </si>
  <si>
    <t>T000859</t>
  </si>
  <si>
    <t>C0104</t>
  </si>
  <si>
    <t>Customer_104</t>
  </si>
  <si>
    <t>T000860</t>
  </si>
  <si>
    <t>T000861</t>
  </si>
  <si>
    <t>T000862</t>
  </si>
  <si>
    <t>T000863</t>
  </si>
  <si>
    <t>T000864</t>
  </si>
  <si>
    <t>T000865</t>
  </si>
  <si>
    <t>T000866</t>
  </si>
  <si>
    <t>T000867</t>
  </si>
  <si>
    <t>T000868</t>
  </si>
  <si>
    <t>C0105</t>
  </si>
  <si>
    <t>Customer_105</t>
  </si>
  <si>
    <t>T000869</t>
  </si>
  <si>
    <t>T000870</t>
  </si>
  <si>
    <t>T000871</t>
  </si>
  <si>
    <t>T000872</t>
  </si>
  <si>
    <t>T000873</t>
  </si>
  <si>
    <t>T000874</t>
  </si>
  <si>
    <t>T000875</t>
  </si>
  <si>
    <t>T000876</t>
  </si>
  <si>
    <t>T000877</t>
  </si>
  <si>
    <t>T000878</t>
  </si>
  <si>
    <t>T000879</t>
  </si>
  <si>
    <t>T000880</t>
  </si>
  <si>
    <t>C0106</t>
  </si>
  <si>
    <t>Customer_106</t>
  </si>
  <si>
    <t>T000881</t>
  </si>
  <si>
    <t>C0107</t>
  </si>
  <si>
    <t>Customer_107</t>
  </si>
  <si>
    <t>T000882</t>
  </si>
  <si>
    <t>T000883</t>
  </si>
  <si>
    <t>T000884</t>
  </si>
  <si>
    <t>T000885</t>
  </si>
  <si>
    <t>T000886</t>
  </si>
  <si>
    <t>T000887</t>
  </si>
  <si>
    <t>T000888</t>
  </si>
  <si>
    <t>T000889</t>
  </si>
  <si>
    <t>T000890</t>
  </si>
  <si>
    <t>C0108</t>
  </si>
  <si>
    <t>Customer_108</t>
  </si>
  <si>
    <t>T000891</t>
  </si>
  <si>
    <t>T000892</t>
  </si>
  <si>
    <t>T000893</t>
  </si>
  <si>
    <t>T000894</t>
  </si>
  <si>
    <t>T000895</t>
  </si>
  <si>
    <t>T000896</t>
  </si>
  <si>
    <t>T000897</t>
  </si>
  <si>
    <t>T000898</t>
  </si>
  <si>
    <t>T000899</t>
  </si>
  <si>
    <t>T000900</t>
  </si>
  <si>
    <t>C0109</t>
  </si>
  <si>
    <t>Customer_109</t>
  </si>
  <si>
    <t>T000901</t>
  </si>
  <si>
    <t>T000902</t>
  </si>
  <si>
    <t>T000903</t>
  </si>
  <si>
    <t>T000904</t>
  </si>
  <si>
    <t>C0110</t>
  </si>
  <si>
    <t>Customer_110</t>
  </si>
  <si>
    <t>T000905</t>
  </si>
  <si>
    <t>T000906</t>
  </si>
  <si>
    <t>T000907</t>
  </si>
  <si>
    <t>T000908</t>
  </si>
  <si>
    <t>T000909</t>
  </si>
  <si>
    <t>T000910</t>
  </si>
  <si>
    <t>T000911</t>
  </si>
  <si>
    <t>T000912</t>
  </si>
  <si>
    <t>T000913</t>
  </si>
  <si>
    <t>T000914</t>
  </si>
  <si>
    <t>C0111</t>
  </si>
  <si>
    <t>Customer_111</t>
  </si>
  <si>
    <t>T000915</t>
  </si>
  <si>
    <t>T000916</t>
  </si>
  <si>
    <t>T000917</t>
  </si>
  <si>
    <t>T000918</t>
  </si>
  <si>
    <t>T000919</t>
  </si>
  <si>
    <t>T000920</t>
  </si>
  <si>
    <t>T000921</t>
  </si>
  <si>
    <t>T000922</t>
  </si>
  <si>
    <t>T000923</t>
  </si>
  <si>
    <t>T000924</t>
  </si>
  <si>
    <t>T000925</t>
  </si>
  <si>
    <t>T000926</t>
  </si>
  <si>
    <t>T000927</t>
  </si>
  <si>
    <t>T000928</t>
  </si>
  <si>
    <t>C0112</t>
  </si>
  <si>
    <t>Customer_112</t>
  </si>
  <si>
    <t>T000929</t>
  </si>
  <si>
    <t>C0113</t>
  </si>
  <si>
    <t>Customer_113</t>
  </si>
  <si>
    <t>T000930</t>
  </si>
  <si>
    <t>T000931</t>
  </si>
  <si>
    <t>T000932</t>
  </si>
  <si>
    <t>T000933</t>
  </si>
  <si>
    <t>T000934</t>
  </si>
  <si>
    <t>T000935</t>
  </si>
  <si>
    <t>C0114</t>
  </si>
  <si>
    <t>Customer_114</t>
  </si>
  <si>
    <t>T000936</t>
  </si>
  <si>
    <t>T000937</t>
  </si>
  <si>
    <t>T000938</t>
  </si>
  <si>
    <t>T000939</t>
  </si>
  <si>
    <t>T000940</t>
  </si>
  <si>
    <t>T000941</t>
  </si>
  <si>
    <t>C0115</t>
  </si>
  <si>
    <t>Customer_115</t>
  </si>
  <si>
    <t>T000942</t>
  </si>
  <si>
    <t>C0116</t>
  </si>
  <si>
    <t>Customer_116</t>
  </si>
  <si>
    <t>T000943</t>
  </si>
  <si>
    <t>T000944</t>
  </si>
  <si>
    <t>T000945</t>
  </si>
  <si>
    <t>T000946</t>
  </si>
  <si>
    <t>T000947</t>
  </si>
  <si>
    <t>T000948</t>
  </si>
  <si>
    <t>T000949</t>
  </si>
  <si>
    <t>T000950</t>
  </si>
  <si>
    <t>T000951</t>
  </si>
  <si>
    <t>T000952</t>
  </si>
  <si>
    <t>C0117</t>
  </si>
  <si>
    <t>Customer_117</t>
  </si>
  <si>
    <t>T000953</t>
  </si>
  <si>
    <t>T000954</t>
  </si>
  <si>
    <t>T000955</t>
  </si>
  <si>
    <t>T000956</t>
  </si>
  <si>
    <t>T000957</t>
  </si>
  <si>
    <t>T000958</t>
  </si>
  <si>
    <t>T000959</t>
  </si>
  <si>
    <t>T000960</t>
  </si>
  <si>
    <t>T000961</t>
  </si>
  <si>
    <t>T000962</t>
  </si>
  <si>
    <t>T000963</t>
  </si>
  <si>
    <t>C0118</t>
  </si>
  <si>
    <t>Customer_118</t>
  </si>
  <si>
    <t>T000964</t>
  </si>
  <si>
    <t>T000965</t>
  </si>
  <si>
    <t>T000966</t>
  </si>
  <si>
    <t>T000967</t>
  </si>
  <si>
    <t>T000968</t>
  </si>
  <si>
    <t>T000969</t>
  </si>
  <si>
    <t>T000970</t>
  </si>
  <si>
    <t>T000971</t>
  </si>
  <si>
    <t>T000972</t>
  </si>
  <si>
    <t>T000973</t>
  </si>
  <si>
    <t>T000974</t>
  </si>
  <si>
    <t>C0119</t>
  </si>
  <si>
    <t>Customer_119</t>
  </si>
  <si>
    <t>T000975</t>
  </si>
  <si>
    <t>C0120</t>
  </si>
  <si>
    <t>Customer_120</t>
  </si>
  <si>
    <t>T000976</t>
  </si>
  <si>
    <t>C0121</t>
  </si>
  <si>
    <t>Customer_121</t>
  </si>
  <si>
    <t>T000977</t>
  </si>
  <si>
    <t>T000978</t>
  </si>
  <si>
    <t>T000979</t>
  </si>
  <si>
    <t>T000980</t>
  </si>
  <si>
    <t>T000981</t>
  </si>
  <si>
    <t>T000982</t>
  </si>
  <si>
    <t>C0122</t>
  </si>
  <si>
    <t>Customer_122</t>
  </si>
  <si>
    <t>T000983</t>
  </si>
  <si>
    <t>T000984</t>
  </si>
  <si>
    <t>T000985</t>
  </si>
  <si>
    <t>T000986</t>
  </si>
  <si>
    <t>T000987</t>
  </si>
  <si>
    <t>T000988</t>
  </si>
  <si>
    <t>T000989</t>
  </si>
  <si>
    <t>T000990</t>
  </si>
  <si>
    <t>T000991</t>
  </si>
  <si>
    <t>C0123</t>
  </si>
  <si>
    <t>Customer_123</t>
  </si>
  <si>
    <t>T000992</t>
  </si>
  <si>
    <t>T000993</t>
  </si>
  <si>
    <t>T000994</t>
  </si>
  <si>
    <t>T000995</t>
  </si>
  <si>
    <t>T000996</t>
  </si>
  <si>
    <t>T000997</t>
  </si>
  <si>
    <t>T000998</t>
  </si>
  <si>
    <t>T000999</t>
  </si>
  <si>
    <t>T001000</t>
  </si>
  <si>
    <t>T001001</t>
  </si>
  <si>
    <t>T001002</t>
  </si>
  <si>
    <t>T001003</t>
  </si>
  <si>
    <t>T001004</t>
  </si>
  <si>
    <t>T001005</t>
  </si>
  <si>
    <t>C0124</t>
  </si>
  <si>
    <t>Customer_124</t>
  </si>
  <si>
    <t>T001006</t>
  </si>
  <si>
    <t>T001007</t>
  </si>
  <si>
    <t>C0125</t>
  </si>
  <si>
    <t>Customer_125</t>
  </si>
  <si>
    <t>T001008</t>
  </si>
  <si>
    <t>T001009</t>
  </si>
  <si>
    <t>T001010</t>
  </si>
  <si>
    <t>T001011</t>
  </si>
  <si>
    <t>T001012</t>
  </si>
  <si>
    <t>T001013</t>
  </si>
  <si>
    <t>T001014</t>
  </si>
  <si>
    <t>C0126</t>
  </si>
  <si>
    <t>Customer_126</t>
  </si>
  <si>
    <t>T001015</t>
  </si>
  <si>
    <t>C0127</t>
  </si>
  <si>
    <t>Customer_127</t>
  </si>
  <si>
    <t>T001016</t>
  </si>
  <si>
    <t>T001017</t>
  </si>
  <si>
    <t>T001018</t>
  </si>
  <si>
    <t>T001019</t>
  </si>
  <si>
    <t>T001020</t>
  </si>
  <si>
    <t>T001021</t>
  </si>
  <si>
    <t>T001022</t>
  </si>
  <si>
    <t>T001023</t>
  </si>
  <si>
    <t>T001024</t>
  </si>
  <si>
    <t>T001025</t>
  </si>
  <si>
    <t>T001026</t>
  </si>
  <si>
    <t>C0128</t>
  </si>
  <si>
    <t>Customer_128</t>
  </si>
  <si>
    <t>T001027</t>
  </si>
  <si>
    <t>T001028</t>
  </si>
  <si>
    <t>T001029</t>
  </si>
  <si>
    <t>T001030</t>
  </si>
  <si>
    <t>C0129</t>
  </si>
  <si>
    <t>Customer_129</t>
  </si>
  <si>
    <t>T001031</t>
  </si>
  <si>
    <t>T001032</t>
  </si>
  <si>
    <t>T001033</t>
  </si>
  <si>
    <t>T001034</t>
  </si>
  <si>
    <t>T001035</t>
  </si>
  <si>
    <t>T001036</t>
  </si>
  <si>
    <t>T001037</t>
  </si>
  <si>
    <t>C0130</t>
  </si>
  <si>
    <t>Customer_130</t>
  </si>
  <si>
    <t>T001038</t>
  </si>
  <si>
    <t>T001039</t>
  </si>
  <si>
    <t>T001040</t>
  </si>
  <si>
    <t>T001041</t>
  </si>
  <si>
    <t>T001042</t>
  </si>
  <si>
    <t>T001043</t>
  </si>
  <si>
    <t>C0131</t>
  </si>
  <si>
    <t>Customer_131</t>
  </si>
  <si>
    <t>T001044</t>
  </si>
  <si>
    <t>C0132</t>
  </si>
  <si>
    <t>Customer_132</t>
  </si>
  <si>
    <t>T001045</t>
  </si>
  <si>
    <t>C0133</t>
  </si>
  <si>
    <t>Customer_133</t>
  </si>
  <si>
    <t>T001046</t>
  </si>
  <si>
    <t>T001047</t>
  </si>
  <si>
    <t>T001048</t>
  </si>
  <si>
    <t>T001049</t>
  </si>
  <si>
    <t>C0134</t>
  </si>
  <si>
    <t>Customer_134</t>
  </si>
  <si>
    <t>T001050</t>
  </si>
  <si>
    <t>T001051</t>
  </si>
  <si>
    <t>T001052</t>
  </si>
  <si>
    <t>T001053</t>
  </si>
  <si>
    <t>T001054</t>
  </si>
  <si>
    <t>T001055</t>
  </si>
  <si>
    <t>T001056</t>
  </si>
  <si>
    <t>C0135</t>
  </si>
  <si>
    <t>Customer_135</t>
  </si>
  <si>
    <t>T001057</t>
  </si>
  <si>
    <t>T001058</t>
  </si>
  <si>
    <t>T001059</t>
  </si>
  <si>
    <t>T001060</t>
  </si>
  <si>
    <t>T001061</t>
  </si>
  <si>
    <t>T001062</t>
  </si>
  <si>
    <t>T001063</t>
  </si>
  <si>
    <t>T001064</t>
  </si>
  <si>
    <t>T001065</t>
  </si>
  <si>
    <t>T001066</t>
  </si>
  <si>
    <t>T001067</t>
  </si>
  <si>
    <t>T001068</t>
  </si>
  <si>
    <t>T001069</t>
  </si>
  <si>
    <t>T001070</t>
  </si>
  <si>
    <t>C0136</t>
  </si>
  <si>
    <t>Customer_136</t>
  </si>
  <si>
    <t>T001071</t>
  </si>
  <si>
    <t>T001072</t>
  </si>
  <si>
    <t>T001073</t>
  </si>
  <si>
    <t>T001074</t>
  </si>
  <si>
    <t>T001075</t>
  </si>
  <si>
    <t>T001076</t>
  </si>
  <si>
    <t>T001077</t>
  </si>
  <si>
    <t>T001078</t>
  </si>
  <si>
    <t>C0137</t>
  </si>
  <si>
    <t>Customer_137</t>
  </si>
  <si>
    <t>T001079</t>
  </si>
  <si>
    <t>T001080</t>
  </si>
  <si>
    <t>T001081</t>
  </si>
  <si>
    <t>C0138</t>
  </si>
  <si>
    <t>Customer_138</t>
  </si>
  <si>
    <t>T001082</t>
  </si>
  <si>
    <t>T001083</t>
  </si>
  <si>
    <t>C0139</t>
  </si>
  <si>
    <t>Customer_139</t>
  </si>
  <si>
    <t>T001084</t>
  </si>
  <si>
    <t>C0140</t>
  </si>
  <si>
    <t>Customer_140</t>
  </si>
  <si>
    <t>T001085</t>
  </si>
  <si>
    <t>T001086</t>
  </si>
  <si>
    <t>T001087</t>
  </si>
  <si>
    <t>T001088</t>
  </si>
  <si>
    <t>T001089</t>
  </si>
  <si>
    <t>T001090</t>
  </si>
  <si>
    <t>T001091</t>
  </si>
  <si>
    <t>T001092</t>
  </si>
  <si>
    <t>T001093</t>
  </si>
  <si>
    <t>T001094</t>
  </si>
  <si>
    <t>T001095</t>
  </si>
  <si>
    <t>T001096</t>
  </si>
  <si>
    <t>T001097</t>
  </si>
  <si>
    <t>T001098</t>
  </si>
  <si>
    <t>T001099</t>
  </si>
  <si>
    <t>C0141</t>
  </si>
  <si>
    <t>Customer_141</t>
  </si>
  <si>
    <t>T001100</t>
  </si>
  <si>
    <t>T001101</t>
  </si>
  <si>
    <t>T001102</t>
  </si>
  <si>
    <t>T001103</t>
  </si>
  <si>
    <t>T001104</t>
  </si>
  <si>
    <t>T001105</t>
  </si>
  <si>
    <t>T001106</t>
  </si>
  <si>
    <t>T001107</t>
  </si>
  <si>
    <t>T001108</t>
  </si>
  <si>
    <t>T001109</t>
  </si>
  <si>
    <t>T001110</t>
  </si>
  <si>
    <t>T001111</t>
  </si>
  <si>
    <t>T001112</t>
  </si>
  <si>
    <t>C0142</t>
  </si>
  <si>
    <t>Customer_142</t>
  </si>
  <si>
    <t>T001113</t>
  </si>
  <si>
    <t>T001114</t>
  </si>
  <si>
    <t>T001115</t>
  </si>
  <si>
    <t>T001116</t>
  </si>
  <si>
    <t>T001117</t>
  </si>
  <si>
    <t>T001118</t>
  </si>
  <si>
    <t>T001119</t>
  </si>
  <si>
    <t>T001120</t>
  </si>
  <si>
    <t>C0143</t>
  </si>
  <si>
    <t>Customer_143</t>
  </si>
  <si>
    <t>T001121</t>
  </si>
  <si>
    <t>C0144</t>
  </si>
  <si>
    <t>Customer_144</t>
  </si>
  <si>
    <t>T001122</t>
  </si>
  <si>
    <t>T001123</t>
  </si>
  <si>
    <t>T001124</t>
  </si>
  <si>
    <t>T001125</t>
  </si>
  <si>
    <t>T001126</t>
  </si>
  <si>
    <t>T001127</t>
  </si>
  <si>
    <t>T001128</t>
  </si>
  <si>
    <t>T001129</t>
  </si>
  <si>
    <t>T001130</t>
  </si>
  <si>
    <t>T001131</t>
  </si>
  <si>
    <t>T001132</t>
  </si>
  <si>
    <t>T001133</t>
  </si>
  <si>
    <t>T001134</t>
  </si>
  <si>
    <t>T001135</t>
  </si>
  <si>
    <t>C0145</t>
  </si>
  <si>
    <t>Customer_145</t>
  </si>
  <si>
    <t>T001136</t>
  </si>
  <si>
    <t>T001137</t>
  </si>
  <si>
    <t>T001138</t>
  </si>
  <si>
    <t>T001139</t>
  </si>
  <si>
    <t>T001140</t>
  </si>
  <si>
    <t>T001141</t>
  </si>
  <si>
    <t>T001142</t>
  </si>
  <si>
    <t>C0146</t>
  </si>
  <si>
    <t>Customer_146</t>
  </si>
  <si>
    <t>T001143</t>
  </si>
  <si>
    <t>T001144</t>
  </si>
  <si>
    <t>T001145</t>
  </si>
  <si>
    <t>T001146</t>
  </si>
  <si>
    <t>T001147</t>
  </si>
  <si>
    <t>T001148</t>
  </si>
  <si>
    <t>T001149</t>
  </si>
  <si>
    <t>T001150</t>
  </si>
  <si>
    <t>T001151</t>
  </si>
  <si>
    <t>T001152</t>
  </si>
  <si>
    <t>T001153</t>
  </si>
  <si>
    <t>C0147</t>
  </si>
  <si>
    <t>Customer_147</t>
  </si>
  <si>
    <t>T001154</t>
  </si>
  <si>
    <t>T001155</t>
  </si>
  <si>
    <t>T001156</t>
  </si>
  <si>
    <t>T001157</t>
  </si>
  <si>
    <t>C0148</t>
  </si>
  <si>
    <t>Customer_148</t>
  </si>
  <si>
    <t>T001158</t>
  </si>
  <si>
    <t>T001159</t>
  </si>
  <si>
    <t>T001160</t>
  </si>
  <si>
    <t>T001161</t>
  </si>
  <si>
    <t>C0149</t>
  </si>
  <si>
    <t>Customer_149</t>
  </si>
  <si>
    <t>T001162</t>
  </si>
  <si>
    <t>T001163</t>
  </si>
  <si>
    <t>T001164</t>
  </si>
  <si>
    <t>T001165</t>
  </si>
  <si>
    <t>T001166</t>
  </si>
  <si>
    <t>T001167</t>
  </si>
  <si>
    <t>T001168</t>
  </si>
  <si>
    <t>T001169</t>
  </si>
  <si>
    <t>T001170</t>
  </si>
  <si>
    <t>T001171</t>
  </si>
  <si>
    <t>T001172</t>
  </si>
  <si>
    <t>T001173</t>
  </si>
  <si>
    <t>T001174</t>
  </si>
  <si>
    <t>T001175</t>
  </si>
  <si>
    <t>C0150</t>
  </si>
  <si>
    <t>Customer_150</t>
  </si>
  <si>
    <t>T001176</t>
  </si>
  <si>
    <t>T001177</t>
  </si>
  <si>
    <t>T001178</t>
  </si>
  <si>
    <t>T001179</t>
  </si>
  <si>
    <t>T001180</t>
  </si>
  <si>
    <t>T001181</t>
  </si>
  <si>
    <t>T001182</t>
  </si>
  <si>
    <t>T001183</t>
  </si>
  <si>
    <t>T001184</t>
  </si>
  <si>
    <t>T001185</t>
  </si>
  <si>
    <t>T001186</t>
  </si>
  <si>
    <t>T001187</t>
  </si>
  <si>
    <t>T001188</t>
  </si>
  <si>
    <t>C0151</t>
  </si>
  <si>
    <t>Customer_151</t>
  </si>
  <si>
    <t>T001189</t>
  </si>
  <si>
    <t>T001190</t>
  </si>
  <si>
    <t>T001191</t>
  </si>
  <si>
    <t>T001192</t>
  </si>
  <si>
    <t>T001193</t>
  </si>
  <si>
    <t>T001194</t>
  </si>
  <si>
    <t>C0152</t>
  </si>
  <si>
    <t>Customer_152</t>
  </si>
  <si>
    <t>T001195</t>
  </si>
  <si>
    <t>T001196</t>
  </si>
  <si>
    <t>T001197</t>
  </si>
  <si>
    <t>T001198</t>
  </si>
  <si>
    <t>T001199</t>
  </si>
  <si>
    <t>T001200</t>
  </si>
  <si>
    <t>T001201</t>
  </si>
  <si>
    <t>T001202</t>
  </si>
  <si>
    <t>T001203</t>
  </si>
  <si>
    <t>T001204</t>
  </si>
  <si>
    <t>T001205</t>
  </si>
  <si>
    <t>T001206</t>
  </si>
  <si>
    <t>T001207</t>
  </si>
  <si>
    <t>C0153</t>
  </si>
  <si>
    <t>Customer_153</t>
  </si>
  <si>
    <t>T001208</t>
  </si>
  <si>
    <t>T001209</t>
  </si>
  <si>
    <t>T001210</t>
  </si>
  <si>
    <t>T001211</t>
  </si>
  <si>
    <t>T001212</t>
  </si>
  <si>
    <t>T001213</t>
  </si>
  <si>
    <t>T001214</t>
  </si>
  <si>
    <t>T001215</t>
  </si>
  <si>
    <t>C0154</t>
  </si>
  <si>
    <t>Customer_154</t>
  </si>
  <si>
    <t>T001216</t>
  </si>
  <si>
    <t>T001217</t>
  </si>
  <si>
    <t>T001218</t>
  </si>
  <si>
    <t>T001219</t>
  </si>
  <si>
    <t>C0155</t>
  </si>
  <si>
    <t>Customer_155</t>
  </si>
  <si>
    <t>T001220</t>
  </si>
  <si>
    <t>T001221</t>
  </si>
  <si>
    <t>T001222</t>
  </si>
  <si>
    <t>T001223</t>
  </si>
  <si>
    <t>T001224</t>
  </si>
  <si>
    <t>T001225</t>
  </si>
  <si>
    <t>T001226</t>
  </si>
  <si>
    <t>T001227</t>
  </si>
  <si>
    <t>T001228</t>
  </si>
  <si>
    <t>T001229</t>
  </si>
  <si>
    <t>T001230</t>
  </si>
  <si>
    <t>T001231</t>
  </si>
  <si>
    <t>C0156</t>
  </si>
  <si>
    <t>Customer_156</t>
  </si>
  <si>
    <t>T001232</t>
  </si>
  <si>
    <t>T001233</t>
  </si>
  <si>
    <t>T001234</t>
  </si>
  <si>
    <t>T001235</t>
  </si>
  <si>
    <t>T001236</t>
  </si>
  <si>
    <t>C0157</t>
  </si>
  <si>
    <t>Customer_157</t>
  </si>
  <si>
    <t>T001237</t>
  </si>
  <si>
    <t>T001238</t>
  </si>
  <si>
    <t>T001239</t>
  </si>
  <si>
    <t>T001240</t>
  </si>
  <si>
    <t>T001241</t>
  </si>
  <si>
    <t>T001242</t>
  </si>
  <si>
    <t>T001243</t>
  </si>
  <si>
    <t>C0158</t>
  </si>
  <si>
    <t>Customer_158</t>
  </si>
  <si>
    <t>T001244</t>
  </si>
  <si>
    <t>T001245</t>
  </si>
  <si>
    <t>C0159</t>
  </si>
  <si>
    <t>Customer_159</t>
  </si>
  <si>
    <t>T001246</t>
  </si>
  <si>
    <t>T001247</t>
  </si>
  <si>
    <t>T001248</t>
  </si>
  <si>
    <t>T001249</t>
  </si>
  <si>
    <t>T001250</t>
  </si>
  <si>
    <t>T001251</t>
  </si>
  <si>
    <t>T001252</t>
  </si>
  <si>
    <t>T001253</t>
  </si>
  <si>
    <t>T001254</t>
  </si>
  <si>
    <t>T001255</t>
  </si>
  <si>
    <t>T001256</t>
  </si>
  <si>
    <t>C0160</t>
  </si>
  <si>
    <t>Customer_160</t>
  </si>
  <si>
    <t>T001257</t>
  </si>
  <si>
    <t>T001258</t>
  </si>
  <si>
    <t>T001259</t>
  </si>
  <si>
    <t>T001260</t>
  </si>
  <si>
    <t>T001261</t>
  </si>
  <si>
    <t>T001262</t>
  </si>
  <si>
    <t>C0161</t>
  </si>
  <si>
    <t>Customer_161</t>
  </si>
  <si>
    <t>T001263</t>
  </si>
  <si>
    <t>T001264</t>
  </si>
  <si>
    <t>T001265</t>
  </si>
  <si>
    <t>T001266</t>
  </si>
  <si>
    <t>T001267</t>
  </si>
  <si>
    <t>T001268</t>
  </si>
  <si>
    <t>T001269</t>
  </si>
  <si>
    <t>T001270</t>
  </si>
  <si>
    <t>T001271</t>
  </si>
  <si>
    <t>T001272</t>
  </si>
  <si>
    <t>T001273</t>
  </si>
  <si>
    <t>T001274</t>
  </si>
  <si>
    <t>C0162</t>
  </si>
  <si>
    <t>Customer_162</t>
  </si>
  <si>
    <t>T001275</t>
  </si>
  <si>
    <t>T001276</t>
  </si>
  <si>
    <t>T001277</t>
  </si>
  <si>
    <t>T001278</t>
  </si>
  <si>
    <t>T001279</t>
  </si>
  <si>
    <t>T001280</t>
  </si>
  <si>
    <t>T001281</t>
  </si>
  <si>
    <t>C0163</t>
  </si>
  <si>
    <t>Customer_163</t>
  </si>
  <si>
    <t>T001282</t>
  </si>
  <si>
    <t>T001283</t>
  </si>
  <si>
    <t>T001284</t>
  </si>
  <si>
    <t>T001285</t>
  </si>
  <si>
    <t>T001286</t>
  </si>
  <si>
    <t>T001287</t>
  </si>
  <si>
    <t>T001288</t>
  </si>
  <si>
    <t>T001289</t>
  </si>
  <si>
    <t>T001290</t>
  </si>
  <si>
    <t>T001291</t>
  </si>
  <si>
    <t>C0164</t>
  </si>
  <si>
    <t>Customer_164</t>
  </si>
  <si>
    <t>T001292</t>
  </si>
  <si>
    <t>T001293</t>
  </si>
  <si>
    <t>T001294</t>
  </si>
  <si>
    <t>T001295</t>
  </si>
  <si>
    <t>T001296</t>
  </si>
  <si>
    <t>T001297</t>
  </si>
  <si>
    <t>T001298</t>
  </si>
  <si>
    <t>C0165</t>
  </si>
  <si>
    <t>Customer_165</t>
  </si>
  <si>
    <t>T001299</t>
  </si>
  <si>
    <t>T001300</t>
  </si>
  <si>
    <t>T001301</t>
  </si>
  <si>
    <t>T001302</t>
  </si>
  <si>
    <t>T001303</t>
  </si>
  <si>
    <t>T001304</t>
  </si>
  <si>
    <t>T001305</t>
  </si>
  <si>
    <t>T001306</t>
  </si>
  <si>
    <t>T001307</t>
  </si>
  <si>
    <t>T001308</t>
  </si>
  <si>
    <t>T001309</t>
  </si>
  <si>
    <t>T001310</t>
  </si>
  <si>
    <t>T001311</t>
  </si>
  <si>
    <t>T001312</t>
  </si>
  <si>
    <t>C0166</t>
  </si>
  <si>
    <t>Customer_166</t>
  </si>
  <si>
    <t>T001313</t>
  </si>
  <si>
    <t>T001314</t>
  </si>
  <si>
    <t>T001315</t>
  </si>
  <si>
    <t>T001316</t>
  </si>
  <si>
    <t>T001317</t>
  </si>
  <si>
    <t>T001318</t>
  </si>
  <si>
    <t>T001319</t>
  </si>
  <si>
    <t>T001320</t>
  </si>
  <si>
    <t>T001321</t>
  </si>
  <si>
    <t>T001322</t>
  </si>
  <si>
    <t>T001323</t>
  </si>
  <si>
    <t>T001324</t>
  </si>
  <si>
    <t>T001325</t>
  </si>
  <si>
    <t>T001326</t>
  </si>
  <si>
    <t>T001327</t>
  </si>
  <si>
    <t>C0167</t>
  </si>
  <si>
    <t>Customer_167</t>
  </si>
  <si>
    <t>T001328</t>
  </si>
  <si>
    <t>T001329</t>
  </si>
  <si>
    <t>T001330</t>
  </si>
  <si>
    <t>T001331</t>
  </si>
  <si>
    <t>T001332</t>
  </si>
  <si>
    <t>T001333</t>
  </si>
  <si>
    <t>T001334</t>
  </si>
  <si>
    <t>T001335</t>
  </si>
  <si>
    <t>T001336</t>
  </si>
  <si>
    <t>T001337</t>
  </si>
  <si>
    <t>T001338</t>
  </si>
  <si>
    <t>T001339</t>
  </si>
  <si>
    <t>C0168</t>
  </si>
  <si>
    <t>Customer_168</t>
  </si>
  <si>
    <t>T001340</t>
  </si>
  <si>
    <t>T001341</t>
  </si>
  <si>
    <t>T001342</t>
  </si>
  <si>
    <t>T001343</t>
  </si>
  <si>
    <t>T001344</t>
  </si>
  <si>
    <t>T001345</t>
  </si>
  <si>
    <t>T001346</t>
  </si>
  <si>
    <t>T001347</t>
  </si>
  <si>
    <t>C0169</t>
  </si>
  <si>
    <t>Customer_169</t>
  </si>
  <si>
    <t>T001348</t>
  </si>
  <si>
    <t>T001349</t>
  </si>
  <si>
    <t>T001350</t>
  </si>
  <si>
    <t>T001351</t>
  </si>
  <si>
    <t>T001352</t>
  </si>
  <si>
    <t>T001353</t>
  </si>
  <si>
    <t>C0170</t>
  </si>
  <si>
    <t>Customer_170</t>
  </si>
  <si>
    <t>T001354</t>
  </si>
  <si>
    <t>T001355</t>
  </si>
  <si>
    <t>T001356</t>
  </si>
  <si>
    <t>T001357</t>
  </si>
  <si>
    <t>C0171</t>
  </si>
  <si>
    <t>Customer_171</t>
  </si>
  <si>
    <t>T001358</t>
  </si>
  <si>
    <t>T001359</t>
  </si>
  <si>
    <t>T001360</t>
  </si>
  <si>
    <t>T001361</t>
  </si>
  <si>
    <t>C0172</t>
  </si>
  <si>
    <t>Customer_172</t>
  </si>
  <si>
    <t>T001362</t>
  </si>
  <si>
    <t>T001363</t>
  </si>
  <si>
    <t>T001364</t>
  </si>
  <si>
    <t>T001365</t>
  </si>
  <si>
    <t>T001366</t>
  </si>
  <si>
    <t>T001367</t>
  </si>
  <si>
    <t>T001368</t>
  </si>
  <si>
    <t>T001369</t>
  </si>
  <si>
    <t>T001370</t>
  </si>
  <si>
    <t>T001371</t>
  </si>
  <si>
    <t>T001372</t>
  </si>
  <si>
    <t>T001373</t>
  </si>
  <si>
    <t>T001374</t>
  </si>
  <si>
    <t>T001375</t>
  </si>
  <si>
    <t>T001376</t>
  </si>
  <si>
    <t>C0173</t>
  </si>
  <si>
    <t>Customer_173</t>
  </si>
  <si>
    <t>T001377</t>
  </si>
  <si>
    <t>T001378</t>
  </si>
  <si>
    <t>T001379</t>
  </si>
  <si>
    <t>T001380</t>
  </si>
  <si>
    <t>T001381</t>
  </si>
  <si>
    <t>T001382</t>
  </si>
  <si>
    <t>T001383</t>
  </si>
  <si>
    <t>T001384</t>
  </si>
  <si>
    <t>T001385</t>
  </si>
  <si>
    <t>T001386</t>
  </si>
  <si>
    <t>T001387</t>
  </si>
  <si>
    <t>T001388</t>
  </si>
  <si>
    <t>T001389</t>
  </si>
  <si>
    <t>C0174</t>
  </si>
  <si>
    <t>Customer_174</t>
  </si>
  <si>
    <t>T001390</t>
  </si>
  <si>
    <t>T001391</t>
  </si>
  <si>
    <t>T001392</t>
  </si>
  <si>
    <t>T001393</t>
  </si>
  <si>
    <t>T001394</t>
  </si>
  <si>
    <t>C0175</t>
  </si>
  <si>
    <t>Customer_175</t>
  </si>
  <si>
    <t>T001395</t>
  </si>
  <si>
    <t>T001396</t>
  </si>
  <si>
    <t>C0176</t>
  </si>
  <si>
    <t>Customer_176</t>
  </si>
  <si>
    <t>T001397</t>
  </si>
  <si>
    <t>T001398</t>
  </si>
  <si>
    <t>T001399</t>
  </si>
  <si>
    <t>T001400</t>
  </si>
  <si>
    <t>T001401</t>
  </si>
  <si>
    <t>T001402</t>
  </si>
  <si>
    <t>T001403</t>
  </si>
  <si>
    <t>T001404</t>
  </si>
  <si>
    <t>T001405</t>
  </si>
  <si>
    <t>T001406</t>
  </si>
  <si>
    <t>T001407</t>
  </si>
  <si>
    <t>T001408</t>
  </si>
  <si>
    <t>T001409</t>
  </si>
  <si>
    <t>T001410</t>
  </si>
  <si>
    <t>C0177</t>
  </si>
  <si>
    <t>Customer_177</t>
  </si>
  <si>
    <t>T001411</t>
  </si>
  <si>
    <t>T001412</t>
  </si>
  <si>
    <t>T001413</t>
  </si>
  <si>
    <t>T001414</t>
  </si>
  <si>
    <t>T001415</t>
  </si>
  <si>
    <t>T001416</t>
  </si>
  <si>
    <t>T001417</t>
  </si>
  <si>
    <t>T001418</t>
  </si>
  <si>
    <t>T001419</t>
  </si>
  <si>
    <t>T001420</t>
  </si>
  <si>
    <t>T001421</t>
  </si>
  <si>
    <t>T001422</t>
  </si>
  <si>
    <t>C0178</t>
  </si>
  <si>
    <t>Customer_178</t>
  </si>
  <si>
    <t>T001423</t>
  </si>
  <si>
    <t>T001424</t>
  </si>
  <si>
    <t>C0179</t>
  </si>
  <si>
    <t>Customer_179</t>
  </si>
  <si>
    <t>T001425</t>
  </si>
  <si>
    <t>T001426</t>
  </si>
  <si>
    <t>T001427</t>
  </si>
  <si>
    <t>T001428</t>
  </si>
  <si>
    <t>T001429</t>
  </si>
  <si>
    <t>T001430</t>
  </si>
  <si>
    <t>C0180</t>
  </si>
  <si>
    <t>Customer_180</t>
  </si>
  <si>
    <t>T001431</t>
  </si>
  <si>
    <t>T001432</t>
  </si>
  <si>
    <t>T001433</t>
  </si>
  <si>
    <t>T001434</t>
  </si>
  <si>
    <t>T001435</t>
  </si>
  <si>
    <t>T001436</t>
  </si>
  <si>
    <t>T001437</t>
  </si>
  <si>
    <t>T001438</t>
  </si>
  <si>
    <t>T001439</t>
  </si>
  <si>
    <t>T001440</t>
  </si>
  <si>
    <t>T001441</t>
  </si>
  <si>
    <t>T001442</t>
  </si>
  <si>
    <t>C0181</t>
  </si>
  <si>
    <t>Customer_181</t>
  </si>
  <si>
    <t>T001443</t>
  </si>
  <si>
    <t>T001444</t>
  </si>
  <si>
    <t>T001445</t>
  </si>
  <si>
    <t>T001446</t>
  </si>
  <si>
    <t>T001447</t>
  </si>
  <si>
    <t>T001448</t>
  </si>
  <si>
    <t>T001449</t>
  </si>
  <si>
    <t>T001450</t>
  </si>
  <si>
    <t>T001451</t>
  </si>
  <si>
    <t>C0182</t>
  </si>
  <si>
    <t>Customer_182</t>
  </si>
  <si>
    <t>T001452</t>
  </si>
  <si>
    <t>T001453</t>
  </si>
  <si>
    <t>T001454</t>
  </si>
  <si>
    <t>T001455</t>
  </si>
  <si>
    <t>C0183</t>
  </si>
  <si>
    <t>Customer_183</t>
  </si>
  <si>
    <t>T001456</t>
  </si>
  <si>
    <t>T001457</t>
  </si>
  <si>
    <t>C0184</t>
  </si>
  <si>
    <t>Customer_184</t>
  </si>
  <si>
    <t>T001458</t>
  </si>
  <si>
    <t>T001459</t>
  </si>
  <si>
    <t>T001460</t>
  </si>
  <si>
    <t>T001461</t>
  </si>
  <si>
    <t>T001462</t>
  </si>
  <si>
    <t>T001463</t>
  </si>
  <si>
    <t>T001464</t>
  </si>
  <si>
    <t>T001465</t>
  </si>
  <si>
    <t>T001466</t>
  </si>
  <si>
    <t>T001467</t>
  </si>
  <si>
    <t>T001468</t>
  </si>
  <si>
    <t>T001469</t>
  </si>
  <si>
    <t>T001470</t>
  </si>
  <si>
    <t>T001471</t>
  </si>
  <si>
    <t>T001472</t>
  </si>
  <si>
    <t>C0185</t>
  </si>
  <si>
    <t>Customer_185</t>
  </si>
  <si>
    <t>T001473</t>
  </si>
  <si>
    <t>T001474</t>
  </si>
  <si>
    <t>T001475</t>
  </si>
  <si>
    <t>T001476</t>
  </si>
  <si>
    <t>T001477</t>
  </si>
  <si>
    <t>T001478</t>
  </si>
  <si>
    <t>T001479</t>
  </si>
  <si>
    <t>T001480</t>
  </si>
  <si>
    <t>T001481</t>
  </si>
  <si>
    <t>T001482</t>
  </si>
  <si>
    <t>T001483</t>
  </si>
  <si>
    <t>C0186</t>
  </si>
  <si>
    <t>Customer_186</t>
  </si>
  <si>
    <t>T001484</t>
  </si>
  <si>
    <t>C0187</t>
  </si>
  <si>
    <t>Customer_187</t>
  </si>
  <si>
    <t>T001485</t>
  </si>
  <si>
    <t>T001486</t>
  </si>
  <si>
    <t>T001487</t>
  </si>
  <si>
    <t>T001488</t>
  </si>
  <si>
    <t>T001489</t>
  </si>
  <si>
    <t>T001490</t>
  </si>
  <si>
    <t>T001491</t>
  </si>
  <si>
    <t>T001492</t>
  </si>
  <si>
    <t>T001493</t>
  </si>
  <si>
    <t>C0188</t>
  </si>
  <si>
    <t>Customer_188</t>
  </si>
  <si>
    <t>T001494</t>
  </si>
  <si>
    <t>T001495</t>
  </si>
  <si>
    <t>T001496</t>
  </si>
  <si>
    <t>T001497</t>
  </si>
  <si>
    <t>T001498</t>
  </si>
  <si>
    <t>T001499</t>
  </si>
  <si>
    <t>T001500</t>
  </si>
  <si>
    <t>T001501</t>
  </si>
  <si>
    <t>T001502</t>
  </si>
  <si>
    <t>C0189</t>
  </si>
  <si>
    <t>Customer_189</t>
  </si>
  <si>
    <t>T001503</t>
  </si>
  <si>
    <t>T001504</t>
  </si>
  <si>
    <t>T001505</t>
  </si>
  <si>
    <t>T001506</t>
  </si>
  <si>
    <t>T001507</t>
  </si>
  <si>
    <t>T001508</t>
  </si>
  <si>
    <t>T001509</t>
  </si>
  <si>
    <t>T001510</t>
  </si>
  <si>
    <t>C0190</t>
  </si>
  <si>
    <t>Customer_190</t>
  </si>
  <si>
    <t>T001511</t>
  </si>
  <si>
    <t>T001512</t>
  </si>
  <si>
    <t>C0191</t>
  </si>
  <si>
    <t>Customer_191</t>
  </si>
  <si>
    <t>T001513</t>
  </si>
  <si>
    <t>T001514</t>
  </si>
  <si>
    <t>T001515</t>
  </si>
  <si>
    <t>T001516</t>
  </si>
  <si>
    <t>T001517</t>
  </si>
  <si>
    <t>T001518</t>
  </si>
  <si>
    <t>T001519</t>
  </si>
  <si>
    <t>T001520</t>
  </si>
  <si>
    <t>C0192</t>
  </si>
  <si>
    <t>Customer_192</t>
  </si>
  <si>
    <t>T001521</t>
  </si>
  <si>
    <t>T001522</t>
  </si>
  <si>
    <t>T001523</t>
  </si>
  <si>
    <t>T001524</t>
  </si>
  <si>
    <t>T001525</t>
  </si>
  <si>
    <t>T001526</t>
  </si>
  <si>
    <t>T001527</t>
  </si>
  <si>
    <t>T001528</t>
  </si>
  <si>
    <t>T001529</t>
  </si>
  <si>
    <t>T001530</t>
  </si>
  <si>
    <t>T001531</t>
  </si>
  <si>
    <t>T001532</t>
  </si>
  <si>
    <t>T001533</t>
  </si>
  <si>
    <t>T001534</t>
  </si>
  <si>
    <t>C0193</t>
  </si>
  <si>
    <t>Customer_193</t>
  </si>
  <si>
    <t>T001535</t>
  </si>
  <si>
    <t>T001536</t>
  </si>
  <si>
    <t>T001537</t>
  </si>
  <si>
    <t>T001538</t>
  </si>
  <si>
    <t>T001539</t>
  </si>
  <si>
    <t>C0194</t>
  </si>
  <si>
    <t>Customer_194</t>
  </si>
  <si>
    <t>T001540</t>
  </si>
  <si>
    <t>T001541</t>
  </si>
  <si>
    <t>T001542</t>
  </si>
  <si>
    <t>T001543</t>
  </si>
  <si>
    <t>T001544</t>
  </si>
  <si>
    <t>T001545</t>
  </si>
  <si>
    <t>T001546</t>
  </si>
  <si>
    <t>C0195</t>
  </si>
  <si>
    <t>Customer_195</t>
  </si>
  <si>
    <t>T001547</t>
  </si>
  <si>
    <t>T001548</t>
  </si>
  <si>
    <t>T001549</t>
  </si>
  <si>
    <t>T001550</t>
  </si>
  <si>
    <t>T001551</t>
  </si>
  <si>
    <t>T001552</t>
  </si>
  <si>
    <t>T001553</t>
  </si>
  <si>
    <t>T001554</t>
  </si>
  <si>
    <t>C0196</t>
  </si>
  <si>
    <t>Customer_196</t>
  </si>
  <si>
    <t>T001555</t>
  </si>
  <si>
    <t>T001556</t>
  </si>
  <si>
    <t>T001557</t>
  </si>
  <si>
    <t>T001558</t>
  </si>
  <si>
    <t>T001559</t>
  </si>
  <si>
    <t>T001560</t>
  </si>
  <si>
    <t>C0197</t>
  </si>
  <si>
    <t>Customer_197</t>
  </si>
  <si>
    <t>T001561</t>
  </si>
  <si>
    <t>T001562</t>
  </si>
  <si>
    <t>C0198</t>
  </si>
  <si>
    <t>Customer_198</t>
  </si>
  <si>
    <t>T001563</t>
  </si>
  <si>
    <t>T001564</t>
  </si>
  <si>
    <t>T001565</t>
  </si>
  <si>
    <t>T001566</t>
  </si>
  <si>
    <t>T001567</t>
  </si>
  <si>
    <t>T001568</t>
  </si>
  <si>
    <t>T001569</t>
  </si>
  <si>
    <t>T001570</t>
  </si>
  <si>
    <t>T001571</t>
  </si>
  <si>
    <t>T001572</t>
  </si>
  <si>
    <t>T001573</t>
  </si>
  <si>
    <t>C0199</t>
  </si>
  <si>
    <t>Customer_199</t>
  </si>
  <si>
    <t>T001574</t>
  </si>
  <si>
    <t>T001575</t>
  </si>
  <si>
    <t>T001576</t>
  </si>
  <si>
    <t>T001577</t>
  </si>
  <si>
    <t>T001578</t>
  </si>
  <si>
    <t>T001579</t>
  </si>
  <si>
    <t>C0200</t>
  </si>
  <si>
    <t>Customer_200</t>
  </si>
  <si>
    <t>T001580</t>
  </si>
  <si>
    <t>C0201</t>
  </si>
  <si>
    <t>Customer_201</t>
  </si>
  <si>
    <t>T001581</t>
  </si>
  <si>
    <t>T001582</t>
  </si>
  <si>
    <t>T001583</t>
  </si>
  <si>
    <t>T001584</t>
  </si>
  <si>
    <t>T001585</t>
  </si>
  <si>
    <t>T001586</t>
  </si>
  <si>
    <t>T001587</t>
  </si>
  <si>
    <t>T001588</t>
  </si>
  <si>
    <t>T001589</t>
  </si>
  <si>
    <t>T001590</t>
  </si>
  <si>
    <t>T001591</t>
  </si>
  <si>
    <t>C0202</t>
  </si>
  <si>
    <t>Customer_202</t>
  </si>
  <si>
    <t>T001592</t>
  </si>
  <si>
    <t>T001593</t>
  </si>
  <si>
    <t>T001594</t>
  </si>
  <si>
    <t>T001595</t>
  </si>
  <si>
    <t>T001596</t>
  </si>
  <si>
    <t>T001597</t>
  </si>
  <si>
    <t>T001598</t>
  </si>
  <si>
    <t>T001599</t>
  </si>
  <si>
    <t>T001600</t>
  </si>
  <si>
    <t>T001601</t>
  </si>
  <si>
    <t>T001602</t>
  </si>
  <si>
    <t>T001603</t>
  </si>
  <si>
    <t>T001604</t>
  </si>
  <si>
    <t>T001605</t>
  </si>
  <si>
    <t>T001606</t>
  </si>
  <si>
    <t>C0203</t>
  </si>
  <si>
    <t>Customer_203</t>
  </si>
  <si>
    <t>T001607</t>
  </si>
  <si>
    <t>T001608</t>
  </si>
  <si>
    <t>T001609</t>
  </si>
  <si>
    <t>T001610</t>
  </si>
  <si>
    <t>T001611</t>
  </si>
  <si>
    <t>T001612</t>
  </si>
  <si>
    <t>T001613</t>
  </si>
  <si>
    <t>C0204</t>
  </si>
  <si>
    <t>Customer_204</t>
  </si>
  <si>
    <t>T001614</t>
  </si>
  <si>
    <t>T001615</t>
  </si>
  <si>
    <t>T001616</t>
  </si>
  <si>
    <t>T001617</t>
  </si>
  <si>
    <t>T001618</t>
  </si>
  <si>
    <t>C0205</t>
  </si>
  <si>
    <t>Customer_205</t>
  </si>
  <si>
    <t>T001619</t>
  </si>
  <si>
    <t>T001620</t>
  </si>
  <si>
    <t>T001621</t>
  </si>
  <si>
    <t>T001622</t>
  </si>
  <si>
    <t>C0206</t>
  </si>
  <si>
    <t>Customer_206</t>
  </si>
  <si>
    <t>T001623</t>
  </si>
  <si>
    <t>C0207</t>
  </si>
  <si>
    <t>Customer_207</t>
  </si>
  <si>
    <t>T001624</t>
  </si>
  <si>
    <t>T001625</t>
  </si>
  <si>
    <t>T001626</t>
  </si>
  <si>
    <t>C0208</t>
  </si>
  <si>
    <t>Customer_208</t>
  </si>
  <si>
    <t>T001627</t>
  </si>
  <si>
    <t>T001628</t>
  </si>
  <si>
    <t>T001629</t>
  </si>
  <si>
    <t>T001630</t>
  </si>
  <si>
    <t>T001631</t>
  </si>
  <si>
    <t>T001632</t>
  </si>
  <si>
    <t>T001633</t>
  </si>
  <si>
    <t>T001634</t>
  </si>
  <si>
    <t>C0209</t>
  </si>
  <si>
    <t>Customer_209</t>
  </si>
  <si>
    <t>T001635</t>
  </si>
  <si>
    <t>T001636</t>
  </si>
  <si>
    <t>T001637</t>
  </si>
  <si>
    <t>T001638</t>
  </si>
  <si>
    <t>T001639</t>
  </si>
  <si>
    <t>T001640</t>
  </si>
  <si>
    <t>T001641</t>
  </si>
  <si>
    <t>T001642</t>
  </si>
  <si>
    <t>T001643</t>
  </si>
  <si>
    <t>T001644</t>
  </si>
  <si>
    <t>T001645</t>
  </si>
  <si>
    <t>T001646</t>
  </si>
  <si>
    <t>T001647</t>
  </si>
  <si>
    <t>T001648</t>
  </si>
  <si>
    <t>C0210</t>
  </si>
  <si>
    <t>Customer_210</t>
  </si>
  <si>
    <t>T001649</t>
  </si>
  <si>
    <t>T001650</t>
  </si>
  <si>
    <t>T001651</t>
  </si>
  <si>
    <t>T001652</t>
  </si>
  <si>
    <t>T001653</t>
  </si>
  <si>
    <t>T001654</t>
  </si>
  <si>
    <t>T001655</t>
  </si>
  <si>
    <t>T001656</t>
  </si>
  <si>
    <t>T001657</t>
  </si>
  <si>
    <t>T001658</t>
  </si>
  <si>
    <t>T001659</t>
  </si>
  <si>
    <t>T001660</t>
  </si>
  <si>
    <t>T001661</t>
  </si>
  <si>
    <t>T001662</t>
  </si>
  <si>
    <t>T001663</t>
  </si>
  <si>
    <t>C0211</t>
  </si>
  <si>
    <t>Customer_211</t>
  </si>
  <si>
    <t>T001664</t>
  </si>
  <si>
    <t>T001665</t>
  </si>
  <si>
    <t>T001666</t>
  </si>
  <si>
    <t>T001667</t>
  </si>
  <si>
    <t>T001668</t>
  </si>
  <si>
    <t>T001669</t>
  </si>
  <si>
    <t>T001670</t>
  </si>
  <si>
    <t>T001671</t>
  </si>
  <si>
    <t>T001672</t>
  </si>
  <si>
    <t>T001673</t>
  </si>
  <si>
    <t>T001674</t>
  </si>
  <si>
    <t>T001675</t>
  </si>
  <si>
    <t>C0212</t>
  </si>
  <si>
    <t>Customer_212</t>
  </si>
  <si>
    <t>T001676</t>
  </si>
  <si>
    <t>T001677</t>
  </si>
  <si>
    <t>C0213</t>
  </si>
  <si>
    <t>Customer_213</t>
  </si>
  <si>
    <t>T001678</t>
  </si>
  <si>
    <t>T001679</t>
  </si>
  <si>
    <t>T001680</t>
  </si>
  <si>
    <t>T001681</t>
  </si>
  <si>
    <t>T001682</t>
  </si>
  <si>
    <t>T001683</t>
  </si>
  <si>
    <t>T001684</t>
  </si>
  <si>
    <t>T001685</t>
  </si>
  <si>
    <t>T001686</t>
  </si>
  <si>
    <t>T001687</t>
  </si>
  <si>
    <t>T001688</t>
  </si>
  <si>
    <t>T001689</t>
  </si>
  <si>
    <t>C0214</t>
  </si>
  <si>
    <t>Customer_214</t>
  </si>
  <si>
    <t>T001690</t>
  </si>
  <si>
    <t>T001691</t>
  </si>
  <si>
    <t>T001692</t>
  </si>
  <si>
    <t>T001693</t>
  </si>
  <si>
    <t>T001694</t>
  </si>
  <si>
    <t>T001695</t>
  </si>
  <si>
    <t>T001696</t>
  </si>
  <si>
    <t>T001697</t>
  </si>
  <si>
    <t>C0215</t>
  </si>
  <si>
    <t>Customer_215</t>
  </si>
  <si>
    <t>T001698</t>
  </si>
  <si>
    <t>T001699</t>
  </si>
  <si>
    <t>T001700</t>
  </si>
  <si>
    <t>T001701</t>
  </si>
  <si>
    <t>T001702</t>
  </si>
  <si>
    <t>T001703</t>
  </si>
  <si>
    <t>T001704</t>
  </si>
  <si>
    <t>T001705</t>
  </si>
  <si>
    <t>T001706</t>
  </si>
  <si>
    <t>T001707</t>
  </si>
  <si>
    <t>T001708</t>
  </si>
  <si>
    <t>T001709</t>
  </si>
  <si>
    <t>T001710</t>
  </si>
  <si>
    <t>C0216</t>
  </si>
  <si>
    <t>Customer_216</t>
  </si>
  <si>
    <t>T001711</t>
  </si>
  <si>
    <t>T001712</t>
  </si>
  <si>
    <t>T001713</t>
  </si>
  <si>
    <t>T001714</t>
  </si>
  <si>
    <t>T001715</t>
  </si>
  <si>
    <t>T001716</t>
  </si>
  <si>
    <t>T001717</t>
  </si>
  <si>
    <t>C0217</t>
  </si>
  <si>
    <t>Customer_217</t>
  </si>
  <si>
    <t>T001718</t>
  </si>
  <si>
    <t>T001719</t>
  </si>
  <si>
    <t>T001720</t>
  </si>
  <si>
    <t>T001721</t>
  </si>
  <si>
    <t>T001722</t>
  </si>
  <si>
    <t>T001723</t>
  </si>
  <si>
    <t>T001724</t>
  </si>
  <si>
    <t>T001725</t>
  </si>
  <si>
    <t>T001726</t>
  </si>
  <si>
    <t>T001727</t>
  </si>
  <si>
    <t>C0218</t>
  </si>
  <si>
    <t>Customer_218</t>
  </si>
  <si>
    <t>T001728</t>
  </si>
  <si>
    <t>T001729</t>
  </si>
  <si>
    <t>T001730</t>
  </si>
  <si>
    <t>T001731</t>
  </si>
  <si>
    <t>C0219</t>
  </si>
  <si>
    <t>Customer_219</t>
  </si>
  <si>
    <t>T001732</t>
  </si>
  <si>
    <t>T001733</t>
  </si>
  <si>
    <t>T001734</t>
  </si>
  <si>
    <t>T001735</t>
  </si>
  <si>
    <t>C0220</t>
  </si>
  <si>
    <t>Customer_220</t>
  </si>
  <si>
    <t>T001736</t>
  </si>
  <si>
    <t>T001737</t>
  </si>
  <si>
    <t>T001738</t>
  </si>
  <si>
    <t>T001739</t>
  </si>
  <si>
    <t>T001740</t>
  </si>
  <si>
    <t>T001741</t>
  </si>
  <si>
    <t>T001742</t>
  </si>
  <si>
    <t>T001743</t>
  </si>
  <si>
    <t>T001744</t>
  </si>
  <si>
    <t>T001745</t>
  </si>
  <si>
    <t>C0221</t>
  </si>
  <si>
    <t>Customer_221</t>
  </si>
  <si>
    <t>T001746</t>
  </si>
  <si>
    <t>T001747</t>
  </si>
  <si>
    <t>T001748</t>
  </si>
  <si>
    <t>T001749</t>
  </si>
  <si>
    <t>C0222</t>
  </si>
  <si>
    <t>Customer_222</t>
  </si>
  <si>
    <t>T001750</t>
  </si>
  <si>
    <t>T001751</t>
  </si>
  <si>
    <t>T001752</t>
  </si>
  <si>
    <t>T001753</t>
  </si>
  <si>
    <t>T001754</t>
  </si>
  <si>
    <t>T001755</t>
  </si>
  <si>
    <t>T001756</t>
  </si>
  <si>
    <t>T001757</t>
  </si>
  <si>
    <t>T001758</t>
  </si>
  <si>
    <t>T001759</t>
  </si>
  <si>
    <t>T001760</t>
  </si>
  <si>
    <t>T001761</t>
  </si>
  <si>
    <t>T001762</t>
  </si>
  <si>
    <t>C0223</t>
  </si>
  <si>
    <t>Customer_223</t>
  </si>
  <si>
    <t>T001763</t>
  </si>
  <si>
    <t>T001764</t>
  </si>
  <si>
    <t>C0224</t>
  </si>
  <si>
    <t>Customer_224</t>
  </si>
  <si>
    <t>T001765</t>
  </si>
  <si>
    <t>T001766</t>
  </si>
  <si>
    <t>T001767</t>
  </si>
  <si>
    <t>T001768</t>
  </si>
  <si>
    <t>T001769</t>
  </si>
  <si>
    <t>T001770</t>
  </si>
  <si>
    <t>T001771</t>
  </si>
  <si>
    <t>T001772</t>
  </si>
  <si>
    <t>T001773</t>
  </si>
  <si>
    <t>T001774</t>
  </si>
  <si>
    <t>T001775</t>
  </si>
  <si>
    <t>T001776</t>
  </si>
  <si>
    <t>C0225</t>
  </si>
  <si>
    <t>Customer_225</t>
  </si>
  <si>
    <t>T001777</t>
  </si>
  <si>
    <t>T001778</t>
  </si>
  <si>
    <t>T001779</t>
  </si>
  <si>
    <t>T001780</t>
  </si>
  <si>
    <t>T001781</t>
  </si>
  <si>
    <t>T001782</t>
  </si>
  <si>
    <t>T001783</t>
  </si>
  <si>
    <t>T001784</t>
  </si>
  <si>
    <t>T001785</t>
  </si>
  <si>
    <t>T001786</t>
  </si>
  <si>
    <t>T001787</t>
  </si>
  <si>
    <t>T001788</t>
  </si>
  <si>
    <t>C0226</t>
  </si>
  <si>
    <t>Customer_226</t>
  </si>
  <si>
    <t>T001789</t>
  </si>
  <si>
    <t>T001790</t>
  </si>
  <si>
    <t>T001791</t>
  </si>
  <si>
    <t>T001792</t>
  </si>
  <si>
    <t>T001793</t>
  </si>
  <si>
    <t>T001794</t>
  </si>
  <si>
    <t>C0227</t>
  </si>
  <si>
    <t>Customer_227</t>
  </si>
  <si>
    <t>T001795</t>
  </si>
  <si>
    <t>T001796</t>
  </si>
  <si>
    <t>T001797</t>
  </si>
  <si>
    <t>C0228</t>
  </si>
  <si>
    <t>Customer_228</t>
  </si>
  <si>
    <t>T001798</t>
  </si>
  <si>
    <t>C0229</t>
  </si>
  <si>
    <t>Customer_229</t>
  </si>
  <si>
    <t>T001799</t>
  </si>
  <si>
    <t>T001800</t>
  </si>
  <si>
    <t>C0230</t>
  </si>
  <si>
    <t>Customer_230</t>
  </si>
  <si>
    <t>T001801</t>
  </si>
  <si>
    <t>T001802</t>
  </si>
  <si>
    <t>T001803</t>
  </si>
  <si>
    <t>C0231</t>
  </si>
  <si>
    <t>Customer_231</t>
  </si>
  <si>
    <t>T001804</t>
  </si>
  <si>
    <t>T001805</t>
  </si>
  <si>
    <t>T001806</t>
  </si>
  <si>
    <t>T001807</t>
  </si>
  <si>
    <t>T001808</t>
  </si>
  <si>
    <t>T001809</t>
  </si>
  <si>
    <t>T001810</t>
  </si>
  <si>
    <t>T001811</t>
  </si>
  <si>
    <t>T001812</t>
  </si>
  <si>
    <t>T001813</t>
  </si>
  <si>
    <t>C0232</t>
  </si>
  <si>
    <t>Customer_232</t>
  </si>
  <si>
    <t>T001814</t>
  </si>
  <si>
    <t>T001815</t>
  </si>
  <si>
    <t>T001816</t>
  </si>
  <si>
    <t>T001817</t>
  </si>
  <si>
    <t>T001818</t>
  </si>
  <si>
    <t>T001819</t>
  </si>
  <si>
    <t>T001820</t>
  </si>
  <si>
    <t>T001821</t>
  </si>
  <si>
    <t>C0233</t>
  </si>
  <si>
    <t>Customer_233</t>
  </si>
  <si>
    <t>T001822</t>
  </si>
  <si>
    <t>T001823</t>
  </si>
  <si>
    <t>T001824</t>
  </si>
  <si>
    <t>T001825</t>
  </si>
  <si>
    <t>T001826</t>
  </si>
  <si>
    <t>T001827</t>
  </si>
  <si>
    <t>T001828</t>
  </si>
  <si>
    <t>T001829</t>
  </si>
  <si>
    <t>C0234</t>
  </si>
  <si>
    <t>Customer_234</t>
  </si>
  <si>
    <t>T001830</t>
  </si>
  <si>
    <t>T001831</t>
  </si>
  <si>
    <t>T001832</t>
  </si>
  <si>
    <t>T001833</t>
  </si>
  <si>
    <t>T001834</t>
  </si>
  <si>
    <t>T001835</t>
  </si>
  <si>
    <t>T001836</t>
  </si>
  <si>
    <t>T001837</t>
  </si>
  <si>
    <t>T001838</t>
  </si>
  <si>
    <t>T001839</t>
  </si>
  <si>
    <t>T001840</t>
  </si>
  <si>
    <t>C0235</t>
  </si>
  <si>
    <t>Customer_235</t>
  </si>
  <si>
    <t>T001841</t>
  </si>
  <si>
    <t>T001842</t>
  </si>
  <si>
    <t>T001843</t>
  </si>
  <si>
    <t>T001844</t>
  </si>
  <si>
    <t>T001845</t>
  </si>
  <si>
    <t>C0236</t>
  </si>
  <si>
    <t>Customer_236</t>
  </si>
  <si>
    <t>T001846</t>
  </si>
  <si>
    <t>T001847</t>
  </si>
  <si>
    <t>T001848</t>
  </si>
  <si>
    <t>T001849</t>
  </si>
  <si>
    <t>T001850</t>
  </si>
  <si>
    <t>T001851</t>
  </si>
  <si>
    <t>T001852</t>
  </si>
  <si>
    <t>T001853</t>
  </si>
  <si>
    <t>T001854</t>
  </si>
  <si>
    <t>T001855</t>
  </si>
  <si>
    <t>C0237</t>
  </si>
  <si>
    <t>Customer_237</t>
  </si>
  <si>
    <t>T001856</t>
  </si>
  <si>
    <t>T001857</t>
  </si>
  <si>
    <t>T001858</t>
  </si>
  <si>
    <t>T001859</t>
  </si>
  <si>
    <t>T001860</t>
  </si>
  <si>
    <t>T001861</t>
  </si>
  <si>
    <t>T001862</t>
  </si>
  <si>
    <t>T001863</t>
  </si>
  <si>
    <t>T001864</t>
  </si>
  <si>
    <t>C0238</t>
  </si>
  <si>
    <t>Customer_238</t>
  </si>
  <si>
    <t>T001865</t>
  </si>
  <si>
    <t>T001866</t>
  </si>
  <si>
    <t>C0239</t>
  </si>
  <si>
    <t>Customer_239</t>
  </si>
  <si>
    <t>T001867</t>
  </si>
  <si>
    <t>T001868</t>
  </si>
  <si>
    <t>T001869</t>
  </si>
  <si>
    <t>T001870</t>
  </si>
  <si>
    <t>C0240</t>
  </si>
  <si>
    <t>Customer_240</t>
  </si>
  <si>
    <t>T001871</t>
  </si>
  <si>
    <t>T001872</t>
  </si>
  <si>
    <t>T001873</t>
  </si>
  <si>
    <t>C0241</t>
  </si>
  <si>
    <t>Customer_241</t>
  </si>
  <si>
    <t>T001874</t>
  </si>
  <si>
    <t>T001875</t>
  </si>
  <si>
    <t>T001876</t>
  </si>
  <si>
    <t>T001877</t>
  </si>
  <si>
    <t>T001878</t>
  </si>
  <si>
    <t>T001879</t>
  </si>
  <si>
    <t>T001880</t>
  </si>
  <si>
    <t>T001881</t>
  </si>
  <si>
    <t>T001882</t>
  </si>
  <si>
    <t>T001883</t>
  </si>
  <si>
    <t>T001884</t>
  </si>
  <si>
    <t>C0242</t>
  </si>
  <si>
    <t>Customer_242</t>
  </si>
  <si>
    <t>T001885</t>
  </si>
  <si>
    <t>T001886</t>
  </si>
  <si>
    <t>T001887</t>
  </si>
  <si>
    <t>T001888</t>
  </si>
  <si>
    <t>C0243</t>
  </si>
  <si>
    <t>Customer_243</t>
  </si>
  <si>
    <t>T001889</t>
  </si>
  <si>
    <t>T001890</t>
  </si>
  <si>
    <t>T001891</t>
  </si>
  <si>
    <t>T001892</t>
  </si>
  <si>
    <t>T001893</t>
  </si>
  <si>
    <t>C0244</t>
  </si>
  <si>
    <t>Customer_244</t>
  </si>
  <si>
    <t>T001894</t>
  </si>
  <si>
    <t>T001895</t>
  </si>
  <si>
    <t>T001896</t>
  </si>
  <si>
    <t>T001897</t>
  </si>
  <si>
    <t>T001898</t>
  </si>
  <si>
    <t>C0245</t>
  </si>
  <si>
    <t>Customer_245</t>
  </si>
  <si>
    <t>T001899</t>
  </si>
  <si>
    <t>T001900</t>
  </si>
  <si>
    <t>T001901</t>
  </si>
  <si>
    <t>T001902</t>
  </si>
  <si>
    <t>T001903</t>
  </si>
  <si>
    <t>T001904</t>
  </si>
  <si>
    <t>T001905</t>
  </si>
  <si>
    <t>T001906</t>
  </si>
  <si>
    <t>T001907</t>
  </si>
  <si>
    <t>T001908</t>
  </si>
  <si>
    <t>T001909</t>
  </si>
  <si>
    <t>T001910</t>
  </si>
  <si>
    <t>T001911</t>
  </si>
  <si>
    <t>C0246</t>
  </si>
  <si>
    <t>Customer_246</t>
  </si>
  <si>
    <t>T001912</t>
  </si>
  <si>
    <t>T001913</t>
  </si>
  <si>
    <t>T001914</t>
  </si>
  <si>
    <t>T001915</t>
  </si>
  <si>
    <t>T001916</t>
  </si>
  <si>
    <t>T001917</t>
  </si>
  <si>
    <t>T001918</t>
  </si>
  <si>
    <t>T001919</t>
  </si>
  <si>
    <t>T001920</t>
  </si>
  <si>
    <t>T001921</t>
  </si>
  <si>
    <t>T001922</t>
  </si>
  <si>
    <t>T001923</t>
  </si>
  <si>
    <t>T001924</t>
  </si>
  <si>
    <t>C0247</t>
  </si>
  <si>
    <t>Customer_247</t>
  </si>
  <si>
    <t>T001925</t>
  </si>
  <si>
    <t>T001926</t>
  </si>
  <si>
    <t>T001927</t>
  </si>
  <si>
    <t>T001928</t>
  </si>
  <si>
    <t>T001929</t>
  </si>
  <si>
    <t>T001930</t>
  </si>
  <si>
    <t>T001931</t>
  </si>
  <si>
    <t>T001932</t>
  </si>
  <si>
    <t>T001933</t>
  </si>
  <si>
    <t>T001934</t>
  </si>
  <si>
    <t>T001935</t>
  </si>
  <si>
    <t>T001936</t>
  </si>
  <si>
    <t>T001937</t>
  </si>
  <si>
    <t>T001938</t>
  </si>
  <si>
    <t>C0248</t>
  </si>
  <si>
    <t>Customer_248</t>
  </si>
  <si>
    <t>T001939</t>
  </si>
  <si>
    <t>T001940</t>
  </si>
  <si>
    <t>T001941</t>
  </si>
  <si>
    <t>T001942</t>
  </si>
  <si>
    <t>T001943</t>
  </si>
  <si>
    <t>T001944</t>
  </si>
  <si>
    <t>T001945</t>
  </si>
  <si>
    <t>T001946</t>
  </si>
  <si>
    <t>C0249</t>
  </si>
  <si>
    <t>Customer_249</t>
  </si>
  <si>
    <t>T001947</t>
  </si>
  <si>
    <t>T001948</t>
  </si>
  <si>
    <t>T001949</t>
  </si>
  <si>
    <t>T001950</t>
  </si>
  <si>
    <t>T001951</t>
  </si>
  <si>
    <t>T001952</t>
  </si>
  <si>
    <t>C0250</t>
  </si>
  <si>
    <t>Customer_250</t>
  </si>
  <si>
    <t>T001953</t>
  </si>
  <si>
    <t>T001954</t>
  </si>
  <si>
    <t>T001955</t>
  </si>
  <si>
    <t>T001956</t>
  </si>
  <si>
    <t>T001957</t>
  </si>
  <si>
    <t>T001958</t>
  </si>
  <si>
    <t>T001959</t>
  </si>
  <si>
    <t>C0251</t>
  </si>
  <si>
    <t>Customer_251</t>
  </si>
  <si>
    <t>T001960</t>
  </si>
  <si>
    <t>T001961</t>
  </si>
  <si>
    <t>T001962</t>
  </si>
  <si>
    <t>T001963</t>
  </si>
  <si>
    <t>T001964</t>
  </si>
  <si>
    <t>T001965</t>
  </si>
  <si>
    <t>C0252</t>
  </si>
  <si>
    <t>Customer_252</t>
  </si>
  <si>
    <t>T001966</t>
  </si>
  <si>
    <t>T001967</t>
  </si>
  <si>
    <t>T001968</t>
  </si>
  <si>
    <t>T001969</t>
  </si>
  <si>
    <t>T001970</t>
  </si>
  <si>
    <t>T001971</t>
  </si>
  <si>
    <t>T001972</t>
  </si>
  <si>
    <t>T001973</t>
  </si>
  <si>
    <t>T001974</t>
  </si>
  <si>
    <t>T001975</t>
  </si>
  <si>
    <t>T001976</t>
  </si>
  <si>
    <t>C0253</t>
  </si>
  <si>
    <t>Customer_253</t>
  </si>
  <si>
    <t>T001977</t>
  </si>
  <si>
    <t>T001978</t>
  </si>
  <si>
    <t>T001979</t>
  </si>
  <si>
    <t>T001980</t>
  </si>
  <si>
    <t>T001981</t>
  </si>
  <si>
    <t>T001982</t>
  </si>
  <si>
    <t>T001983</t>
  </si>
  <si>
    <t>T001984</t>
  </si>
  <si>
    <t>T001985</t>
  </si>
  <si>
    <t>T001986</t>
  </si>
  <si>
    <t>T001987</t>
  </si>
  <si>
    <t>T001988</t>
  </si>
  <si>
    <t>C0254</t>
  </si>
  <si>
    <t>Customer_254</t>
  </si>
  <si>
    <t>T001989</t>
  </si>
  <si>
    <t>T001990</t>
  </si>
  <si>
    <t>T001991</t>
  </si>
  <si>
    <t>T001992</t>
  </si>
  <si>
    <t>T001993</t>
  </si>
  <si>
    <t>T001994</t>
  </si>
  <si>
    <t>T001995</t>
  </si>
  <si>
    <t>T001996</t>
  </si>
  <si>
    <t>T001997</t>
  </si>
  <si>
    <t>T001998</t>
  </si>
  <si>
    <t>T001999</t>
  </si>
  <si>
    <t>T002000</t>
  </si>
  <si>
    <t>T002001</t>
  </si>
  <si>
    <t>T002002</t>
  </si>
  <si>
    <t>T002003</t>
  </si>
  <si>
    <t>C0255</t>
  </si>
  <si>
    <t>Customer_255</t>
  </si>
  <si>
    <t>T002004</t>
  </si>
  <si>
    <t>T002005</t>
  </si>
  <si>
    <t>T002006</t>
  </si>
  <si>
    <t>T002007</t>
  </si>
  <si>
    <t>T002008</t>
  </si>
  <si>
    <t>T002009</t>
  </si>
  <si>
    <t>T002010</t>
  </si>
  <si>
    <t>T002011</t>
  </si>
  <si>
    <t>T002012</t>
  </si>
  <si>
    <t>T002013</t>
  </si>
  <si>
    <t>T002014</t>
  </si>
  <si>
    <t>T002015</t>
  </si>
  <si>
    <t>C0256</t>
  </si>
  <si>
    <t>Customer_256</t>
  </si>
  <si>
    <t>T002016</t>
  </si>
  <si>
    <t>T002017</t>
  </si>
  <si>
    <t>T002018</t>
  </si>
  <si>
    <t>T002019</t>
  </si>
  <si>
    <t>T002020</t>
  </si>
  <si>
    <t>T002021</t>
  </si>
  <si>
    <t>T002022</t>
  </si>
  <si>
    <t>T002023</t>
  </si>
  <si>
    <t>T002024</t>
  </si>
  <si>
    <t>T002025</t>
  </si>
  <si>
    <t>T002026</t>
  </si>
  <si>
    <t>T002027</t>
  </si>
  <si>
    <t>C0257</t>
  </si>
  <si>
    <t>Customer_257</t>
  </si>
  <si>
    <t>T002028</t>
  </si>
  <si>
    <t>T002029</t>
  </si>
  <si>
    <t>C0258</t>
  </si>
  <si>
    <t>Customer_258</t>
  </si>
  <si>
    <t>T002030</t>
  </si>
  <si>
    <t>T002031</t>
  </si>
  <si>
    <t>T002032</t>
  </si>
  <si>
    <t>T002033</t>
  </si>
  <si>
    <t>T002034</t>
  </si>
  <si>
    <t>C0259</t>
  </si>
  <si>
    <t>Customer_259</t>
  </si>
  <si>
    <t>T002035</t>
  </si>
  <si>
    <t>T002036</t>
  </si>
  <si>
    <t>T002037</t>
  </si>
  <si>
    <t>T002038</t>
  </si>
  <si>
    <t>T002039</t>
  </si>
  <si>
    <t>T002040</t>
  </si>
  <si>
    <t>T002041</t>
  </si>
  <si>
    <t>T002042</t>
  </si>
  <si>
    <t>T002043</t>
  </si>
  <si>
    <t>T002044</t>
  </si>
  <si>
    <t>T002045</t>
  </si>
  <si>
    <t>T002046</t>
  </si>
  <si>
    <t>T002047</t>
  </si>
  <si>
    <t>T002048</t>
  </si>
  <si>
    <t>C0260</t>
  </si>
  <si>
    <t>Customer_260</t>
  </si>
  <si>
    <t>T002049</t>
  </si>
  <si>
    <t>T002050</t>
  </si>
  <si>
    <t>C0261</t>
  </si>
  <si>
    <t>Customer_261</t>
  </si>
  <si>
    <t>T002051</t>
  </si>
  <si>
    <t>T002052</t>
  </si>
  <si>
    <t>T002053</t>
  </si>
  <si>
    <t>T002054</t>
  </si>
  <si>
    <t>C0262</t>
  </si>
  <si>
    <t>Customer_262</t>
  </si>
  <si>
    <t>T002055</t>
  </si>
  <si>
    <t>T002056</t>
  </si>
  <si>
    <t>T002057</t>
  </si>
  <si>
    <t>T002058</t>
  </si>
  <si>
    <t>C0263</t>
  </si>
  <si>
    <t>Customer_263</t>
  </si>
  <si>
    <t>T002059</t>
  </si>
  <si>
    <t>T002060</t>
  </si>
  <si>
    <t>T002061</t>
  </si>
  <si>
    <t>T002062</t>
  </si>
  <si>
    <t>T002063</t>
  </si>
  <si>
    <t>C0264</t>
  </si>
  <si>
    <t>Customer_264</t>
  </si>
  <si>
    <t>T002064</t>
  </si>
  <si>
    <t>T002065</t>
  </si>
  <si>
    <t>T002066</t>
  </si>
  <si>
    <t>T002067</t>
  </si>
  <si>
    <t>T002068</t>
  </si>
  <si>
    <t>T002069</t>
  </si>
  <si>
    <t>T002070</t>
  </si>
  <si>
    <t>T002071</t>
  </si>
  <si>
    <t>T002072</t>
  </si>
  <si>
    <t>T002073</t>
  </si>
  <si>
    <t>T002074</t>
  </si>
  <si>
    <t>C0265</t>
  </si>
  <si>
    <t>Customer_265</t>
  </si>
  <si>
    <t>T002075</t>
  </si>
  <si>
    <t>T002076</t>
  </si>
  <si>
    <t>T002077</t>
  </si>
  <si>
    <t>T002078</t>
  </si>
  <si>
    <t>T002079</t>
  </si>
  <si>
    <t>T002080</t>
  </si>
  <si>
    <t>T002081</t>
  </si>
  <si>
    <t>T002082</t>
  </si>
  <si>
    <t>T002083</t>
  </si>
  <si>
    <t>T002084</t>
  </si>
  <si>
    <t>T002085</t>
  </si>
  <si>
    <t>T002086</t>
  </si>
  <si>
    <t>T002087</t>
  </si>
  <si>
    <t>C0266</t>
  </si>
  <si>
    <t>Customer_266</t>
  </si>
  <si>
    <t>T002088</t>
  </si>
  <si>
    <t>T002089</t>
  </si>
  <si>
    <t>T002090</t>
  </si>
  <si>
    <t>T002091</t>
  </si>
  <si>
    <t>T002092</t>
  </si>
  <si>
    <t>T002093</t>
  </si>
  <si>
    <t>T002094</t>
  </si>
  <si>
    <t>C0267</t>
  </si>
  <si>
    <t>Customer_267</t>
  </si>
  <si>
    <t>T002095</t>
  </si>
  <si>
    <t>T002096</t>
  </si>
  <si>
    <t>T002097</t>
  </si>
  <si>
    <t>T002098</t>
  </si>
  <si>
    <t>T002099</t>
  </si>
  <si>
    <t>C0268</t>
  </si>
  <si>
    <t>Customer_268</t>
  </si>
  <si>
    <t>T002100</t>
  </si>
  <si>
    <t>T002101</t>
  </si>
  <si>
    <t>T002102</t>
  </si>
  <si>
    <t>T002103</t>
  </si>
  <si>
    <t>T002104</t>
  </si>
  <si>
    <t>T002105</t>
  </si>
  <si>
    <t>T002106</t>
  </si>
  <si>
    <t>T002107</t>
  </si>
  <si>
    <t>T002108</t>
  </si>
  <si>
    <t>T002109</t>
  </si>
  <si>
    <t>T002110</t>
  </si>
  <si>
    <t>T002111</t>
  </si>
  <si>
    <t>C0269</t>
  </si>
  <si>
    <t>Customer_269</t>
  </si>
  <si>
    <t>T002112</t>
  </si>
  <si>
    <t>T002113</t>
  </si>
  <si>
    <t>T002114</t>
  </si>
  <si>
    <t>T002115</t>
  </si>
  <si>
    <t>T002116</t>
  </si>
  <si>
    <t>T002117</t>
  </si>
  <si>
    <t>T002118</t>
  </si>
  <si>
    <t>T002119</t>
  </si>
  <si>
    <t>C0270</t>
  </si>
  <si>
    <t>Customer_270</t>
  </si>
  <si>
    <t>T002120</t>
  </si>
  <si>
    <t>T002121</t>
  </si>
  <si>
    <t>T002122</t>
  </si>
  <si>
    <t>T002123</t>
  </si>
  <si>
    <t>T002124</t>
  </si>
  <si>
    <t>T002125</t>
  </si>
  <si>
    <t>T002126</t>
  </si>
  <si>
    <t>C0271</t>
  </si>
  <si>
    <t>Customer_271</t>
  </si>
  <si>
    <t>T002127</t>
  </si>
  <si>
    <t>T002128</t>
  </si>
  <si>
    <t>T002129</t>
  </si>
  <si>
    <t>T002130</t>
  </si>
  <si>
    <t>T002131</t>
  </si>
  <si>
    <t>T002132</t>
  </si>
  <si>
    <t>T002133</t>
  </si>
  <si>
    <t>T002134</t>
  </si>
  <si>
    <t>C0272</t>
  </si>
  <si>
    <t>Customer_272</t>
  </si>
  <si>
    <t>T002135</t>
  </si>
  <si>
    <t>T002136</t>
  </si>
  <si>
    <t>T002137</t>
  </si>
  <si>
    <t>T002138</t>
  </si>
  <si>
    <t>T002139</t>
  </si>
  <si>
    <t>T002140</t>
  </si>
  <si>
    <t>T002141</t>
  </si>
  <si>
    <t>C0273</t>
  </si>
  <si>
    <t>Customer_273</t>
  </si>
  <si>
    <t>T002142</t>
  </si>
  <si>
    <t>T002143</t>
  </si>
  <si>
    <t>T002144</t>
  </si>
  <si>
    <t>T002145</t>
  </si>
  <si>
    <t>C0274</t>
  </si>
  <si>
    <t>Customer_274</t>
  </si>
  <si>
    <t>T002146</t>
  </si>
  <si>
    <t>T002147</t>
  </si>
  <si>
    <t>T002148</t>
  </si>
  <si>
    <t>T002149</t>
  </si>
  <si>
    <t>T002150</t>
  </si>
  <si>
    <t>T002151</t>
  </si>
  <si>
    <t>C0275</t>
  </si>
  <si>
    <t>Customer_275</t>
  </si>
  <si>
    <t>T002152</t>
  </si>
  <si>
    <t>C0276</t>
  </si>
  <si>
    <t>Customer_276</t>
  </si>
  <si>
    <t>T002153</t>
  </si>
  <si>
    <t>T002154</t>
  </si>
  <si>
    <t>C0277</t>
  </si>
  <si>
    <t>Customer_277</t>
  </si>
  <si>
    <t>T002155</t>
  </si>
  <si>
    <t>T002156</t>
  </si>
  <si>
    <t>T002157</t>
  </si>
  <si>
    <t>T002158</t>
  </si>
  <si>
    <t>T002159</t>
  </si>
  <si>
    <t>T002160</t>
  </si>
  <si>
    <t>T002161</t>
  </si>
  <si>
    <t>T002162</t>
  </si>
  <si>
    <t>T002163</t>
  </si>
  <si>
    <t>T002164</t>
  </si>
  <si>
    <t>T002165</t>
  </si>
  <si>
    <t>T002166</t>
  </si>
  <si>
    <t>T002167</t>
  </si>
  <si>
    <t>C0278</t>
  </si>
  <si>
    <t>Customer_278</t>
  </si>
  <si>
    <t>T002168</t>
  </si>
  <si>
    <t>T002169</t>
  </si>
  <si>
    <t>T002170</t>
  </si>
  <si>
    <t>T002171</t>
  </si>
  <si>
    <t>T002172</t>
  </si>
  <si>
    <t>T002173</t>
  </si>
  <si>
    <t>T002174</t>
  </si>
  <si>
    <t>T002175</t>
  </si>
  <si>
    <t>T002176</t>
  </si>
  <si>
    <t>T002177</t>
  </si>
  <si>
    <t>T002178</t>
  </si>
  <si>
    <t>T002179</t>
  </si>
  <si>
    <t>C0279</t>
  </si>
  <si>
    <t>Customer_279</t>
  </si>
  <si>
    <t>T002180</t>
  </si>
  <si>
    <t>T002181</t>
  </si>
  <si>
    <t>T002182</t>
  </si>
  <si>
    <t>T002183</t>
  </si>
  <si>
    <t>C0280</t>
  </si>
  <si>
    <t>Customer_280</t>
  </si>
  <si>
    <t>T002184</t>
  </si>
  <si>
    <t>T002185</t>
  </si>
  <si>
    <t>T002186</t>
  </si>
  <si>
    <t>T002187</t>
  </si>
  <si>
    <t>T002188</t>
  </si>
  <si>
    <t>T002189</t>
  </si>
  <si>
    <t>T002190</t>
  </si>
  <si>
    <t>T002191</t>
  </si>
  <si>
    <t>T002192</t>
  </si>
  <si>
    <t>T002193</t>
  </si>
  <si>
    <t>T002194</t>
  </si>
  <si>
    <t>T002195</t>
  </si>
  <si>
    <t>T002196</t>
  </si>
  <si>
    <t>C0281</t>
  </si>
  <si>
    <t>Customer_281</t>
  </si>
  <si>
    <t>T002197</t>
  </si>
  <si>
    <t>T002198</t>
  </si>
  <si>
    <t>T002199</t>
  </si>
  <si>
    <t>T002200</t>
  </si>
  <si>
    <t>T002201</t>
  </si>
  <si>
    <t>T002202</t>
  </si>
  <si>
    <t>T002203</t>
  </si>
  <si>
    <t>T002204</t>
  </si>
  <si>
    <t>T002205</t>
  </si>
  <si>
    <t>T002206</t>
  </si>
  <si>
    <t>T002207</t>
  </si>
  <si>
    <t>C0282</t>
  </si>
  <si>
    <t>Customer_282</t>
  </si>
  <si>
    <t>T002208</t>
  </si>
  <si>
    <t>T002209</t>
  </si>
  <si>
    <t>T002210</t>
  </si>
  <si>
    <t>T002211</t>
  </si>
  <si>
    <t>T002212</t>
  </si>
  <si>
    <t>T002213</t>
  </si>
  <si>
    <t>T002214</t>
  </si>
  <si>
    <t>C0283</t>
  </si>
  <si>
    <t>Customer_283</t>
  </si>
  <si>
    <t>T002215</t>
  </si>
  <si>
    <t>T002216</t>
  </si>
  <si>
    <t>T002217</t>
  </si>
  <si>
    <t>T002218</t>
  </si>
  <si>
    <t>T002219</t>
  </si>
  <si>
    <t>T002220</t>
  </si>
  <si>
    <t>T002221</t>
  </si>
  <si>
    <t>T002222</t>
  </si>
  <si>
    <t>T002223</t>
  </si>
  <si>
    <t>C0284</t>
  </si>
  <si>
    <t>Customer_284</t>
  </si>
  <si>
    <t>T002224</t>
  </si>
  <si>
    <t>T002225</t>
  </si>
  <si>
    <t>T002226</t>
  </si>
  <si>
    <t>C0285</t>
  </si>
  <si>
    <t>Customer_285</t>
  </si>
  <si>
    <t>T002227</t>
  </si>
  <si>
    <t>T002228</t>
  </si>
  <si>
    <t>T002229</t>
  </si>
  <si>
    <t>T002230</t>
  </si>
  <si>
    <t>T002231</t>
  </si>
  <si>
    <t>C0286</t>
  </si>
  <si>
    <t>Customer_286</t>
  </si>
  <si>
    <t>T002232</t>
  </si>
  <si>
    <t>T002233</t>
  </si>
  <si>
    <t>T002234</t>
  </si>
  <si>
    <t>T002235</t>
  </si>
  <si>
    <t>T002236</t>
  </si>
  <si>
    <t>T002237</t>
  </si>
  <si>
    <t>T002238</t>
  </si>
  <si>
    <t>T002239</t>
  </si>
  <si>
    <t>T002240</t>
  </si>
  <si>
    <t>T002241</t>
  </si>
  <si>
    <t>T002242</t>
  </si>
  <si>
    <t>T002243</t>
  </si>
  <si>
    <t>T002244</t>
  </si>
  <si>
    <t>C0287</t>
  </si>
  <si>
    <t>Customer_287</t>
  </si>
  <si>
    <t>T002245</t>
  </si>
  <si>
    <t>T002246</t>
  </si>
  <si>
    <t>C0288</t>
  </si>
  <si>
    <t>Customer_288</t>
  </si>
  <si>
    <t>T002247</t>
  </si>
  <si>
    <t>T002248</t>
  </si>
  <si>
    <t>T002249</t>
  </si>
  <si>
    <t>T002250</t>
  </si>
  <si>
    <t>T002251</t>
  </si>
  <si>
    <t>C0289</t>
  </si>
  <si>
    <t>Customer_289</t>
  </si>
  <si>
    <t>T002252</t>
  </si>
  <si>
    <t>T002253</t>
  </si>
  <si>
    <t>T002254</t>
  </si>
  <si>
    <t>T002255</t>
  </si>
  <si>
    <t>T002256</t>
  </si>
  <si>
    <t>T002257</t>
  </si>
  <si>
    <t>T002258</t>
  </si>
  <si>
    <t>T002259</t>
  </si>
  <si>
    <t>T002260</t>
  </si>
  <si>
    <t>C0290</t>
  </si>
  <si>
    <t>Customer_290</t>
  </si>
  <si>
    <t>T002261</t>
  </si>
  <si>
    <t>T002262</t>
  </si>
  <si>
    <t>T002263</t>
  </si>
  <si>
    <t>T002264</t>
  </si>
  <si>
    <t>T002265</t>
  </si>
  <si>
    <t>T002266</t>
  </si>
  <si>
    <t>T002267</t>
  </si>
  <si>
    <t>T002268</t>
  </si>
  <si>
    <t>C0291</t>
  </si>
  <si>
    <t>Customer_291</t>
  </si>
  <si>
    <t>T002269</t>
  </si>
  <si>
    <t>T002270</t>
  </si>
  <si>
    <t>T002271</t>
  </si>
  <si>
    <t>T002272</t>
  </si>
  <si>
    <t>T002273</t>
  </si>
  <si>
    <t>T002274</t>
  </si>
  <si>
    <t>T002275</t>
  </si>
  <si>
    <t>T002276</t>
  </si>
  <si>
    <t>T002277</t>
  </si>
  <si>
    <t>T002278</t>
  </si>
  <si>
    <t>T002279</t>
  </si>
  <si>
    <t>T002280</t>
  </si>
  <si>
    <t>T002281</t>
  </si>
  <si>
    <t>C0292</t>
  </si>
  <si>
    <t>Customer_292</t>
  </si>
  <si>
    <t>T002282</t>
  </si>
  <si>
    <t>T002283</t>
  </si>
  <si>
    <t>T002284</t>
  </si>
  <si>
    <t>T002285</t>
  </si>
  <si>
    <t>T002286</t>
  </si>
  <si>
    <t>T002287</t>
  </si>
  <si>
    <t>T002288</t>
  </si>
  <si>
    <t>T002289</t>
  </si>
  <si>
    <t>T002290</t>
  </si>
  <si>
    <t>T002291</t>
  </si>
  <si>
    <t>C0293</t>
  </si>
  <si>
    <t>Customer_293</t>
  </si>
  <si>
    <t>T002292</t>
  </si>
  <si>
    <t>T002293</t>
  </si>
  <si>
    <t>T002294</t>
  </si>
  <si>
    <t>T002295</t>
  </si>
  <si>
    <t>T002296</t>
  </si>
  <si>
    <t>T002297</t>
  </si>
  <si>
    <t>T002298</t>
  </si>
  <si>
    <t>T002299</t>
  </si>
  <si>
    <t>T002300</t>
  </si>
  <si>
    <t>T002301</t>
  </si>
  <si>
    <t>T002302</t>
  </si>
  <si>
    <t>T002303</t>
  </si>
  <si>
    <t>T002304</t>
  </si>
  <si>
    <t>T002305</t>
  </si>
  <si>
    <t>C0294</t>
  </si>
  <si>
    <t>Customer_294</t>
  </si>
  <si>
    <t>T002306</t>
  </si>
  <si>
    <t>T002307</t>
  </si>
  <si>
    <t>T002308</t>
  </si>
  <si>
    <t>T002309</t>
  </si>
  <si>
    <t>T002310</t>
  </si>
  <si>
    <t>T002311</t>
  </si>
  <si>
    <t>T002312</t>
  </si>
  <si>
    <t>T002313</t>
  </si>
  <si>
    <t>T002314</t>
  </si>
  <si>
    <t>C0295</t>
  </si>
  <si>
    <t>Customer_295</t>
  </si>
  <si>
    <t>T002315</t>
  </si>
  <si>
    <t>T002316</t>
  </si>
  <si>
    <t>T002317</t>
  </si>
  <si>
    <t>T002318</t>
  </si>
  <si>
    <t>C0296</t>
  </si>
  <si>
    <t>Customer_296</t>
  </si>
  <si>
    <t>T002319</t>
  </si>
  <si>
    <t>T002320</t>
  </si>
  <si>
    <t>T002321</t>
  </si>
  <si>
    <t>T002322</t>
  </si>
  <si>
    <t>T002323</t>
  </si>
  <si>
    <t>T002324</t>
  </si>
  <si>
    <t>T002325</t>
  </si>
  <si>
    <t>T002326</t>
  </si>
  <si>
    <t>T002327</t>
  </si>
  <si>
    <t>C0297</t>
  </si>
  <si>
    <t>Customer_297</t>
  </si>
  <si>
    <t>T002328</t>
  </si>
  <si>
    <t>T002329</t>
  </si>
  <si>
    <t>T002330</t>
  </si>
  <si>
    <t>T002331</t>
  </si>
  <si>
    <t>T002332</t>
  </si>
  <si>
    <t>T002333</t>
  </si>
  <si>
    <t>T002334</t>
  </si>
  <si>
    <t>T002335</t>
  </si>
  <si>
    <t>T002336</t>
  </si>
  <si>
    <t>T002337</t>
  </si>
  <si>
    <t>C0298</t>
  </si>
  <si>
    <t>Customer_298</t>
  </si>
  <si>
    <t>T002338</t>
  </si>
  <si>
    <t>T002339</t>
  </si>
  <si>
    <t>T002340</t>
  </si>
  <si>
    <t>T002341</t>
  </si>
  <si>
    <t>T002342</t>
  </si>
  <si>
    <t>T002343</t>
  </si>
  <si>
    <t>T002344</t>
  </si>
  <si>
    <t>T002345</t>
  </si>
  <si>
    <t>T002346</t>
  </si>
  <si>
    <t>T002347</t>
  </si>
  <si>
    <t>T002348</t>
  </si>
  <si>
    <t>T002349</t>
  </si>
  <si>
    <t>T002350</t>
  </si>
  <si>
    <t>T002351</t>
  </si>
  <si>
    <t>T002352</t>
  </si>
  <si>
    <t>C0299</t>
  </si>
  <si>
    <t>Customer_299</t>
  </si>
  <si>
    <t>T002353</t>
  </si>
  <si>
    <t>T002354</t>
  </si>
  <si>
    <t>T002355</t>
  </si>
  <si>
    <t>T002356</t>
  </si>
  <si>
    <t>T002357</t>
  </si>
  <si>
    <t>T002358</t>
  </si>
  <si>
    <t>T002359</t>
  </si>
  <si>
    <t>T002360</t>
  </si>
  <si>
    <t>T002361</t>
  </si>
  <si>
    <t>T002362</t>
  </si>
  <si>
    <t>T002363</t>
  </si>
  <si>
    <t>C0300</t>
  </si>
  <si>
    <t>Customer_300</t>
  </si>
  <si>
    <t>T002364</t>
  </si>
  <si>
    <t>T002365</t>
  </si>
  <si>
    <t>T002366</t>
  </si>
  <si>
    <t>T002367</t>
  </si>
  <si>
    <t>T002368</t>
  </si>
  <si>
    <t>T002369</t>
  </si>
  <si>
    <t>T002370</t>
  </si>
  <si>
    <t>T002371</t>
  </si>
  <si>
    <t>C0301</t>
  </si>
  <si>
    <t>Customer_301</t>
  </si>
  <si>
    <t>T002372</t>
  </si>
  <si>
    <t>T002373</t>
  </si>
  <si>
    <t>T002374</t>
  </si>
  <si>
    <t>T002375</t>
  </si>
  <si>
    <t>T002376</t>
  </si>
  <si>
    <t>T002377</t>
  </si>
  <si>
    <t>T002378</t>
  </si>
  <si>
    <t>T002379</t>
  </si>
  <si>
    <t>C0302</t>
  </si>
  <si>
    <t>Customer_302</t>
  </si>
  <si>
    <t>T002380</t>
  </si>
  <si>
    <t>T002381</t>
  </si>
  <si>
    <t>T002382</t>
  </si>
  <si>
    <t>T002383</t>
  </si>
  <si>
    <t>T002384</t>
  </si>
  <si>
    <t>T002385</t>
  </si>
  <si>
    <t>T002386</t>
  </si>
  <si>
    <t>C0303</t>
  </si>
  <si>
    <t>Customer_303</t>
  </si>
  <si>
    <t>T002387</t>
  </si>
  <si>
    <t>T002388</t>
  </si>
  <si>
    <t>T002389</t>
  </si>
  <si>
    <t>T002390</t>
  </si>
  <si>
    <t>T002391</t>
  </si>
  <si>
    <t>T002392</t>
  </si>
  <si>
    <t>T002393</t>
  </si>
  <si>
    <t>T002394</t>
  </si>
  <si>
    <t>T002395</t>
  </si>
  <si>
    <t>T002396</t>
  </si>
  <si>
    <t>T002397</t>
  </si>
  <si>
    <t>T002398</t>
  </si>
  <si>
    <t>T002399</t>
  </si>
  <si>
    <t>T002400</t>
  </si>
  <si>
    <t>T002401</t>
  </si>
  <si>
    <t>C0304</t>
  </si>
  <si>
    <t>Customer_304</t>
  </si>
  <si>
    <t>T002402</t>
  </si>
  <si>
    <t>C0305</t>
  </si>
  <si>
    <t>Customer_305</t>
  </si>
  <si>
    <t>T002403</t>
  </si>
  <si>
    <t>T002404</t>
  </si>
  <si>
    <t>T002405</t>
  </si>
  <si>
    <t>T002406</t>
  </si>
  <si>
    <t>T002407</t>
  </si>
  <si>
    <t>T002408</t>
  </si>
  <si>
    <t>C0306</t>
  </si>
  <si>
    <t>Customer_306</t>
  </si>
  <si>
    <t>T002409</t>
  </si>
  <si>
    <t>T002410</t>
  </si>
  <si>
    <t>T002411</t>
  </si>
  <si>
    <t>T002412</t>
  </si>
  <si>
    <t>T002413</t>
  </si>
  <si>
    <t>C0307</t>
  </si>
  <si>
    <t>Customer_307</t>
  </si>
  <si>
    <t>T002414</t>
  </si>
  <si>
    <t>T002415</t>
  </si>
  <si>
    <t>T002416</t>
  </si>
  <si>
    <t>T002417</t>
  </si>
  <si>
    <t>T002418</t>
  </si>
  <si>
    <t>T002419</t>
  </si>
  <si>
    <t>T002420</t>
  </si>
  <si>
    <t>T002421</t>
  </si>
  <si>
    <t>T002422</t>
  </si>
  <si>
    <t>T002423</t>
  </si>
  <si>
    <t>T002424</t>
  </si>
  <si>
    <t>C0308</t>
  </si>
  <si>
    <t>Customer_308</t>
  </si>
  <si>
    <t>T002425</t>
  </si>
  <si>
    <t>T002426</t>
  </si>
  <si>
    <t>T002427</t>
  </si>
  <si>
    <t>T002428</t>
  </si>
  <si>
    <t>T002429</t>
  </si>
  <si>
    <t>T002430</t>
  </si>
  <si>
    <t>T002431</t>
  </si>
  <si>
    <t>C0309</t>
  </si>
  <si>
    <t>Customer_309</t>
  </si>
  <si>
    <t>T002432</t>
  </si>
  <si>
    <t>T002433</t>
  </si>
  <si>
    <t>T002434</t>
  </si>
  <si>
    <t>T002435</t>
  </si>
  <si>
    <t>C0310</t>
  </si>
  <si>
    <t>Customer_310</t>
  </si>
  <si>
    <t>T002436</t>
  </si>
  <si>
    <t>C0311</t>
  </si>
  <si>
    <t>Customer_311</t>
  </si>
  <si>
    <t>T002437</t>
  </si>
  <si>
    <t>T002438</t>
  </si>
  <si>
    <t>T002439</t>
  </si>
  <si>
    <t>T002440</t>
  </si>
  <si>
    <t>T002441</t>
  </si>
  <si>
    <t>T002442</t>
  </si>
  <si>
    <t>T002443</t>
  </si>
  <si>
    <t>T002444</t>
  </si>
  <si>
    <t>T002445</t>
  </si>
  <si>
    <t>T002446</t>
  </si>
  <si>
    <t>C0312</t>
  </si>
  <si>
    <t>Customer_312</t>
  </si>
  <si>
    <t>T002447</t>
  </si>
  <si>
    <t>T002448</t>
  </si>
  <si>
    <t>T002449</t>
  </si>
  <si>
    <t>T002450</t>
  </si>
  <si>
    <t>T002451</t>
  </si>
  <si>
    <t>T002452</t>
  </si>
  <si>
    <t>T002453</t>
  </si>
  <si>
    <t>T002454</t>
  </si>
  <si>
    <t>T002455</t>
  </si>
  <si>
    <t>T002456</t>
  </si>
  <si>
    <t>T002457</t>
  </si>
  <si>
    <t>T002458</t>
  </si>
  <si>
    <t>T002459</t>
  </si>
  <si>
    <t>T002460</t>
  </si>
  <si>
    <t>T002461</t>
  </si>
  <si>
    <t>C0313</t>
  </si>
  <si>
    <t>Customer_313</t>
  </si>
  <si>
    <t>T002462</t>
  </si>
  <si>
    <t>T002463</t>
  </si>
  <si>
    <t>T002464</t>
  </si>
  <si>
    <t>T002465</t>
  </si>
  <si>
    <t>T002466</t>
  </si>
  <si>
    <t>T002467</t>
  </si>
  <si>
    <t>T002468</t>
  </si>
  <si>
    <t>C0314</t>
  </si>
  <si>
    <t>Customer_314</t>
  </si>
  <si>
    <t>T002469</t>
  </si>
  <si>
    <t>C0315</t>
  </si>
  <si>
    <t>Customer_315</t>
  </si>
  <si>
    <t>T002470</t>
  </si>
  <si>
    <t>T002471</t>
  </si>
  <si>
    <t>T002472</t>
  </si>
  <si>
    <t>T002473</t>
  </si>
  <si>
    <t>T002474</t>
  </si>
  <si>
    <t>T002475</t>
  </si>
  <si>
    <t>T002476</t>
  </si>
  <si>
    <t>T002477</t>
  </si>
  <si>
    <t>C0316</t>
  </si>
  <si>
    <t>Customer_316</t>
  </si>
  <si>
    <t>T002478</t>
  </si>
  <si>
    <t>T002479</t>
  </si>
  <si>
    <t>T002480</t>
  </si>
  <si>
    <t>T002481</t>
  </si>
  <si>
    <t>T002482</t>
  </si>
  <si>
    <t>C0317</t>
  </si>
  <si>
    <t>Customer_317</t>
  </si>
  <si>
    <t>T002483</t>
  </si>
  <si>
    <t>T002484</t>
  </si>
  <si>
    <t>T002485</t>
  </si>
  <si>
    <t>C0318</t>
  </si>
  <si>
    <t>Customer_318</t>
  </si>
  <si>
    <t>T002486</t>
  </si>
  <si>
    <t>T002487</t>
  </si>
  <si>
    <t>T002488</t>
  </si>
  <si>
    <t>T002489</t>
  </si>
  <si>
    <t>T002490</t>
  </si>
  <si>
    <t>C0319</t>
  </si>
  <si>
    <t>Customer_319</t>
  </si>
  <si>
    <t>T002491</t>
  </si>
  <si>
    <t>T002492</t>
  </si>
  <si>
    <t>T002493</t>
  </si>
  <si>
    <t>T002494</t>
  </si>
  <si>
    <t>T002495</t>
  </si>
  <si>
    <t>T002496</t>
  </si>
  <si>
    <t>T002497</t>
  </si>
  <si>
    <t>T002498</t>
  </si>
  <si>
    <t>T002499</t>
  </si>
  <si>
    <t>T002500</t>
  </si>
  <si>
    <t>T002501</t>
  </si>
  <si>
    <t>T002502</t>
  </si>
  <si>
    <t>C0320</t>
  </si>
  <si>
    <t>Customer_320</t>
  </si>
  <si>
    <t>T002503</t>
  </si>
  <si>
    <t>T002504</t>
  </si>
  <si>
    <t>T002505</t>
  </si>
  <si>
    <t>T002506</t>
  </si>
  <si>
    <t>T002507</t>
  </si>
  <si>
    <t>T002508</t>
  </si>
  <si>
    <t>T002509</t>
  </si>
  <si>
    <t>T002510</t>
  </si>
  <si>
    <t>T002511</t>
  </si>
  <si>
    <t>T002512</t>
  </si>
  <si>
    <t>T002513</t>
  </si>
  <si>
    <t>C0321</t>
  </si>
  <si>
    <t>Customer_321</t>
  </si>
  <si>
    <t>T002514</t>
  </si>
  <si>
    <t>T002515</t>
  </si>
  <si>
    <t>T002516</t>
  </si>
  <si>
    <t>T002517</t>
  </si>
  <si>
    <t>T002518</t>
  </si>
  <si>
    <t>T002519</t>
  </si>
  <si>
    <t>T002520</t>
  </si>
  <si>
    <t>T002521</t>
  </si>
  <si>
    <t>C0322</t>
  </si>
  <si>
    <t>Customer_322</t>
  </si>
  <si>
    <t>T002522</t>
  </si>
  <si>
    <t>T002523</t>
  </si>
  <si>
    <t>T002524</t>
  </si>
  <si>
    <t>T002525</t>
  </si>
  <si>
    <t>T002526</t>
  </si>
  <si>
    <t>T002527</t>
  </si>
  <si>
    <t>T002528</t>
  </si>
  <si>
    <t>T002529</t>
  </si>
  <si>
    <t>T002530</t>
  </si>
  <si>
    <t>T002531</t>
  </si>
  <si>
    <t>T002532</t>
  </si>
  <si>
    <t>C0323</t>
  </si>
  <si>
    <t>Customer_323</t>
  </si>
  <si>
    <t>T002533</t>
  </si>
  <si>
    <t>T002534</t>
  </si>
  <si>
    <t>T002535</t>
  </si>
  <si>
    <t>T002536</t>
  </si>
  <si>
    <t>T002537</t>
  </si>
  <si>
    <t>T002538</t>
  </si>
  <si>
    <t>T002539</t>
  </si>
  <si>
    <t>T002540</t>
  </si>
  <si>
    <t>T002541</t>
  </si>
  <si>
    <t>T002542</t>
  </si>
  <si>
    <t>T002543</t>
  </si>
  <si>
    <t>T002544</t>
  </si>
  <si>
    <t>T002545</t>
  </si>
  <si>
    <t>T002546</t>
  </si>
  <si>
    <t>C0324</t>
  </si>
  <si>
    <t>Customer_324</t>
  </si>
  <si>
    <t>T002547</t>
  </si>
  <si>
    <t>T002548</t>
  </si>
  <si>
    <t>T002549</t>
  </si>
  <si>
    <t>T002550</t>
  </si>
  <si>
    <t>T002551</t>
  </si>
  <si>
    <t>T002552</t>
  </si>
  <si>
    <t>T002553</t>
  </si>
  <si>
    <t>T002554</t>
  </si>
  <si>
    <t>T002555</t>
  </si>
  <si>
    <t>T002556</t>
  </si>
  <si>
    <t>C0325</t>
  </si>
  <si>
    <t>Customer_325</t>
  </si>
  <si>
    <t>T002557</t>
  </si>
  <si>
    <t>T002558</t>
  </si>
  <si>
    <t>T002559</t>
  </si>
  <si>
    <t>T002560</t>
  </si>
  <si>
    <t>T002561</t>
  </si>
  <si>
    <t>C0326</t>
  </si>
  <si>
    <t>Customer_326</t>
  </si>
  <si>
    <t>T002562</t>
  </si>
  <si>
    <t>T002563</t>
  </si>
  <si>
    <t>T002564</t>
  </si>
  <si>
    <t>C0327</t>
  </si>
  <si>
    <t>Customer_327</t>
  </si>
  <si>
    <t>T002565</t>
  </si>
  <si>
    <t>T002566</t>
  </si>
  <si>
    <t>T002567</t>
  </si>
  <si>
    <t>T002568</t>
  </si>
  <si>
    <t>T002569</t>
  </si>
  <si>
    <t>T002570</t>
  </si>
  <si>
    <t>T002571</t>
  </si>
  <si>
    <t>T002572</t>
  </si>
  <si>
    <t>T002573</t>
  </si>
  <si>
    <t>T002574</t>
  </si>
  <si>
    <t>C0328</t>
  </si>
  <si>
    <t>Customer_328</t>
  </si>
  <si>
    <t>T002575</t>
  </si>
  <si>
    <t>T002576</t>
  </si>
  <si>
    <t>T002577</t>
  </si>
  <si>
    <t>T002578</t>
  </si>
  <si>
    <t>C0329</t>
  </si>
  <si>
    <t>Customer_329</t>
  </si>
  <si>
    <t>T002579</t>
  </si>
  <si>
    <t>T002580</t>
  </si>
  <si>
    <t>T002581</t>
  </si>
  <si>
    <t>T002582</t>
  </si>
  <si>
    <t>T002583</t>
  </si>
  <si>
    <t>T002584</t>
  </si>
  <si>
    <t>T002585</t>
  </si>
  <si>
    <t>T002586</t>
  </si>
  <si>
    <t>T002587</t>
  </si>
  <si>
    <t>T002588</t>
  </si>
  <si>
    <t>T002589</t>
  </si>
  <si>
    <t>C0330</t>
  </si>
  <si>
    <t>Customer_330</t>
  </si>
  <si>
    <t>T002590</t>
  </si>
  <si>
    <t>T002591</t>
  </si>
  <si>
    <t>T002592</t>
  </si>
  <si>
    <t>T002593</t>
  </si>
  <si>
    <t>C0331</t>
  </si>
  <si>
    <t>Customer_331</t>
  </si>
  <si>
    <t>T002594</t>
  </si>
  <si>
    <t>T002595</t>
  </si>
  <si>
    <t>T002596</t>
  </si>
  <si>
    <t>T002597</t>
  </si>
  <si>
    <t>T002598</t>
  </si>
  <si>
    <t>T002599</t>
  </si>
  <si>
    <t>T002600</t>
  </si>
  <si>
    <t>T002601</t>
  </si>
  <si>
    <t>T002602</t>
  </si>
  <si>
    <t>T002603</t>
  </si>
  <si>
    <t>T002604</t>
  </si>
  <si>
    <t>T002605</t>
  </si>
  <si>
    <t>T002606</t>
  </si>
  <si>
    <t>C0332</t>
  </si>
  <si>
    <t>Customer_332</t>
  </si>
  <si>
    <t>T002607</t>
  </si>
  <si>
    <t>T002608</t>
  </si>
  <si>
    <t>T002609</t>
  </si>
  <si>
    <t>T002610</t>
  </si>
  <si>
    <t>T002611</t>
  </si>
  <si>
    <t>T002612</t>
  </si>
  <si>
    <t>T002613</t>
  </si>
  <si>
    <t>T002614</t>
  </si>
  <si>
    <t>T002615</t>
  </si>
  <si>
    <t>T002616</t>
  </si>
  <si>
    <t>T002617</t>
  </si>
  <si>
    <t>T002618</t>
  </si>
  <si>
    <t>T002619</t>
  </si>
  <si>
    <t>C0333</t>
  </si>
  <si>
    <t>Customer_333</t>
  </si>
  <si>
    <t>T002620</t>
  </si>
  <si>
    <t>T002621</t>
  </si>
  <si>
    <t>T002622</t>
  </si>
  <si>
    <t>T002623</t>
  </si>
  <si>
    <t>T002624</t>
  </si>
  <si>
    <t>T002625</t>
  </si>
  <si>
    <t>T002626</t>
  </si>
  <si>
    <t>T002627</t>
  </si>
  <si>
    <t>T002628</t>
  </si>
  <si>
    <t>T002629</t>
  </si>
  <si>
    <t>T002630</t>
  </si>
  <si>
    <t>C0334</t>
  </si>
  <si>
    <t>Customer_334</t>
  </si>
  <si>
    <t>T002631</t>
  </si>
  <si>
    <t>T002632</t>
  </si>
  <si>
    <t>T002633</t>
  </si>
  <si>
    <t>T002634</t>
  </si>
  <si>
    <t>T002635</t>
  </si>
  <si>
    <t>T002636</t>
  </si>
  <si>
    <t>T002637</t>
  </si>
  <si>
    <t>T002638</t>
  </si>
  <si>
    <t>T002639</t>
  </si>
  <si>
    <t>C0335</t>
  </si>
  <si>
    <t>Customer_335</t>
  </si>
  <si>
    <t>T002640</t>
  </si>
  <si>
    <t>T002641</t>
  </si>
  <si>
    <t>C0336</t>
  </si>
  <si>
    <t>Customer_336</t>
  </si>
  <si>
    <t>T002642</t>
  </si>
  <si>
    <t>C0337</t>
  </si>
  <si>
    <t>Customer_337</t>
  </si>
  <si>
    <t>T002643</t>
  </si>
  <si>
    <t>T002644</t>
  </si>
  <si>
    <t>T002645</t>
  </si>
  <si>
    <t>T002646</t>
  </si>
  <si>
    <t>T002647</t>
  </si>
  <si>
    <t>T002648</t>
  </si>
  <si>
    <t>T002649</t>
  </si>
  <si>
    <t>T002650</t>
  </si>
  <si>
    <t>T002651</t>
  </si>
  <si>
    <t>T002652</t>
  </si>
  <si>
    <t>T002653</t>
  </si>
  <si>
    <t>T002654</t>
  </si>
  <si>
    <t>C0338</t>
  </si>
  <si>
    <t>Customer_338</t>
  </si>
  <si>
    <t>T002655</t>
  </si>
  <si>
    <t>T002656</t>
  </si>
  <si>
    <t>T002657</t>
  </si>
  <si>
    <t>T002658</t>
  </si>
  <si>
    <t>T002659</t>
  </si>
  <si>
    <t>T002660</t>
  </si>
  <si>
    <t>T002661</t>
  </si>
  <si>
    <t>T002662</t>
  </si>
  <si>
    <t>T002663</t>
  </si>
  <si>
    <t>T002664</t>
  </si>
  <si>
    <t>C0339</t>
  </si>
  <si>
    <t>Customer_339</t>
  </si>
  <si>
    <t>T002665</t>
  </si>
  <si>
    <t>T002666</t>
  </si>
  <si>
    <t>T002667</t>
  </si>
  <si>
    <t>T002668</t>
  </si>
  <si>
    <t>T002669</t>
  </si>
  <si>
    <t>C0340</t>
  </si>
  <si>
    <t>Customer_340</t>
  </si>
  <si>
    <t>T002670</t>
  </si>
  <si>
    <t>T002671</t>
  </si>
  <si>
    <t>T002672</t>
  </si>
  <si>
    <t>T002673</t>
  </si>
  <si>
    <t>C0341</t>
  </si>
  <si>
    <t>Customer_341</t>
  </si>
  <si>
    <t>T002674</t>
  </si>
  <si>
    <t>T002675</t>
  </si>
  <si>
    <t>T002676</t>
  </si>
  <si>
    <t>T002677</t>
  </si>
  <si>
    <t>T002678</t>
  </si>
  <si>
    <t>T002679</t>
  </si>
  <si>
    <t>T002680</t>
  </si>
  <si>
    <t>T002681</t>
  </si>
  <si>
    <t>T002682</t>
  </si>
  <si>
    <t>T002683</t>
  </si>
  <si>
    <t>T002684</t>
  </si>
  <si>
    <t>T002685</t>
  </si>
  <si>
    <t>T002686</t>
  </si>
  <si>
    <t>T002687</t>
  </si>
  <si>
    <t>T002688</t>
  </si>
  <si>
    <t>C0342</t>
  </si>
  <si>
    <t>Customer_342</t>
  </si>
  <si>
    <t>T002689</t>
  </si>
  <si>
    <t>T002690</t>
  </si>
  <si>
    <t>C0343</t>
  </si>
  <si>
    <t>Customer_343</t>
  </si>
  <si>
    <t>T002691</t>
  </si>
  <si>
    <t>T002692</t>
  </si>
  <si>
    <t>T002693</t>
  </si>
  <si>
    <t>T002694</t>
  </si>
  <si>
    <t>T002695</t>
  </si>
  <si>
    <t>T002696</t>
  </si>
  <si>
    <t>T002697</t>
  </si>
  <si>
    <t>T002698</t>
  </si>
  <si>
    <t>C0344</t>
  </si>
  <si>
    <t>Customer_344</t>
  </si>
  <si>
    <t>T002699</t>
  </si>
  <si>
    <t>T002700</t>
  </si>
  <si>
    <t>C0345</t>
  </si>
  <si>
    <t>Customer_345</t>
  </si>
  <si>
    <t>T002701</t>
  </si>
  <si>
    <t>T002702</t>
  </si>
  <si>
    <t>T002703</t>
  </si>
  <si>
    <t>T002704</t>
  </si>
  <si>
    <t>T002705</t>
  </si>
  <si>
    <t>T002706</t>
  </si>
  <si>
    <t>C0346</t>
  </si>
  <si>
    <t>Customer_346</t>
  </si>
  <si>
    <t>T002707</t>
  </si>
  <si>
    <t>T002708</t>
  </si>
  <si>
    <t>T002709</t>
  </si>
  <si>
    <t>T002710</t>
  </si>
  <si>
    <t>T002711</t>
  </si>
  <si>
    <t>C0347</t>
  </si>
  <si>
    <t>Customer_347</t>
  </si>
  <si>
    <t>T002712</t>
  </si>
  <si>
    <t>T002713</t>
  </si>
  <si>
    <t>T002714</t>
  </si>
  <si>
    <t>T002715</t>
  </si>
  <si>
    <t>T002716</t>
  </si>
  <si>
    <t>T002717</t>
  </si>
  <si>
    <t>T002718</t>
  </si>
  <si>
    <t>T002719</t>
  </si>
  <si>
    <t>T002720</t>
  </si>
  <si>
    <t>T002721</t>
  </si>
  <si>
    <t>T002722</t>
  </si>
  <si>
    <t>T002723</t>
  </si>
  <si>
    <t>T002724</t>
  </si>
  <si>
    <t>T002725</t>
  </si>
  <si>
    <t>T002726</t>
  </si>
  <si>
    <t>C0348</t>
  </si>
  <si>
    <t>Customer_348</t>
  </si>
  <si>
    <t>T002727</t>
  </si>
  <si>
    <t>T002728</t>
  </si>
  <si>
    <t>T002729</t>
  </si>
  <si>
    <t>T002730</t>
  </si>
  <si>
    <t>T002731</t>
  </si>
  <si>
    <t>T002732</t>
  </si>
  <si>
    <t>T002733</t>
  </si>
  <si>
    <t>C0349</t>
  </si>
  <si>
    <t>Customer_349</t>
  </si>
  <si>
    <t>T002734</t>
  </si>
  <si>
    <t>T002735</t>
  </si>
  <si>
    <t>T002736</t>
  </si>
  <si>
    <t>T002737</t>
  </si>
  <si>
    <t>T002738</t>
  </si>
  <si>
    <t>T002739</t>
  </si>
  <si>
    <t>T002740</t>
  </si>
  <si>
    <t>C0350</t>
  </si>
  <si>
    <t>Customer_350</t>
  </si>
  <si>
    <t>T002741</t>
  </si>
  <si>
    <t>T002742</t>
  </si>
  <si>
    <t>T002743</t>
  </si>
  <si>
    <t>T002744</t>
  </si>
  <si>
    <t>T002745</t>
  </si>
  <si>
    <t>T002746</t>
  </si>
  <si>
    <t>T002747</t>
  </si>
  <si>
    <t>T002748</t>
  </si>
  <si>
    <t>T002749</t>
  </si>
  <si>
    <t>T002750</t>
  </si>
  <si>
    <t>T002751</t>
  </si>
  <si>
    <t>T002752</t>
  </si>
  <si>
    <t>T002753</t>
  </si>
  <si>
    <t>T002754</t>
  </si>
  <si>
    <t>C0351</t>
  </si>
  <si>
    <t>Customer_351</t>
  </si>
  <si>
    <t>T002755</t>
  </si>
  <si>
    <t>T002756</t>
  </si>
  <si>
    <t>T002757</t>
  </si>
  <si>
    <t>T002758</t>
  </si>
  <si>
    <t>T002759</t>
  </si>
  <si>
    <t>T002760</t>
  </si>
  <si>
    <t>T002761</t>
  </si>
  <si>
    <t>T002762</t>
  </si>
  <si>
    <t>C0352</t>
  </si>
  <si>
    <t>Customer_352</t>
  </si>
  <si>
    <t>T002763</t>
  </si>
  <si>
    <t>T002764</t>
  </si>
  <si>
    <t>T002765</t>
  </si>
  <si>
    <t>T002766</t>
  </si>
  <si>
    <t>T002767</t>
  </si>
  <si>
    <t>T002768</t>
  </si>
  <si>
    <t>T002769</t>
  </si>
  <si>
    <t>T002770</t>
  </si>
  <si>
    <t>T002771</t>
  </si>
  <si>
    <t>T002772</t>
  </si>
  <si>
    <t>C0353</t>
  </si>
  <si>
    <t>Customer_353</t>
  </si>
  <si>
    <t>T002773</t>
  </si>
  <si>
    <t>T002774</t>
  </si>
  <si>
    <t>T002775</t>
  </si>
  <si>
    <t>T002776</t>
  </si>
  <si>
    <t>T002777</t>
  </si>
  <si>
    <t>T002778</t>
  </si>
  <si>
    <t>T002779</t>
  </si>
  <si>
    <t>T002780</t>
  </si>
  <si>
    <t>T002781</t>
  </si>
  <si>
    <t>T002782</t>
  </si>
  <si>
    <t>T002783</t>
  </si>
  <si>
    <t>T002784</t>
  </si>
  <si>
    <t>T002785</t>
  </si>
  <si>
    <t>C0354</t>
  </si>
  <si>
    <t>Customer_354</t>
  </si>
  <si>
    <t>T002786</t>
  </si>
  <si>
    <t>T002787</t>
  </si>
  <si>
    <t>T002788</t>
  </si>
  <si>
    <t>T002789</t>
  </si>
  <si>
    <t>T002790</t>
  </si>
  <si>
    <t>T002791</t>
  </si>
  <si>
    <t>T002792</t>
  </si>
  <si>
    <t>T002793</t>
  </si>
  <si>
    <t>T002794</t>
  </si>
  <si>
    <t>T002795</t>
  </si>
  <si>
    <t>T002796</t>
  </si>
  <si>
    <t>T002797</t>
  </si>
  <si>
    <t>T002798</t>
  </si>
  <si>
    <t>T002799</t>
  </si>
  <si>
    <t>C0355</t>
  </si>
  <si>
    <t>Customer_355</t>
  </si>
  <si>
    <t>T002800</t>
  </si>
  <si>
    <t>T002801</t>
  </si>
  <si>
    <t>T002802</t>
  </si>
  <si>
    <t>T002803</t>
  </si>
  <si>
    <t>C0356</t>
  </si>
  <si>
    <t>Customer_356</t>
  </si>
  <si>
    <t>T002804</t>
  </si>
  <si>
    <t>T002805</t>
  </si>
  <si>
    <t>T002806</t>
  </si>
  <si>
    <t>T002807</t>
  </si>
  <si>
    <t>T002808</t>
  </si>
  <si>
    <t>T002809</t>
  </si>
  <si>
    <t>C0357</t>
  </si>
  <si>
    <t>Customer_357</t>
  </si>
  <si>
    <t>T002810</t>
  </si>
  <si>
    <t>T002811</t>
  </si>
  <si>
    <t>T002812</t>
  </si>
  <si>
    <t>T002813</t>
  </si>
  <si>
    <t>T002814</t>
  </si>
  <si>
    <t>C0358</t>
  </si>
  <si>
    <t>Customer_358</t>
  </si>
  <si>
    <t>T002815</t>
  </si>
  <si>
    <t>T002816</t>
  </si>
  <si>
    <t>T002817</t>
  </si>
  <si>
    <t>T002818</t>
  </si>
  <si>
    <t>T002819</t>
  </si>
  <si>
    <t>T002820</t>
  </si>
  <si>
    <t>C0359</t>
  </si>
  <si>
    <t>Customer_359</t>
  </si>
  <si>
    <t>T002821</t>
  </si>
  <si>
    <t>T002822</t>
  </si>
  <si>
    <t>T002823</t>
  </si>
  <si>
    <t>T002824</t>
  </si>
  <si>
    <t>T002825</t>
  </si>
  <si>
    <t>T002826</t>
  </si>
  <si>
    <t>T002827</t>
  </si>
  <si>
    <t>T002828</t>
  </si>
  <si>
    <t>T002829</t>
  </si>
  <si>
    <t>T002830</t>
  </si>
  <si>
    <t>T002831</t>
  </si>
  <si>
    <t>T002832</t>
  </si>
  <si>
    <t>T002833</t>
  </si>
  <si>
    <t>C0360</t>
  </si>
  <si>
    <t>Customer_360</t>
  </si>
  <si>
    <t>T002834</t>
  </si>
  <si>
    <t>T002835</t>
  </si>
  <si>
    <t>T002836</t>
  </si>
  <si>
    <t>T002837</t>
  </si>
  <si>
    <t>T002838</t>
  </si>
  <si>
    <t>T002839</t>
  </si>
  <si>
    <t>C0361</t>
  </si>
  <si>
    <t>Customer_361</t>
  </si>
  <si>
    <t>T002840</t>
  </si>
  <si>
    <t>T002841</t>
  </si>
  <si>
    <t>T002842</t>
  </si>
  <si>
    <t>T002843</t>
  </si>
  <si>
    <t>T002844</t>
  </si>
  <si>
    <t>T002845</t>
  </si>
  <si>
    <t>T002846</t>
  </si>
  <si>
    <t>T002847</t>
  </si>
  <si>
    <t>T002848</t>
  </si>
  <si>
    <t>T002849</t>
  </si>
  <si>
    <t>C0362</t>
  </si>
  <si>
    <t>Customer_362</t>
  </si>
  <si>
    <t>T002850</t>
  </si>
  <si>
    <t>T002851</t>
  </si>
  <si>
    <t>T002852</t>
  </si>
  <si>
    <t>T002853</t>
  </si>
  <si>
    <t>T002854</t>
  </si>
  <si>
    <t>T002855</t>
  </si>
  <si>
    <t>T002856</t>
  </si>
  <si>
    <t>C0363</t>
  </si>
  <si>
    <t>Customer_363</t>
  </si>
  <si>
    <t>T002857</t>
  </si>
  <si>
    <t>T002858</t>
  </si>
  <si>
    <t>T002859</t>
  </si>
  <si>
    <t>C0364</t>
  </si>
  <si>
    <t>Customer_364</t>
  </si>
  <si>
    <t>T002860</t>
  </si>
  <si>
    <t>T002861</t>
  </si>
  <si>
    <t>T002862</t>
  </si>
  <si>
    <t>T002863</t>
  </si>
  <si>
    <t>T002864</t>
  </si>
  <si>
    <t>T002865</t>
  </si>
  <si>
    <t>T002866</t>
  </si>
  <si>
    <t>T002867</t>
  </si>
  <si>
    <t>C0365</t>
  </si>
  <si>
    <t>Customer_365</t>
  </si>
  <si>
    <t>T002868</t>
  </si>
  <si>
    <t>T002869</t>
  </si>
  <si>
    <t>T002870</t>
  </si>
  <si>
    <t>T002871</t>
  </si>
  <si>
    <t>T002872</t>
  </si>
  <si>
    <t>T002873</t>
  </si>
  <si>
    <t>T002874</t>
  </si>
  <si>
    <t>T002875</t>
  </si>
  <si>
    <t>T002876</t>
  </si>
  <si>
    <t>T002877</t>
  </si>
  <si>
    <t>T002878</t>
  </si>
  <si>
    <t>T002879</t>
  </si>
  <si>
    <t>T002880</t>
  </si>
  <si>
    <t>T002881</t>
  </si>
  <si>
    <t>C0366</t>
  </si>
  <si>
    <t>Customer_366</t>
  </si>
  <si>
    <t>T002882</t>
  </si>
  <si>
    <t>T002883</t>
  </si>
  <si>
    <t>T002884</t>
  </si>
  <si>
    <t>T002885</t>
  </si>
  <si>
    <t>T002886</t>
  </si>
  <si>
    <t>T002887</t>
  </si>
  <si>
    <t>T002888</t>
  </si>
  <si>
    <t>T002889</t>
  </si>
  <si>
    <t>C0367</t>
  </si>
  <si>
    <t>Customer_367</t>
  </si>
  <si>
    <t>T002890</t>
  </si>
  <si>
    <t>T002891</t>
  </si>
  <si>
    <t>T002892</t>
  </si>
  <si>
    <t>T002893</t>
  </si>
  <si>
    <t>T002894</t>
  </si>
  <si>
    <t>T002895</t>
  </si>
  <si>
    <t>T002896</t>
  </si>
  <si>
    <t>T002897</t>
  </si>
  <si>
    <t>C0368</t>
  </si>
  <si>
    <t>Customer_368</t>
  </si>
  <si>
    <t>T002898</t>
  </si>
  <si>
    <t>T002899</t>
  </si>
  <si>
    <t>T002900</t>
  </si>
  <si>
    <t>C0369</t>
  </si>
  <si>
    <t>Customer_369</t>
  </si>
  <si>
    <t>T002901</t>
  </si>
  <si>
    <t>T002902</t>
  </si>
  <si>
    <t>T002903</t>
  </si>
  <si>
    <t>T002904</t>
  </si>
  <si>
    <t>C0370</t>
  </si>
  <si>
    <t>Customer_370</t>
  </si>
  <si>
    <t>T002905</t>
  </si>
  <si>
    <t>C0371</t>
  </si>
  <si>
    <t>Customer_371</t>
  </si>
  <si>
    <t>T002906</t>
  </si>
  <si>
    <t>T002907</t>
  </si>
  <si>
    <t>T002908</t>
  </si>
  <si>
    <t>T002909</t>
  </si>
  <si>
    <t>T002910</t>
  </si>
  <si>
    <t>T002911</t>
  </si>
  <si>
    <t>T002912</t>
  </si>
  <si>
    <t>C0372</t>
  </si>
  <si>
    <t>Customer_372</t>
  </si>
  <si>
    <t>T002913</t>
  </si>
  <si>
    <t>C0373</t>
  </si>
  <si>
    <t>Customer_373</t>
  </si>
  <si>
    <t>T002914</t>
  </si>
  <si>
    <t>T002915</t>
  </si>
  <si>
    <t>T002916</t>
  </si>
  <si>
    <t>T002917</t>
  </si>
  <si>
    <t>T002918</t>
  </si>
  <si>
    <t>T002919</t>
  </si>
  <si>
    <t>T002920</t>
  </si>
  <si>
    <t>T002921</t>
  </si>
  <si>
    <t>T002922</t>
  </si>
  <si>
    <t>T002923</t>
  </si>
  <si>
    <t>T002924</t>
  </si>
  <si>
    <t>T002925</t>
  </si>
  <si>
    <t>T002926</t>
  </si>
  <si>
    <t>T002927</t>
  </si>
  <si>
    <t>T002928</t>
  </si>
  <si>
    <t>C0374</t>
  </si>
  <si>
    <t>Customer_374</t>
  </si>
  <si>
    <t>T002929</t>
  </si>
  <si>
    <t>T002930</t>
  </si>
  <si>
    <t>T002931</t>
  </si>
  <si>
    <t>T002932</t>
  </si>
  <si>
    <t>T002933</t>
  </si>
  <si>
    <t>T002934</t>
  </si>
  <si>
    <t>T002935</t>
  </si>
  <si>
    <t>T002936</t>
  </si>
  <si>
    <t>T002937</t>
  </si>
  <si>
    <t>T002938</t>
  </si>
  <si>
    <t>T002939</t>
  </si>
  <si>
    <t>T002940</t>
  </si>
  <si>
    <t>T002941</t>
  </si>
  <si>
    <t>T002942</t>
  </si>
  <si>
    <t>C0375</t>
  </si>
  <si>
    <t>Customer_375</t>
  </si>
  <si>
    <t>T002943</t>
  </si>
  <si>
    <t>C0376</t>
  </si>
  <si>
    <t>Customer_376</t>
  </si>
  <si>
    <t>T002944</t>
  </si>
  <si>
    <t>T002945</t>
  </si>
  <si>
    <t>T002946</t>
  </si>
  <si>
    <t>T002947</t>
  </si>
  <si>
    <t>T002948</t>
  </si>
  <si>
    <t>T002949</t>
  </si>
  <si>
    <t>C0377</t>
  </si>
  <si>
    <t>Customer_377</t>
  </si>
  <si>
    <t>T002950</t>
  </si>
  <si>
    <t>T002951</t>
  </si>
  <si>
    <t>T002952</t>
  </si>
  <si>
    <t>T002953</t>
  </si>
  <si>
    <t>T002954</t>
  </si>
  <si>
    <t>T002955</t>
  </si>
  <si>
    <t>T002956</t>
  </si>
  <si>
    <t>T002957</t>
  </si>
  <si>
    <t>T002958</t>
  </si>
  <si>
    <t>T002959</t>
  </si>
  <si>
    <t>T002960</t>
  </si>
  <si>
    <t>T002961</t>
  </si>
  <si>
    <t>T002962</t>
  </si>
  <si>
    <t>T002963</t>
  </si>
  <si>
    <t>T002964</t>
  </si>
  <si>
    <t>C0378</t>
  </si>
  <si>
    <t>Customer_378</t>
  </si>
  <si>
    <t>T002965</t>
  </si>
  <si>
    <t>T002966</t>
  </si>
  <si>
    <t>T002967</t>
  </si>
  <si>
    <t>T002968</t>
  </si>
  <si>
    <t>T002969</t>
  </si>
  <si>
    <t>C0379</t>
  </si>
  <si>
    <t>Customer_379</t>
  </si>
  <si>
    <t>T002970</t>
  </si>
  <si>
    <t>T002971</t>
  </si>
  <si>
    <t>C0380</t>
  </si>
  <si>
    <t>Customer_380</t>
  </si>
  <si>
    <t>T002972</t>
  </si>
  <si>
    <t>T002973</t>
  </si>
  <si>
    <t>T002974</t>
  </si>
  <si>
    <t>T002975</t>
  </si>
  <si>
    <t>T002976</t>
  </si>
  <si>
    <t>T002977</t>
  </si>
  <si>
    <t>T002978</t>
  </si>
  <si>
    <t>T002979</t>
  </si>
  <si>
    <t>C0381</t>
  </si>
  <si>
    <t>Customer_381</t>
  </si>
  <si>
    <t>T002980</t>
  </si>
  <si>
    <t>T002981</t>
  </si>
  <si>
    <t>T002982</t>
  </si>
  <si>
    <t>T002983</t>
  </si>
  <si>
    <t>T002984</t>
  </si>
  <si>
    <t>T002985</t>
  </si>
  <si>
    <t>T002986</t>
  </si>
  <si>
    <t>T002987</t>
  </si>
  <si>
    <t>C0382</t>
  </si>
  <si>
    <t>Customer_382</t>
  </si>
  <si>
    <t>T002988</t>
  </si>
  <si>
    <t>T002989</t>
  </si>
  <si>
    <t>T002990</t>
  </si>
  <si>
    <t>C0383</t>
  </si>
  <si>
    <t>Customer_383</t>
  </si>
  <si>
    <t>T002991</t>
  </si>
  <si>
    <t>T002992</t>
  </si>
  <si>
    <t>T002993</t>
  </si>
  <si>
    <t>T002994</t>
  </si>
  <si>
    <t>T002995</t>
  </si>
  <si>
    <t>T002996</t>
  </si>
  <si>
    <t>T002997</t>
  </si>
  <si>
    <t>T002998</t>
  </si>
  <si>
    <t>T002999</t>
  </si>
  <si>
    <t>T003000</t>
  </si>
  <si>
    <t>T003001</t>
  </si>
  <si>
    <t>C0384</t>
  </si>
  <si>
    <t>Customer_384</t>
  </si>
  <si>
    <t>T003002</t>
  </si>
  <si>
    <t>T003003</t>
  </si>
  <si>
    <t>T003004</t>
  </si>
  <si>
    <t>C0385</t>
  </si>
  <si>
    <t>Customer_385</t>
  </si>
  <si>
    <t>T003005</t>
  </si>
  <si>
    <t>T003006</t>
  </si>
  <si>
    <t>T003007</t>
  </si>
  <si>
    <t>T003008</t>
  </si>
  <si>
    <t>T003009</t>
  </si>
  <si>
    <t>T003010</t>
  </si>
  <si>
    <t>T003011</t>
  </si>
  <si>
    <t>T003012</t>
  </si>
  <si>
    <t>T003013</t>
  </si>
  <si>
    <t>T003014</t>
  </si>
  <si>
    <t>T003015</t>
  </si>
  <si>
    <t>T003016</t>
  </si>
  <si>
    <t>T003017</t>
  </si>
  <si>
    <t>T003018</t>
  </si>
  <si>
    <t>C0386</t>
  </si>
  <si>
    <t>Customer_386</t>
  </si>
  <si>
    <t>T003019</t>
  </si>
  <si>
    <t>T003020</t>
  </si>
  <si>
    <t>T003021</t>
  </si>
  <si>
    <t>T003022</t>
  </si>
  <si>
    <t>T003023</t>
  </si>
  <si>
    <t>T003024</t>
  </si>
  <si>
    <t>T003025</t>
  </si>
  <si>
    <t>T003026</t>
  </si>
  <si>
    <t>T003027</t>
  </si>
  <si>
    <t>T003028</t>
  </si>
  <si>
    <t>C0387</t>
  </si>
  <si>
    <t>Customer_387</t>
  </si>
  <si>
    <t>T003029</t>
  </si>
  <si>
    <t>T003030</t>
  </si>
  <si>
    <t>T003031</t>
  </si>
  <si>
    <t>T003032</t>
  </si>
  <si>
    <t>T003033</t>
  </si>
  <si>
    <t>C0388</t>
  </si>
  <si>
    <t>Customer_388</t>
  </si>
  <si>
    <t>T003034</t>
  </si>
  <si>
    <t>T003035</t>
  </si>
  <si>
    <t>T003036</t>
  </si>
  <si>
    <t>T003037</t>
  </si>
  <si>
    <t>T003038</t>
  </si>
  <si>
    <t>T003039</t>
  </si>
  <si>
    <t>T003040</t>
  </si>
  <si>
    <t>T003041</t>
  </si>
  <si>
    <t>T003042</t>
  </si>
  <si>
    <t>T003043</t>
  </si>
  <si>
    <t>T003044</t>
  </si>
  <si>
    <t>C0389</t>
  </si>
  <si>
    <t>Customer_389</t>
  </si>
  <si>
    <t>T003045</t>
  </si>
  <si>
    <t>T003046</t>
  </si>
  <si>
    <t>T003047</t>
  </si>
  <si>
    <t>T003048</t>
  </si>
  <si>
    <t>T003049</t>
  </si>
  <si>
    <t>T003050</t>
  </si>
  <si>
    <t>T003051</t>
  </si>
  <si>
    <t>T003052</t>
  </si>
  <si>
    <t>T003053</t>
  </si>
  <si>
    <t>T003054</t>
  </si>
  <si>
    <t>T003055</t>
  </si>
  <si>
    <t>T003056</t>
  </si>
  <si>
    <t>C0390</t>
  </si>
  <si>
    <t>Customer_390</t>
  </si>
  <si>
    <t>T003057</t>
  </si>
  <si>
    <t>T003058</t>
  </si>
  <si>
    <t>C0391</t>
  </si>
  <si>
    <t>Customer_391</t>
  </si>
  <si>
    <t>T003059</t>
  </si>
  <si>
    <t>T003060</t>
  </si>
  <si>
    <t>T003061</t>
  </si>
  <si>
    <t>T003062</t>
  </si>
  <si>
    <t>T003063</t>
  </si>
  <si>
    <t>T003064</t>
  </si>
  <si>
    <t>T003065</t>
  </si>
  <si>
    <t>T003066</t>
  </si>
  <si>
    <t>T003067</t>
  </si>
  <si>
    <t>T003068</t>
  </si>
  <si>
    <t>T003069</t>
  </si>
  <si>
    <t>C0392</t>
  </si>
  <si>
    <t>Customer_392</t>
  </si>
  <si>
    <t>T003070</t>
  </si>
  <si>
    <t>T003071</t>
  </si>
  <si>
    <t>T003072</t>
  </si>
  <si>
    <t>C0393</t>
  </si>
  <si>
    <t>Customer_393</t>
  </si>
  <si>
    <t>T003073</t>
  </si>
  <si>
    <t>T003074</t>
  </si>
  <si>
    <t>T003075</t>
  </si>
  <si>
    <t>T003076</t>
  </si>
  <si>
    <t>T003077</t>
  </si>
  <si>
    <t>T003078</t>
  </si>
  <si>
    <t>T003079</t>
  </si>
  <si>
    <t>T003080</t>
  </si>
  <si>
    <t>T003081</t>
  </si>
  <si>
    <t>T003082</t>
  </si>
  <si>
    <t>C0394</t>
  </si>
  <si>
    <t>Customer_394</t>
  </si>
  <si>
    <t>T003083</t>
  </si>
  <si>
    <t>T003084</t>
  </si>
  <si>
    <t>T003085</t>
  </si>
  <si>
    <t>T003086</t>
  </si>
  <si>
    <t>T003087</t>
  </si>
  <si>
    <t>T003088</t>
  </si>
  <si>
    <t>C0395</t>
  </si>
  <si>
    <t>Customer_395</t>
  </si>
  <si>
    <t>T003089</t>
  </si>
  <si>
    <t>T003090</t>
  </si>
  <si>
    <t>T003091</t>
  </si>
  <si>
    <t>T003092</t>
  </si>
  <si>
    <t>T003093</t>
  </si>
  <si>
    <t>T003094</t>
  </si>
  <si>
    <t>C0396</t>
  </si>
  <si>
    <t>Customer_396</t>
  </si>
  <si>
    <t>T003095</t>
  </si>
  <si>
    <t>C0397</t>
  </si>
  <si>
    <t>Customer_397</t>
  </si>
  <si>
    <t>T003096</t>
  </si>
  <si>
    <t>T003097</t>
  </si>
  <si>
    <t>T003098</t>
  </si>
  <si>
    <t>T003099</t>
  </si>
  <si>
    <t>C0398</t>
  </si>
  <si>
    <t>Customer_398</t>
  </si>
  <si>
    <t>T003100</t>
  </si>
  <si>
    <t>T003101</t>
  </si>
  <si>
    <t>T003102</t>
  </si>
  <si>
    <t>T003103</t>
  </si>
  <si>
    <t>T003104</t>
  </si>
  <si>
    <t>T003105</t>
  </si>
  <si>
    <t>T003106</t>
  </si>
  <si>
    <t>T003107</t>
  </si>
  <si>
    <t>T003108</t>
  </si>
  <si>
    <t>T003109</t>
  </si>
  <si>
    <t>T003110</t>
  </si>
  <si>
    <t>C0399</t>
  </si>
  <si>
    <t>Customer_399</t>
  </si>
  <si>
    <t>T003111</t>
  </si>
  <si>
    <t>T003112</t>
  </si>
  <si>
    <t>T003113</t>
  </si>
  <si>
    <t>T003114</t>
  </si>
  <si>
    <t>T003115</t>
  </si>
  <si>
    <t>T003116</t>
  </si>
  <si>
    <t>T003117</t>
  </si>
  <si>
    <t>C0400</t>
  </si>
  <si>
    <t>Customer_400</t>
  </si>
  <si>
    <t>T003118</t>
  </si>
  <si>
    <t>T003119</t>
  </si>
  <si>
    <t>T003120</t>
  </si>
  <si>
    <t>T003121</t>
  </si>
  <si>
    <t>T003122</t>
  </si>
  <si>
    <t>T003123</t>
  </si>
  <si>
    <t>T003124</t>
  </si>
  <si>
    <t>T003125</t>
  </si>
  <si>
    <t>T003126</t>
  </si>
  <si>
    <t>T003127</t>
  </si>
  <si>
    <t>T003128</t>
  </si>
  <si>
    <t>T003129</t>
  </si>
  <si>
    <t>C0401</t>
  </si>
  <si>
    <t>Customer_401</t>
  </si>
  <si>
    <t>T003130</t>
  </si>
  <si>
    <t>T003131</t>
  </si>
  <si>
    <t>T003132</t>
  </si>
  <si>
    <t>T003133</t>
  </si>
  <si>
    <t>C0402</t>
  </si>
  <si>
    <t>Customer_402</t>
  </si>
  <si>
    <t>T003134</t>
  </si>
  <si>
    <t>T003135</t>
  </si>
  <si>
    <t>T003136</t>
  </si>
  <si>
    <t>T003137</t>
  </si>
  <si>
    <t>T003138</t>
  </si>
  <si>
    <t>T003139</t>
  </si>
  <si>
    <t>T003140</t>
  </si>
  <si>
    <t>T003141</t>
  </si>
  <si>
    <t>T003142</t>
  </si>
  <si>
    <t>T003143</t>
  </si>
  <si>
    <t>T003144</t>
  </si>
  <si>
    <t>T003145</t>
  </si>
  <si>
    <t>C0403</t>
  </si>
  <si>
    <t>Customer_403</t>
  </si>
  <si>
    <t>T003146</t>
  </si>
  <si>
    <t>C0404</t>
  </si>
  <si>
    <t>Customer_404</t>
  </si>
  <si>
    <t>T003147</t>
  </si>
  <si>
    <t>T003148</t>
  </si>
  <si>
    <t>C0405</t>
  </si>
  <si>
    <t>Customer_405</t>
  </si>
  <si>
    <t>T003149</t>
  </si>
  <si>
    <t>T003150</t>
  </si>
  <si>
    <t>T003151</t>
  </si>
  <si>
    <t>T003152</t>
  </si>
  <si>
    <t>T003153</t>
  </si>
  <si>
    <t>T003154</t>
  </si>
  <si>
    <t>T003155</t>
  </si>
  <si>
    <t>T003156</t>
  </si>
  <si>
    <t>T003157</t>
  </si>
  <si>
    <t>T003158</t>
  </si>
  <si>
    <t>T003159</t>
  </si>
  <si>
    <t>T003160</t>
  </si>
  <si>
    <t>T003161</t>
  </si>
  <si>
    <t>T003162</t>
  </si>
  <si>
    <t>T003163</t>
  </si>
  <si>
    <t>C0406</t>
  </si>
  <si>
    <t>Customer_406</t>
  </si>
  <si>
    <t>T003164</t>
  </si>
  <si>
    <t>T003165</t>
  </si>
  <si>
    <t>T003166</t>
  </si>
  <si>
    <t>T003167</t>
  </si>
  <si>
    <t>T003168</t>
  </si>
  <si>
    <t>T003169</t>
  </si>
  <si>
    <t>T003170</t>
  </si>
  <si>
    <t>T003171</t>
  </si>
  <si>
    <t>T003172</t>
  </si>
  <si>
    <t>T003173</t>
  </si>
  <si>
    <t>T003174</t>
  </si>
  <si>
    <t>T003175</t>
  </si>
  <si>
    <t>T003176</t>
  </si>
  <si>
    <t>C0407</t>
  </si>
  <si>
    <t>Customer_407</t>
  </si>
  <si>
    <t>T003177</t>
  </si>
  <si>
    <t>T003178</t>
  </si>
  <si>
    <t>T003179</t>
  </si>
  <si>
    <t>T003180</t>
  </si>
  <si>
    <t>T003181</t>
  </si>
  <si>
    <t>T003182</t>
  </si>
  <si>
    <t>T003183</t>
  </si>
  <si>
    <t>T003184</t>
  </si>
  <si>
    <t>T003185</t>
  </si>
  <si>
    <t>T003186</t>
  </si>
  <si>
    <t>T003187</t>
  </si>
  <si>
    <t>T003188</t>
  </si>
  <si>
    <t>T003189</t>
  </si>
  <si>
    <t>T003190</t>
  </si>
  <si>
    <t>C0408</t>
  </si>
  <si>
    <t>Customer_408</t>
  </si>
  <si>
    <t>T003191</t>
  </si>
  <si>
    <t>T003192</t>
  </si>
  <si>
    <t>T003193</t>
  </si>
  <si>
    <t>T003194</t>
  </si>
  <si>
    <t>T003195</t>
  </si>
  <si>
    <t>T003196</t>
  </si>
  <si>
    <t>T003197</t>
  </si>
  <si>
    <t>T003198</t>
  </si>
  <si>
    <t>T003199</t>
  </si>
  <si>
    <t>T003200</t>
  </si>
  <si>
    <t>T003201</t>
  </si>
  <si>
    <t>T003202</t>
  </si>
  <si>
    <t>T003203</t>
  </si>
  <si>
    <t>T003204</t>
  </si>
  <si>
    <t>T003205</t>
  </si>
  <si>
    <t>C0409</t>
  </si>
  <si>
    <t>Customer_409</t>
  </si>
  <si>
    <t>T003206</t>
  </si>
  <si>
    <t>T003207</t>
  </si>
  <si>
    <t>T003208</t>
  </si>
  <si>
    <t>T003209</t>
  </si>
  <si>
    <t>T003210</t>
  </si>
  <si>
    <t>T003211</t>
  </si>
  <si>
    <t>T003212</t>
  </si>
  <si>
    <t>T003213</t>
  </si>
  <si>
    <t>T003214</t>
  </si>
  <si>
    <t>T003215</t>
  </si>
  <si>
    <t>T003216</t>
  </si>
  <si>
    <t>T003217</t>
  </si>
  <si>
    <t>C0410</t>
  </si>
  <si>
    <t>Customer_410</t>
  </si>
  <si>
    <t>T003218</t>
  </si>
  <si>
    <t>T003219</t>
  </si>
  <si>
    <t>T003220</t>
  </si>
  <si>
    <t>T003221</t>
  </si>
  <si>
    <t>C0411</t>
  </si>
  <si>
    <t>Customer_411</t>
  </si>
  <si>
    <t>T003222</t>
  </si>
  <si>
    <t>T003223</t>
  </si>
  <si>
    <t>T003224</t>
  </si>
  <si>
    <t>T003225</t>
  </si>
  <si>
    <t>T003226</t>
  </si>
  <si>
    <t>T003227</t>
  </si>
  <si>
    <t>T003228</t>
  </si>
  <si>
    <t>T003229</t>
  </si>
  <si>
    <t>T003230</t>
  </si>
  <si>
    <t>T003231</t>
  </si>
  <si>
    <t>T003232</t>
  </si>
  <si>
    <t>T003233</t>
  </si>
  <si>
    <t>T003234</t>
  </si>
  <si>
    <t>T003235</t>
  </si>
  <si>
    <t>T003236</t>
  </si>
  <si>
    <t>C0412</t>
  </si>
  <si>
    <t>Customer_412</t>
  </si>
  <si>
    <t>T003237</t>
  </si>
  <si>
    <t>T003238</t>
  </si>
  <si>
    <t>C0413</t>
  </si>
  <si>
    <t>Customer_413</t>
  </si>
  <si>
    <t>T003239</t>
  </si>
  <si>
    <t>T003240</t>
  </si>
  <si>
    <t>T003241</t>
  </si>
  <si>
    <t>T003242</t>
  </si>
  <si>
    <t>T003243</t>
  </si>
  <si>
    <t>T003244</t>
  </si>
  <si>
    <t>T003245</t>
  </si>
  <si>
    <t>T003246</t>
  </si>
  <si>
    <t>T003247</t>
  </si>
  <si>
    <t>T003248</t>
  </si>
  <si>
    <t>T003249</t>
  </si>
  <si>
    <t>T003250</t>
  </si>
  <si>
    <t>T003251</t>
  </si>
  <si>
    <t>T003252</t>
  </si>
  <si>
    <t>C0414</t>
  </si>
  <si>
    <t>Customer_414</t>
  </si>
  <si>
    <t>T003253</t>
  </si>
  <si>
    <t>C0415</t>
  </si>
  <si>
    <t>Customer_415</t>
  </si>
  <si>
    <t>T003254</t>
  </si>
  <si>
    <t>T003255</t>
  </si>
  <si>
    <t>T003256</t>
  </si>
  <si>
    <t>T003257</t>
  </si>
  <si>
    <t>T003258</t>
  </si>
  <si>
    <t>T003259</t>
  </si>
  <si>
    <t>T003260</t>
  </si>
  <si>
    <t>C0416</t>
  </si>
  <si>
    <t>Customer_416</t>
  </si>
  <si>
    <t>T003261</t>
  </si>
  <si>
    <t>T003262</t>
  </si>
  <si>
    <t>T003263</t>
  </si>
  <si>
    <t>T003264</t>
  </si>
  <si>
    <t>T003265</t>
  </si>
  <si>
    <t>T003266</t>
  </si>
  <si>
    <t>T003267</t>
  </si>
  <si>
    <t>T003268</t>
  </si>
  <si>
    <t>C0417</t>
  </si>
  <si>
    <t>Customer_417</t>
  </si>
  <si>
    <t>T003269</t>
  </si>
  <si>
    <t>T003270</t>
  </si>
  <si>
    <t>T003271</t>
  </si>
  <si>
    <t>T003272</t>
  </si>
  <si>
    <t>T003273</t>
  </si>
  <si>
    <t>T003274</t>
  </si>
  <si>
    <t>T003275</t>
  </si>
  <si>
    <t>T003276</t>
  </si>
  <si>
    <t>T003277</t>
  </si>
  <si>
    <t>T003278</t>
  </si>
  <si>
    <t>T003279</t>
  </si>
  <si>
    <t>T003280</t>
  </si>
  <si>
    <t>C0418</t>
  </si>
  <si>
    <t>Customer_418</t>
  </si>
  <si>
    <t>T003281</t>
  </si>
  <si>
    <t>T003282</t>
  </si>
  <si>
    <t>T003283</t>
  </si>
  <si>
    <t>T003284</t>
  </si>
  <si>
    <t>T003285</t>
  </si>
  <si>
    <t>T003286</t>
  </si>
  <si>
    <t>T003287</t>
  </si>
  <si>
    <t>T003288</t>
  </si>
  <si>
    <t>T003289</t>
  </si>
  <si>
    <t>T003290</t>
  </si>
  <si>
    <t>C0419</t>
  </si>
  <si>
    <t>Customer_419</t>
  </si>
  <si>
    <t>T003291</t>
  </si>
  <si>
    <t>T003292</t>
  </si>
  <si>
    <t>T003293</t>
  </si>
  <si>
    <t>T003294</t>
  </si>
  <si>
    <t>C0420</t>
  </si>
  <si>
    <t>Customer_420</t>
  </si>
  <si>
    <t>T003295</t>
  </si>
  <si>
    <t>T003296</t>
  </si>
  <si>
    <t>T003297</t>
  </si>
  <si>
    <t>T003298</t>
  </si>
  <si>
    <t>T003299</t>
  </si>
  <si>
    <t>C0421</t>
  </si>
  <si>
    <t>Customer_421</t>
  </si>
  <si>
    <t>T003300</t>
  </si>
  <si>
    <t>T003301</t>
  </si>
  <si>
    <t>T003302</t>
  </si>
  <si>
    <t>T003303</t>
  </si>
  <si>
    <t>T003304</t>
  </si>
  <si>
    <t>T003305</t>
  </si>
  <si>
    <t>T003306</t>
  </si>
  <si>
    <t>T003307</t>
  </si>
  <si>
    <t>T003308</t>
  </si>
  <si>
    <t>T003309</t>
  </si>
  <si>
    <t>T003310</t>
  </si>
  <si>
    <t>C0422</t>
  </si>
  <si>
    <t>Customer_422</t>
  </si>
  <si>
    <t>T003311</t>
  </si>
  <si>
    <t>T003312</t>
  </si>
  <si>
    <t>T003313</t>
  </si>
  <si>
    <t>T003314</t>
  </si>
  <si>
    <t>T003315</t>
  </si>
  <si>
    <t>T003316</t>
  </si>
  <si>
    <t>T003317</t>
  </si>
  <si>
    <t>T003318</t>
  </si>
  <si>
    <t>T003319</t>
  </si>
  <si>
    <t>T003320</t>
  </si>
  <si>
    <t>T003321</t>
  </si>
  <si>
    <t>T003322</t>
  </si>
  <si>
    <t>T003323</t>
  </si>
  <si>
    <t>T003324</t>
  </si>
  <si>
    <t>C0423</t>
  </si>
  <si>
    <t>Customer_423</t>
  </si>
  <si>
    <t>T003325</t>
  </si>
  <si>
    <t>T003326</t>
  </si>
  <si>
    <t>T003327</t>
  </si>
  <si>
    <t>T003328</t>
  </si>
  <si>
    <t>T003329</t>
  </si>
  <si>
    <t>T003330</t>
  </si>
  <si>
    <t>T003331</t>
  </si>
  <si>
    <t>T003332</t>
  </si>
  <si>
    <t>T003333</t>
  </si>
  <si>
    <t>T003334</t>
  </si>
  <si>
    <t>T003335</t>
  </si>
  <si>
    <t>T003336</t>
  </si>
  <si>
    <t>C0424</t>
  </si>
  <si>
    <t>Customer_424</t>
  </si>
  <si>
    <t>T003337</t>
  </si>
  <si>
    <t>T003338</t>
  </si>
  <si>
    <t>T003339</t>
  </si>
  <si>
    <t>T003340</t>
  </si>
  <si>
    <t>C0425</t>
  </si>
  <si>
    <t>Customer_425</t>
  </si>
  <si>
    <t>T003341</t>
  </si>
  <si>
    <t>T003342</t>
  </si>
  <si>
    <t>T003343</t>
  </si>
  <si>
    <t>T003344</t>
  </si>
  <si>
    <t>C0426</t>
  </si>
  <si>
    <t>Customer_426</t>
  </si>
  <si>
    <t>T003345</t>
  </si>
  <si>
    <t>T003346</t>
  </si>
  <si>
    <t>T003347</t>
  </si>
  <si>
    <t>T003348</t>
  </si>
  <si>
    <t>T003349</t>
  </si>
  <si>
    <t>T003350</t>
  </si>
  <si>
    <t>T003351</t>
  </si>
  <si>
    <t>T003352</t>
  </si>
  <si>
    <t>T003353</t>
  </si>
  <si>
    <t>T003354</t>
  </si>
  <si>
    <t>T003355</t>
  </si>
  <si>
    <t>T003356</t>
  </si>
  <si>
    <t>T003357</t>
  </si>
  <si>
    <t>C0427</t>
  </si>
  <si>
    <t>Customer_427</t>
  </si>
  <si>
    <t>T003358</t>
  </si>
  <si>
    <t>C0428</t>
  </si>
  <si>
    <t>Customer_428</t>
  </si>
  <si>
    <t>T003359</t>
  </si>
  <si>
    <t>T003360</t>
  </si>
  <si>
    <t>T003361</t>
  </si>
  <si>
    <t>T003362</t>
  </si>
  <si>
    <t>T003363</t>
  </si>
  <si>
    <t>C0429</t>
  </si>
  <si>
    <t>Customer_429</t>
  </si>
  <si>
    <t>T003364</t>
  </si>
  <si>
    <t>C0430</t>
  </si>
  <si>
    <t>Customer_430</t>
  </si>
  <si>
    <t>T003365</t>
  </si>
  <si>
    <t>T003366</t>
  </si>
  <si>
    <t>T003367</t>
  </si>
  <si>
    <t>T003368</t>
  </si>
  <si>
    <t>T003369</t>
  </si>
  <si>
    <t>T003370</t>
  </si>
  <si>
    <t>T003371</t>
  </si>
  <si>
    <t>T003372</t>
  </si>
  <si>
    <t>T003373</t>
  </si>
  <si>
    <t>T003374</t>
  </si>
  <si>
    <t>T003375</t>
  </si>
  <si>
    <t>T003376</t>
  </si>
  <si>
    <t>T003377</t>
  </si>
  <si>
    <t>T003378</t>
  </si>
  <si>
    <t>C0431</t>
  </si>
  <si>
    <t>Customer_431</t>
  </si>
  <si>
    <t>T003379</t>
  </si>
  <si>
    <t>T003380</t>
  </si>
  <si>
    <t>C0432</t>
  </si>
  <si>
    <t>Customer_432</t>
  </si>
  <si>
    <t>T003381</t>
  </si>
  <si>
    <t>T003382</t>
  </si>
  <si>
    <t>T003383</t>
  </si>
  <si>
    <t>T003384</t>
  </si>
  <si>
    <t>T003385</t>
  </si>
  <si>
    <t>T003386</t>
  </si>
  <si>
    <t>T003387</t>
  </si>
  <si>
    <t>T003388</t>
  </si>
  <si>
    <t>T003389</t>
  </si>
  <si>
    <t>T003390</t>
  </si>
  <si>
    <t>T003391</t>
  </si>
  <si>
    <t>T003392</t>
  </si>
  <si>
    <t>T003393</t>
  </si>
  <si>
    <t>T003394</t>
  </si>
  <si>
    <t>C0433</t>
  </si>
  <si>
    <t>Customer_433</t>
  </si>
  <si>
    <t>T003395</t>
  </si>
  <si>
    <t>T003396</t>
  </si>
  <si>
    <t>T003397</t>
  </si>
  <si>
    <t>T003398</t>
  </si>
  <si>
    <t>C0434</t>
  </si>
  <si>
    <t>Customer_434</t>
  </si>
  <si>
    <t>T003399</t>
  </si>
  <si>
    <t>T003400</t>
  </si>
  <si>
    <t>T003401</t>
  </si>
  <si>
    <t>T003402</t>
  </si>
  <si>
    <t>T003403</t>
  </si>
  <si>
    <t>T003404</t>
  </si>
  <si>
    <t>T003405</t>
  </si>
  <si>
    <t>T003406</t>
  </si>
  <si>
    <t>T003407</t>
  </si>
  <si>
    <t>C0435</t>
  </si>
  <si>
    <t>Customer_435</t>
  </si>
  <si>
    <t>T003408</t>
  </si>
  <si>
    <t>T003409</t>
  </si>
  <si>
    <t>T003410</t>
  </si>
  <si>
    <t>T003411</t>
  </si>
  <si>
    <t>T003412</t>
  </si>
  <si>
    <t>T003413</t>
  </si>
  <si>
    <t>T003414</t>
  </si>
  <si>
    <t>T003415</t>
  </si>
  <si>
    <t>T003416</t>
  </si>
  <si>
    <t>T003417</t>
  </si>
  <si>
    <t>C0436</t>
  </si>
  <si>
    <t>Customer_436</t>
  </si>
  <si>
    <t>T003418</t>
  </si>
  <si>
    <t>T003419</t>
  </si>
  <si>
    <t>T003420</t>
  </si>
  <si>
    <t>T003421</t>
  </si>
  <si>
    <t>T003422</t>
  </si>
  <si>
    <t>T003423</t>
  </si>
  <si>
    <t>T003424</t>
  </si>
  <si>
    <t>C0437</t>
  </si>
  <si>
    <t>Customer_437</t>
  </si>
  <si>
    <t>T003425</t>
  </si>
  <si>
    <t>T003426</t>
  </si>
  <si>
    <t>T003427</t>
  </si>
  <si>
    <t>T003428</t>
  </si>
  <si>
    <t>T003429</t>
  </si>
  <si>
    <t>T003430</t>
  </si>
  <si>
    <t>T003431</t>
  </si>
  <si>
    <t>C0438</t>
  </si>
  <si>
    <t>Customer_438</t>
  </si>
  <si>
    <t>T003432</t>
  </si>
  <si>
    <t>T003433</t>
  </si>
  <si>
    <t>T003434</t>
  </si>
  <si>
    <t>T003435</t>
  </si>
  <si>
    <t>T003436</t>
  </si>
  <si>
    <t>T003437</t>
  </si>
  <si>
    <t>T003438</t>
  </si>
  <si>
    <t>T003439</t>
  </si>
  <si>
    <t>T003440</t>
  </si>
  <si>
    <t>T003441</t>
  </si>
  <si>
    <t>C0439</t>
  </si>
  <si>
    <t>Customer_439</t>
  </si>
  <si>
    <t>T003442</t>
  </si>
  <si>
    <t>T003443</t>
  </si>
  <si>
    <t>T003444</t>
  </si>
  <si>
    <t>T003445</t>
  </si>
  <si>
    <t>T003446</t>
  </si>
  <si>
    <t>T003447</t>
  </si>
  <si>
    <t>T003448</t>
  </si>
  <si>
    <t>T003449</t>
  </si>
  <si>
    <t>T003450</t>
  </si>
  <si>
    <t>C0440</t>
  </si>
  <si>
    <t>Customer_440</t>
  </si>
  <si>
    <t>T003451</t>
  </si>
  <si>
    <t>T003452</t>
  </si>
  <si>
    <t>T003453</t>
  </si>
  <si>
    <t>T003454</t>
  </si>
  <si>
    <t>C0441</t>
  </si>
  <si>
    <t>Customer_441</t>
  </si>
  <si>
    <t>T003455</t>
  </si>
  <si>
    <t>T003456</t>
  </si>
  <si>
    <t>T003457</t>
  </si>
  <si>
    <t>T003458</t>
  </si>
  <si>
    <t>T003459</t>
  </si>
  <si>
    <t>T003460</t>
  </si>
  <si>
    <t>T003461</t>
  </si>
  <si>
    <t>C0442</t>
  </si>
  <si>
    <t>Customer_442</t>
  </si>
  <si>
    <t>T003462</t>
  </si>
  <si>
    <t>T003463</t>
  </si>
  <si>
    <t>T003464</t>
  </si>
  <si>
    <t>T003465</t>
  </si>
  <si>
    <t>T003466</t>
  </si>
  <si>
    <t>T003467</t>
  </si>
  <si>
    <t>T003468</t>
  </si>
  <si>
    <t>T003469</t>
  </si>
  <si>
    <t>C0443</t>
  </si>
  <si>
    <t>Customer_443</t>
  </si>
  <si>
    <t>T003470</t>
  </si>
  <si>
    <t>T003471</t>
  </si>
  <si>
    <t>T003472</t>
  </si>
  <si>
    <t>T003473</t>
  </si>
  <si>
    <t>T003474</t>
  </si>
  <si>
    <t>T003475</t>
  </si>
  <si>
    <t>T003476</t>
  </si>
  <si>
    <t>T003477</t>
  </si>
  <si>
    <t>T003478</t>
  </si>
  <si>
    <t>C0444</t>
  </si>
  <si>
    <t>Customer_444</t>
  </si>
  <si>
    <t>T003479</t>
  </si>
  <si>
    <t>T003480</t>
  </si>
  <si>
    <t>T003481</t>
  </si>
  <si>
    <t>T003482</t>
  </si>
  <si>
    <t>T003483</t>
  </si>
  <si>
    <t>T003484</t>
  </si>
  <si>
    <t>T003485</t>
  </si>
  <si>
    <t>T003486</t>
  </si>
  <si>
    <t>T003487</t>
  </si>
  <si>
    <t>T003488</t>
  </si>
  <si>
    <t>T003489</t>
  </si>
  <si>
    <t>T003490</t>
  </si>
  <si>
    <t>T003491</t>
  </si>
  <si>
    <t>T003492</t>
  </si>
  <si>
    <t>T003493</t>
  </si>
  <si>
    <t>C0445</t>
  </si>
  <si>
    <t>Customer_445</t>
  </si>
  <si>
    <t>T003494</t>
  </si>
  <si>
    <t>T003495</t>
  </si>
  <si>
    <t>T003496</t>
  </si>
  <si>
    <t>T003497</t>
  </si>
  <si>
    <t>T003498</t>
  </si>
  <si>
    <t>T003499</t>
  </si>
  <si>
    <t>T003500</t>
  </si>
  <si>
    <t>C0446</t>
  </si>
  <si>
    <t>Customer_446</t>
  </si>
  <si>
    <t>T003501</t>
  </si>
  <si>
    <t>T003502</t>
  </si>
  <si>
    <t>T003503</t>
  </si>
  <si>
    <t>T003504</t>
  </si>
  <si>
    <t>C0447</t>
  </si>
  <si>
    <t>Customer_447</t>
  </si>
  <si>
    <t>T003505</t>
  </si>
  <si>
    <t>T003506</t>
  </si>
  <si>
    <t>T003507</t>
  </si>
  <si>
    <t>T003508</t>
  </si>
  <si>
    <t>T003509</t>
  </si>
  <si>
    <t>T003510</t>
  </si>
  <si>
    <t>T003511</t>
  </si>
  <si>
    <t>C0448</t>
  </si>
  <si>
    <t>Customer_448</t>
  </si>
  <si>
    <t>T003512</t>
  </si>
  <si>
    <t>T003513</t>
  </si>
  <si>
    <t>T003514</t>
  </si>
  <si>
    <t>T003515</t>
  </si>
  <si>
    <t>T003516</t>
  </si>
  <si>
    <t>T003517</t>
  </si>
  <si>
    <t>T003518</t>
  </si>
  <si>
    <t>T003519</t>
  </si>
  <si>
    <t>T003520</t>
  </si>
  <si>
    <t>T003521</t>
  </si>
  <si>
    <t>T003522</t>
  </si>
  <si>
    <t>C0449</t>
  </si>
  <si>
    <t>Customer_449</t>
  </si>
  <si>
    <t>T003523</t>
  </si>
  <si>
    <t>T003524</t>
  </si>
  <si>
    <t>T003525</t>
  </si>
  <si>
    <t>C0450</t>
  </si>
  <si>
    <t>Customer_450</t>
  </si>
  <si>
    <t>T003526</t>
  </si>
  <si>
    <t>T003527</t>
  </si>
  <si>
    <t>T003528</t>
  </si>
  <si>
    <t>T003529</t>
  </si>
  <si>
    <t>T003530</t>
  </si>
  <si>
    <t>T003531</t>
  </si>
  <si>
    <t>T003532</t>
  </si>
  <si>
    <t>T003533</t>
  </si>
  <si>
    <t>T003534</t>
  </si>
  <si>
    <t>T003535</t>
  </si>
  <si>
    <t>T003536</t>
  </si>
  <si>
    <t>T003537</t>
  </si>
  <si>
    <t>T003538</t>
  </si>
  <si>
    <t>T003539</t>
  </si>
  <si>
    <t>C0451</t>
  </si>
  <si>
    <t>Customer_451</t>
  </si>
  <si>
    <t>T003540</t>
  </si>
  <si>
    <t>T003541</t>
  </si>
  <si>
    <t>T003542</t>
  </si>
  <si>
    <t>T003543</t>
  </si>
  <si>
    <t>T003544</t>
  </si>
  <si>
    <t>T003545</t>
  </si>
  <si>
    <t>T003546</t>
  </si>
  <si>
    <t>T003547</t>
  </si>
  <si>
    <t>T003548</t>
  </si>
  <si>
    <t>T003549</t>
  </si>
  <si>
    <t>T003550</t>
  </si>
  <si>
    <t>C0452</t>
  </si>
  <si>
    <t>Customer_452</t>
  </si>
  <si>
    <t>T003551</t>
  </si>
  <si>
    <t>T003552</t>
  </si>
  <si>
    <t>C0453</t>
  </si>
  <si>
    <t>Customer_453</t>
  </si>
  <si>
    <t>T003553</t>
  </si>
  <si>
    <t>T003554</t>
  </si>
  <si>
    <t>T003555</t>
  </si>
  <si>
    <t>T003556</t>
  </si>
  <si>
    <t>T003557</t>
  </si>
  <si>
    <t>T003558</t>
  </si>
  <si>
    <t>T003559</t>
  </si>
  <si>
    <t>T003560</t>
  </si>
  <si>
    <t>T003561</t>
  </si>
  <si>
    <t>T003562</t>
  </si>
  <si>
    <t>T003563</t>
  </si>
  <si>
    <t>T003564</t>
  </si>
  <si>
    <t>T003565</t>
  </si>
  <si>
    <t>C0454</t>
  </si>
  <si>
    <t>Customer_454</t>
  </si>
  <si>
    <t>T003566</t>
  </si>
  <si>
    <t>T003567</t>
  </si>
  <si>
    <t>C0455</t>
  </si>
  <si>
    <t>Customer_455</t>
  </si>
  <si>
    <t>T003568</t>
  </si>
  <si>
    <t>T003569</t>
  </si>
  <si>
    <t>T003570</t>
  </si>
  <si>
    <t>T003571</t>
  </si>
  <si>
    <t>C0456</t>
  </si>
  <si>
    <t>Customer_456</t>
  </si>
  <si>
    <t>T003572</t>
  </si>
  <si>
    <t>T003573</t>
  </si>
  <si>
    <t>T003574</t>
  </si>
  <si>
    <t>T003575</t>
  </si>
  <si>
    <t>T003576</t>
  </si>
  <si>
    <t>T003577</t>
  </si>
  <si>
    <t>T003578</t>
  </si>
  <si>
    <t>T003579</t>
  </si>
  <si>
    <t>T003580</t>
  </si>
  <si>
    <t>T003581</t>
  </si>
  <si>
    <t>T003582</t>
  </si>
  <si>
    <t>T003583</t>
  </si>
  <si>
    <t>C0457</t>
  </si>
  <si>
    <t>Customer_457</t>
  </si>
  <si>
    <t>T003584</t>
  </si>
  <si>
    <t>T003585</t>
  </si>
  <si>
    <t>T003586</t>
  </si>
  <si>
    <t>T003587</t>
  </si>
  <si>
    <t>T003588</t>
  </si>
  <si>
    <t>T003589</t>
  </si>
  <si>
    <t>T003590</t>
  </si>
  <si>
    <t>T003591</t>
  </si>
  <si>
    <t>T003592</t>
  </si>
  <si>
    <t>C0458</t>
  </si>
  <si>
    <t>Customer_458</t>
  </si>
  <si>
    <t>T003593</t>
  </si>
  <si>
    <t>T003594</t>
  </si>
  <si>
    <t>T003595</t>
  </si>
  <si>
    <t>T003596</t>
  </si>
  <si>
    <t>C0459</t>
  </si>
  <si>
    <t>Customer_459</t>
  </si>
  <si>
    <t>T003597</t>
  </si>
  <si>
    <t>T003598</t>
  </si>
  <si>
    <t>T003599</t>
  </si>
  <si>
    <t>T003600</t>
  </si>
  <si>
    <t>T003601</t>
  </si>
  <si>
    <t>T003602</t>
  </si>
  <si>
    <t>T003603</t>
  </si>
  <si>
    <t>T003604</t>
  </si>
  <si>
    <t>T003605</t>
  </si>
  <si>
    <t>C0460</t>
  </si>
  <si>
    <t>Customer_460</t>
  </si>
  <si>
    <t>T003606</t>
  </si>
  <si>
    <t>T003607</t>
  </si>
  <si>
    <t>T003608</t>
  </si>
  <si>
    <t>T003609</t>
  </si>
  <si>
    <t>T003610</t>
  </si>
  <si>
    <t>C0461</t>
  </si>
  <si>
    <t>Customer_461</t>
  </si>
  <si>
    <t>T003611</t>
  </si>
  <si>
    <t>T003612</t>
  </si>
  <si>
    <t>T003613</t>
  </si>
  <si>
    <t>T003614</t>
  </si>
  <si>
    <t>T003615</t>
  </si>
  <si>
    <t>T003616</t>
  </si>
  <si>
    <t>T003617</t>
  </si>
  <si>
    <t>T003618</t>
  </si>
  <si>
    <t>T003619</t>
  </si>
  <si>
    <t>C0462</t>
  </si>
  <si>
    <t>Customer_462</t>
  </si>
  <si>
    <t>T003620</t>
  </si>
  <si>
    <t>T003621</t>
  </si>
  <si>
    <t>T003622</t>
  </si>
  <si>
    <t>T003623</t>
  </si>
  <si>
    <t>T003624</t>
  </si>
  <si>
    <t>T003625</t>
  </si>
  <si>
    <t>T003626</t>
  </si>
  <si>
    <t>T003627</t>
  </si>
  <si>
    <t>T003628</t>
  </si>
  <si>
    <t>T003629</t>
  </si>
  <si>
    <t>T003630</t>
  </si>
  <si>
    <t>T003631</t>
  </si>
  <si>
    <t>C0463</t>
  </si>
  <si>
    <t>Customer_463</t>
  </si>
  <si>
    <t>T003632</t>
  </si>
  <si>
    <t>T003633</t>
  </si>
  <si>
    <t>T003634</t>
  </si>
  <si>
    <t>T003635</t>
  </si>
  <si>
    <t>T003636</t>
  </si>
  <si>
    <t>T003637</t>
  </si>
  <si>
    <t>T003638</t>
  </si>
  <si>
    <t>T003639</t>
  </si>
  <si>
    <t>T003640</t>
  </si>
  <si>
    <t>T003641</t>
  </si>
  <si>
    <t>T003642</t>
  </si>
  <si>
    <t>T003643</t>
  </si>
  <si>
    <t>T003644</t>
  </si>
  <si>
    <t>T003645</t>
  </si>
  <si>
    <t>T003646</t>
  </si>
  <si>
    <t>C0464</t>
  </si>
  <si>
    <t>Customer_464</t>
  </si>
  <si>
    <t>T003647</t>
  </si>
  <si>
    <t>T003648</t>
  </si>
  <si>
    <t>T003649</t>
  </si>
  <si>
    <t>T003650</t>
  </si>
  <si>
    <t>T003651</t>
  </si>
  <si>
    <t>T003652</t>
  </si>
  <si>
    <t>T003653</t>
  </si>
  <si>
    <t>T003654</t>
  </si>
  <si>
    <t>T003655</t>
  </si>
  <si>
    <t>C0465</t>
  </si>
  <si>
    <t>Customer_465</t>
  </si>
  <si>
    <t>T003656</t>
  </si>
  <si>
    <t>T003657</t>
  </si>
  <si>
    <t>T003658</t>
  </si>
  <si>
    <t>T003659</t>
  </si>
  <si>
    <t>T003660</t>
  </si>
  <si>
    <t>T003661</t>
  </si>
  <si>
    <t>T003662</t>
  </si>
  <si>
    <t>T003663</t>
  </si>
  <si>
    <t>T003664</t>
  </si>
  <si>
    <t>T003665</t>
  </si>
  <si>
    <t>T003666</t>
  </si>
  <si>
    <t>T003667</t>
  </si>
  <si>
    <t>T003668</t>
  </si>
  <si>
    <t>T003669</t>
  </si>
  <si>
    <t>C0466</t>
  </si>
  <si>
    <t>Customer_466</t>
  </si>
  <si>
    <t>T003670</t>
  </si>
  <si>
    <t>T003671</t>
  </si>
  <si>
    <t>T003672</t>
  </si>
  <si>
    <t>T003673</t>
  </si>
  <si>
    <t>T003674</t>
  </si>
  <si>
    <t>T003675</t>
  </si>
  <si>
    <t>T003676</t>
  </si>
  <si>
    <t>C0467</t>
  </si>
  <si>
    <t>Customer_467</t>
  </si>
  <si>
    <t>T003677</t>
  </si>
  <si>
    <t>T003678</t>
  </si>
  <si>
    <t>T003679</t>
  </si>
  <si>
    <t>T003680</t>
  </si>
  <si>
    <t>T003681</t>
  </si>
  <si>
    <t>T003682</t>
  </si>
  <si>
    <t>T003683</t>
  </si>
  <si>
    <t>T003684</t>
  </si>
  <si>
    <t>T003685</t>
  </si>
  <si>
    <t>T003686</t>
  </si>
  <si>
    <t>T003687</t>
  </si>
  <si>
    <t>T003688</t>
  </si>
  <si>
    <t>T003689</t>
  </si>
  <si>
    <t>C0468</t>
  </si>
  <si>
    <t>Customer_468</t>
  </si>
  <si>
    <t>T003690</t>
  </si>
  <si>
    <t>T003691</t>
  </si>
  <si>
    <t>T003692</t>
  </si>
  <si>
    <t>T003693</t>
  </si>
  <si>
    <t>T003694</t>
  </si>
  <si>
    <t>T003695</t>
  </si>
  <si>
    <t>T003696</t>
  </si>
  <si>
    <t>C0469</t>
  </si>
  <si>
    <t>Customer_469</t>
  </si>
  <si>
    <t>T003697</t>
  </si>
  <si>
    <t>T003698</t>
  </si>
  <si>
    <t>T003699</t>
  </si>
  <si>
    <t>T003700</t>
  </si>
  <si>
    <t>T003701</t>
  </si>
  <si>
    <t>T003702</t>
  </si>
  <si>
    <t>T003703</t>
  </si>
  <si>
    <t>C0470</t>
  </si>
  <si>
    <t>Customer_470</t>
  </si>
  <si>
    <t>T003704</t>
  </si>
  <si>
    <t>T003705</t>
  </si>
  <si>
    <t>T003706</t>
  </si>
  <si>
    <t>T003707</t>
  </si>
  <si>
    <t>T003708</t>
  </si>
  <si>
    <t>T003709</t>
  </si>
  <si>
    <t>T003710</t>
  </si>
  <si>
    <t>T003711</t>
  </si>
  <si>
    <t>T003712</t>
  </si>
  <si>
    <t>T003713</t>
  </si>
  <si>
    <t>T003714</t>
  </si>
  <si>
    <t>T003715</t>
  </si>
  <si>
    <t>T003716</t>
  </si>
  <si>
    <t>T003717</t>
  </si>
  <si>
    <t>C0471</t>
  </si>
  <si>
    <t>Customer_471</t>
  </si>
  <si>
    <t>T003718</t>
  </si>
  <si>
    <t>T003719</t>
  </si>
  <si>
    <t>T003720</t>
  </si>
  <si>
    <t>T003721</t>
  </si>
  <si>
    <t>T003722</t>
  </si>
  <si>
    <t>T003723</t>
  </si>
  <si>
    <t>C0472</t>
  </si>
  <si>
    <t>Customer_472</t>
  </si>
  <si>
    <t>T003724</t>
  </si>
  <si>
    <t>T003725</t>
  </si>
  <si>
    <t>T003726</t>
  </si>
  <si>
    <t>T003727</t>
  </si>
  <si>
    <t>T003728</t>
  </si>
  <si>
    <t>T003729</t>
  </si>
  <si>
    <t>T003730</t>
  </si>
  <si>
    <t>T003731</t>
  </si>
  <si>
    <t>T003732</t>
  </si>
  <si>
    <t>T003733</t>
  </si>
  <si>
    <t>T003734</t>
  </si>
  <si>
    <t>T003735</t>
  </si>
  <si>
    <t>T003736</t>
  </si>
  <si>
    <t>T003737</t>
  </si>
  <si>
    <t>C0473</t>
  </si>
  <si>
    <t>Customer_473</t>
  </si>
  <si>
    <t>T003738</t>
  </si>
  <si>
    <t>T003739</t>
  </si>
  <si>
    <t>T003740</t>
  </si>
  <si>
    <t>T003741</t>
  </si>
  <si>
    <t>C0474</t>
  </si>
  <si>
    <t>Customer_474</t>
  </si>
  <si>
    <t>T003742</t>
  </si>
  <si>
    <t>T003743</t>
  </si>
  <si>
    <t>T003744</t>
  </si>
  <si>
    <t>T003745</t>
  </si>
  <si>
    <t>T003746</t>
  </si>
  <si>
    <t>C0475</t>
  </si>
  <si>
    <t>Customer_475</t>
  </si>
  <si>
    <t>T003747</t>
  </si>
  <si>
    <t>T003748</t>
  </si>
  <si>
    <t>T003749</t>
  </si>
  <si>
    <t>T003750</t>
  </si>
  <si>
    <t>C0476</t>
  </si>
  <si>
    <t>Customer_476</t>
  </si>
  <si>
    <t>T003751</t>
  </si>
  <si>
    <t>T003752</t>
  </si>
  <si>
    <t>T003753</t>
  </si>
  <si>
    <t>T003754</t>
  </si>
  <si>
    <t>T003755</t>
  </si>
  <si>
    <t>T003756</t>
  </si>
  <si>
    <t>T003757</t>
  </si>
  <si>
    <t>T003758</t>
  </si>
  <si>
    <t>T003759</t>
  </si>
  <si>
    <t>T003760</t>
  </si>
  <si>
    <t>T003761</t>
  </si>
  <si>
    <t>C0477</t>
  </si>
  <si>
    <t>Customer_477</t>
  </si>
  <si>
    <t>T003762</t>
  </si>
  <si>
    <t>T003763</t>
  </si>
  <si>
    <t>T003764</t>
  </si>
  <si>
    <t>T003765</t>
  </si>
  <si>
    <t>T003766</t>
  </si>
  <si>
    <t>T003767</t>
  </si>
  <si>
    <t>C0478</t>
  </si>
  <si>
    <t>Customer_478</t>
  </si>
  <si>
    <t>T003768</t>
  </si>
  <si>
    <t>T003769</t>
  </si>
  <si>
    <t>T003770</t>
  </si>
  <si>
    <t>T003771</t>
  </si>
  <si>
    <t>T003772</t>
  </si>
  <si>
    <t>T003773</t>
  </si>
  <si>
    <t>T003774</t>
  </si>
  <si>
    <t>T003775</t>
  </si>
  <si>
    <t>T003776</t>
  </si>
  <si>
    <t>T003777</t>
  </si>
  <si>
    <t>T003778</t>
  </si>
  <si>
    <t>T003779</t>
  </si>
  <si>
    <t>T003780</t>
  </si>
  <si>
    <t>T003781</t>
  </si>
  <si>
    <t>T003782</t>
  </si>
  <si>
    <t>C0479</t>
  </si>
  <si>
    <t>Customer_479</t>
  </si>
  <si>
    <t>T003783</t>
  </si>
  <si>
    <t>T003784</t>
  </si>
  <si>
    <t>T003785</t>
  </si>
  <si>
    <t>T003786</t>
  </si>
  <si>
    <t>T003787</t>
  </si>
  <si>
    <t>T003788</t>
  </si>
  <si>
    <t>T003789</t>
  </si>
  <si>
    <t>T003790</t>
  </si>
  <si>
    <t>T003791</t>
  </si>
  <si>
    <t>T003792</t>
  </si>
  <si>
    <t>T003793</t>
  </si>
  <si>
    <t>T003794</t>
  </si>
  <si>
    <t>T003795</t>
  </si>
  <si>
    <t>T003796</t>
  </si>
  <si>
    <t>T003797</t>
  </si>
  <si>
    <t>C0480</t>
  </si>
  <si>
    <t>Customer_480</t>
  </si>
  <si>
    <t>T003798</t>
  </si>
  <si>
    <t>T003799</t>
  </si>
  <si>
    <t>T003800</t>
  </si>
  <si>
    <t>T003801</t>
  </si>
  <si>
    <t>T003802</t>
  </si>
  <si>
    <t>T003803</t>
  </si>
  <si>
    <t>T003804</t>
  </si>
  <si>
    <t>T003805</t>
  </si>
  <si>
    <t>C0481</t>
  </si>
  <si>
    <t>Customer_481</t>
  </si>
  <si>
    <t>T003806</t>
  </si>
  <si>
    <t>C0482</t>
  </si>
  <si>
    <t>Customer_482</t>
  </si>
  <si>
    <t>T003807</t>
  </si>
  <si>
    <t>T003808</t>
  </si>
  <si>
    <t>T003809</t>
  </si>
  <si>
    <t>T003810</t>
  </si>
  <si>
    <t>T003811</t>
  </si>
  <si>
    <t>T003812</t>
  </si>
  <si>
    <t>T003813</t>
  </si>
  <si>
    <t>T003814</t>
  </si>
  <si>
    <t>C0483</t>
  </si>
  <si>
    <t>Customer_483</t>
  </si>
  <si>
    <t>T003815</t>
  </si>
  <si>
    <t>T003816</t>
  </si>
  <si>
    <t>T003817</t>
  </si>
  <si>
    <t>C0484</t>
  </si>
  <si>
    <t>Customer_484</t>
  </si>
  <si>
    <t>T003818</t>
  </si>
  <si>
    <t>T003819</t>
  </si>
  <si>
    <t>T003820</t>
  </si>
  <si>
    <t>C0485</t>
  </si>
  <si>
    <t>Customer_485</t>
  </si>
  <si>
    <t>T003821</t>
  </si>
  <si>
    <t>T003822</t>
  </si>
  <si>
    <t>T003823</t>
  </si>
  <si>
    <t>T003824</t>
  </si>
  <si>
    <t>T003825</t>
  </si>
  <si>
    <t>T003826</t>
  </si>
  <si>
    <t>T003827</t>
  </si>
  <si>
    <t>T003828</t>
  </si>
  <si>
    <t>T003829</t>
  </si>
  <si>
    <t>T003830</t>
  </si>
  <si>
    <t>C0486</t>
  </si>
  <si>
    <t>Customer_486</t>
  </si>
  <si>
    <t>T003831</t>
  </si>
  <si>
    <t>T003832</t>
  </si>
  <si>
    <t>T003833</t>
  </si>
  <si>
    <t>T003834</t>
  </si>
  <si>
    <t>T003835</t>
  </si>
  <si>
    <t>T003836</t>
  </si>
  <si>
    <t>T003837</t>
  </si>
  <si>
    <t>T003838</t>
  </si>
  <si>
    <t>T003839</t>
  </si>
  <si>
    <t>T003840</t>
  </si>
  <si>
    <t>C0487</t>
  </si>
  <si>
    <t>Customer_487</t>
  </si>
  <si>
    <t>T003841</t>
  </si>
  <si>
    <t>T003842</t>
  </si>
  <si>
    <t>T003843</t>
  </si>
  <si>
    <t>T003844</t>
  </si>
  <si>
    <t>T003845</t>
  </si>
  <si>
    <t>T003846</t>
  </si>
  <si>
    <t>T003847</t>
  </si>
  <si>
    <t>T003848</t>
  </si>
  <si>
    <t>T003849</t>
  </si>
  <si>
    <t>C0488</t>
  </si>
  <si>
    <t>Customer_488</t>
  </si>
  <si>
    <t>T003850</t>
  </si>
  <si>
    <t>C0489</t>
  </si>
  <si>
    <t>Customer_489</t>
  </si>
  <si>
    <t>T003851</t>
  </si>
  <si>
    <t>T003852</t>
  </si>
  <si>
    <t>T003853</t>
  </si>
  <si>
    <t>T003854</t>
  </si>
  <si>
    <t>T003855</t>
  </si>
  <si>
    <t>T003856</t>
  </si>
  <si>
    <t>T003857</t>
  </si>
  <si>
    <t>T003858</t>
  </si>
  <si>
    <t>T003859</t>
  </si>
  <si>
    <t>T003860</t>
  </si>
  <si>
    <t>T003861</t>
  </si>
  <si>
    <t>T003862</t>
  </si>
  <si>
    <t>C0490</t>
  </si>
  <si>
    <t>Customer_490</t>
  </si>
  <si>
    <t>T003863</t>
  </si>
  <si>
    <t>T003864</t>
  </si>
  <si>
    <t>T003865</t>
  </si>
  <si>
    <t>T003866</t>
  </si>
  <si>
    <t>T003867</t>
  </si>
  <si>
    <t>T003868</t>
  </si>
  <si>
    <t>T003869</t>
  </si>
  <si>
    <t>T003870</t>
  </si>
  <si>
    <t>T003871</t>
  </si>
  <si>
    <t>T003872</t>
  </si>
  <si>
    <t>T003873</t>
  </si>
  <si>
    <t>C0491</t>
  </si>
  <si>
    <t>Customer_491</t>
  </si>
  <si>
    <t>T003874</t>
  </si>
  <si>
    <t>C0492</t>
  </si>
  <si>
    <t>Customer_492</t>
  </si>
  <si>
    <t>T003875</t>
  </si>
  <si>
    <t>T003876</t>
  </si>
  <si>
    <t>T003877</t>
  </si>
  <si>
    <t>T003878</t>
  </si>
  <si>
    <t>T003879</t>
  </si>
  <si>
    <t>T003880</t>
  </si>
  <si>
    <t>T003881</t>
  </si>
  <si>
    <t>T003882</t>
  </si>
  <si>
    <t>C0493</t>
  </si>
  <si>
    <t>Customer_493</t>
  </si>
  <si>
    <t>T003883</t>
  </si>
  <si>
    <t>T003884</t>
  </si>
  <si>
    <t>T003885</t>
  </si>
  <si>
    <t>T003886</t>
  </si>
  <si>
    <t>T003887</t>
  </si>
  <si>
    <t>T003888</t>
  </si>
  <si>
    <t>C0494</t>
  </si>
  <si>
    <t>Customer_494</t>
  </si>
  <si>
    <t>T003889</t>
  </si>
  <si>
    <t>T003890</t>
  </si>
  <si>
    <t>T003891</t>
  </si>
  <si>
    <t>T003892</t>
  </si>
  <si>
    <t>T003893</t>
  </si>
  <si>
    <t>C0495</t>
  </si>
  <si>
    <t>Customer_495</t>
  </si>
  <si>
    <t>T003894</t>
  </si>
  <si>
    <t>T003895</t>
  </si>
  <si>
    <t>T003896</t>
  </si>
  <si>
    <t>T003897</t>
  </si>
  <si>
    <t>C0496</t>
  </si>
  <si>
    <t>Customer_496</t>
  </si>
  <si>
    <t>T003898</t>
  </si>
  <si>
    <t>T003899</t>
  </si>
  <si>
    <t>T003900</t>
  </si>
  <si>
    <t>T003901</t>
  </si>
  <si>
    <t>T003902</t>
  </si>
  <si>
    <t>T003903</t>
  </si>
  <si>
    <t>T003904</t>
  </si>
  <si>
    <t>T003905</t>
  </si>
  <si>
    <t>T003906</t>
  </si>
  <si>
    <t>T003907</t>
  </si>
  <si>
    <t>C0497</t>
  </si>
  <si>
    <t>Customer_497</t>
  </si>
  <si>
    <t>T003908</t>
  </si>
  <si>
    <t>T003909</t>
  </si>
  <si>
    <t>T003910</t>
  </si>
  <si>
    <t>T003911</t>
  </si>
  <si>
    <t>T003912</t>
  </si>
  <si>
    <t>T003913</t>
  </si>
  <si>
    <t>T003914</t>
  </si>
  <si>
    <t>T003915</t>
  </si>
  <si>
    <t>T003916</t>
  </si>
  <si>
    <t>T003917</t>
  </si>
  <si>
    <t>T003918</t>
  </si>
  <si>
    <t>T003919</t>
  </si>
  <si>
    <t>C0498</t>
  </si>
  <si>
    <t>Customer_498</t>
  </si>
  <si>
    <t>T003920</t>
  </si>
  <si>
    <t>C0499</t>
  </si>
  <si>
    <t>Customer_499</t>
  </si>
  <si>
    <t>T003921</t>
  </si>
  <si>
    <t>T003922</t>
  </si>
  <si>
    <t>T003923</t>
  </si>
  <si>
    <t>T003924</t>
  </si>
  <si>
    <t>T003925</t>
  </si>
  <si>
    <t>T003926</t>
  </si>
  <si>
    <t>T003927</t>
  </si>
  <si>
    <t>T003928</t>
  </si>
  <si>
    <t>T003929</t>
  </si>
  <si>
    <t>T003930</t>
  </si>
  <si>
    <t>T003931</t>
  </si>
  <si>
    <t>T003932</t>
  </si>
  <si>
    <t>T003933</t>
  </si>
  <si>
    <t>T003934</t>
  </si>
  <si>
    <t>T003935</t>
  </si>
  <si>
    <t>C0500</t>
  </si>
  <si>
    <t>Customer_500</t>
  </si>
  <si>
    <t>T003936</t>
  </si>
  <si>
    <t>T003937</t>
  </si>
  <si>
    <t>T003938</t>
  </si>
  <si>
    <t>T003939</t>
  </si>
  <si>
    <t>Recency_days</t>
  </si>
  <si>
    <t xml:space="preserve">Purchase_Frequency </t>
  </si>
  <si>
    <t>Total_spending</t>
  </si>
  <si>
    <t>RFM_Score</t>
  </si>
  <si>
    <t>R_Score</t>
  </si>
  <si>
    <t>M_Score</t>
  </si>
  <si>
    <t>F_Score</t>
  </si>
  <si>
    <t>Customer_Segmentation</t>
  </si>
  <si>
    <t>Average_order_value</t>
  </si>
  <si>
    <t>Last_Purchase_date</t>
  </si>
  <si>
    <t>First_purchase_date</t>
  </si>
  <si>
    <t>Annual_Purchase_frequency</t>
  </si>
  <si>
    <t>Customer_Lifespan_Years</t>
  </si>
  <si>
    <t>CLV_Gross_Revenue</t>
  </si>
  <si>
    <t>CLV_Profit(30%margin)</t>
  </si>
  <si>
    <t>At Risk</t>
  </si>
  <si>
    <t>Loyal Customers</t>
  </si>
  <si>
    <t>Champions</t>
  </si>
  <si>
    <t>About to Sleep</t>
  </si>
  <si>
    <t>New Customers</t>
  </si>
  <si>
    <t>Lost</t>
  </si>
  <si>
    <t>Potential Loyalists</t>
  </si>
  <si>
    <t>Avg CLV</t>
  </si>
  <si>
    <t>Total Revenue</t>
  </si>
  <si>
    <t>Avg Recency</t>
  </si>
  <si>
    <t>Action Priority</t>
  </si>
  <si>
    <t>Segment</t>
  </si>
  <si>
    <t>Customer Count</t>
  </si>
  <si>
    <t>% of Base</t>
  </si>
  <si>
    <t>$1,657.57</t>
  </si>
  <si>
    <t>$330,009</t>
  </si>
  <si>
    <t>7.6 days</t>
  </si>
  <si>
    <t>PROTECT</t>
  </si>
  <si>
    <t>$1,524.50</t>
  </si>
  <si>
    <t>$281,515</t>
  </si>
  <si>
    <t>19.6 days</t>
  </si>
  <si>
    <t>PROMOTE</t>
  </si>
  <si>
    <t>$1,634.45</t>
  </si>
  <si>
    <t>$188,515</t>
  </si>
  <si>
    <t>83.7 days</t>
  </si>
  <si>
    <t>RESCUE</t>
  </si>
  <si>
    <t>$390.13</t>
  </si>
  <si>
    <t>$89,162</t>
  </si>
  <si>
    <t>168.1 days</t>
  </si>
  <si>
    <t>MONITOR</t>
  </si>
  <si>
    <t>$557.86</t>
  </si>
  <si>
    <t>$56,930</t>
  </si>
  <si>
    <t>7.4 days</t>
  </si>
  <si>
    <t>NURTURE</t>
  </si>
  <si>
    <t>Others</t>
  </si>
  <si>
    <t>$529</t>
  </si>
  <si>
    <t>$30,170</t>
  </si>
  <si>
    <t>Various</t>
  </si>
  <si>
    <t>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</si>
</sst>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4009]yyyy/mm/dd;@"/>
    <numFmt numFmtId="165" formatCode="&quot;₹&quot;\ #,##0.00"/>
    <numFmt numFmtId="166" formatCode="[$$-C09]#,##0.00"/>
    <numFmt numFmtId="167" formatCode="[$$-409]#,##0.00_ ;\-[$$-409]#,##0.00\ "/>
  </numFmts>
  <fonts count="4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165" fontId="0" fillId="0" borderId="0" xfId="0" applyNumberFormat="1"/>
    <xf numFmtId="14" fontId="0" fillId="0" borderId="0" xfId="0" applyNumberFormat="1"/>
    <xf numFmtId="49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1" fillId="0" borderId="0" xfId="0" applyFont="1"/>
    <xf numFmtId="49" fontId="1" fillId="0" borderId="0" xfId="0" applyNumberFormat="1" applyFont="1"/>
    <xf numFmtId="1" fontId="1" fillId="0" borderId="0" xfId="0" applyNumberFormat="1" applyFont="1"/>
    <xf numFmtId="166" fontId="1" fillId="0" borderId="0" xfId="0" applyNumberFormat="1" applyFont="1"/>
    <xf numFmtId="49" fontId="1" fillId="0" borderId="4" xfId="0" applyNumberFormat="1" applyFont="1" applyBorder="1"/>
    <xf numFmtId="49" fontId="1" fillId="0" borderId="5" xfId="0" applyNumberFormat="1" applyFont="1" applyBorder="1"/>
    <xf numFmtId="49" fontId="1" fillId="0" borderId="6" xfId="0" applyNumberFormat="1" applyFont="1" applyBorder="1"/>
    <xf numFmtId="0" fontId="0" fillId="0" borderId="7" xfId="0" applyBorder="1"/>
    <xf numFmtId="166" fontId="0" fillId="0" borderId="3" xfId="0" applyNumberFormat="1" applyBorder="1"/>
    <xf numFmtId="164" fontId="0" fillId="0" borderId="3" xfId="0" applyNumberFormat="1" applyBorder="1"/>
    <xf numFmtId="2" fontId="0" fillId="0" borderId="3" xfId="0" applyNumberFormat="1" applyBorder="1"/>
    <xf numFmtId="166" fontId="0" fillId="0" borderId="8" xfId="0" applyNumberFormat="1" applyBorder="1"/>
    <xf numFmtId="0" fontId="0" fillId="0" borderId="9" xfId="0" applyBorder="1"/>
    <xf numFmtId="166" fontId="0" fillId="0" borderId="10" xfId="0" applyNumberFormat="1" applyBorder="1"/>
    <xf numFmtId="164" fontId="0" fillId="0" borderId="10" xfId="0" applyNumberFormat="1" applyBorder="1"/>
    <xf numFmtId="2" fontId="0" fillId="0" borderId="10" xfId="0" applyNumberFormat="1" applyBorder="1"/>
    <xf numFmtId="166" fontId="0" fillId="0" borderId="11" xfId="0" applyNumberFormat="1" applyBorder="1"/>
    <xf numFmtId="0" fontId="0" fillId="0" borderId="3" xfId="0" applyBorder="1"/>
    <xf numFmtId="49" fontId="0" fillId="0" borderId="3" xfId="0" applyNumberFormat="1" applyBorder="1"/>
    <xf numFmtId="1" fontId="0" fillId="0" borderId="3" xfId="0" applyNumberFormat="1" applyBorder="1"/>
    <xf numFmtId="0" fontId="1" fillId="0" borderId="3" xfId="0" applyFont="1" applyBorder="1"/>
    <xf numFmtId="167" fontId="1" fillId="0" borderId="3" xfId="0" applyNumberFormat="1" applyFont="1" applyBorder="1"/>
    <xf numFmtId="1" fontId="1" fillId="0" borderId="3" xfId="0" applyNumberFormat="1" applyFont="1" applyBorder="1"/>
    <xf numFmtId="164" fontId="1" fillId="0" borderId="3" xfId="0" applyNumberFormat="1" applyFont="1" applyBorder="1"/>
    <xf numFmtId="166" fontId="1" fillId="0" borderId="3" xfId="0" applyNumberFormat="1" applyFont="1" applyBorder="1"/>
    <xf numFmtId="14" fontId="1" fillId="0" borderId="3" xfId="0" applyNumberFormat="1" applyFont="1" applyBorder="1"/>
    <xf numFmtId="167" fontId="0" fillId="0" borderId="3" xfId="0" applyNumberFormat="1" applyBorder="1"/>
    <xf numFmtId="14" fontId="0" fillId="0" borderId="3" xfId="0" applyNumberFormat="1" applyBorder="1"/>
    <xf numFmtId="0" fontId="2" fillId="0" borderId="2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3" fillId="0" borderId="2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10" fontId="3" fillId="0" borderId="1" xfId="0" applyNumberFormat="1" applyFont="1" applyBorder="1" applyAlignment="1">
      <alignment horizontal="left" vertical="center" wrapText="1" indent="1"/>
    </xf>
  </cellXfs>
  <cellStyles count="1">
    <cellStyle name="Normal" xfId="0" builtinId="0"/>
  </cellStyles>
  <dxfs count="29"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[$$-C09]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6" formatCode="[$$-C09]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[$$-C09]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-14009]yyyy/mm/dd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-14009]yyyy/mm/dd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[$$-C09]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</dxf>
    <dxf>
      <numFmt numFmtId="30" formatCode="@"/>
    </dxf>
    <dxf>
      <numFmt numFmtId="1" formatCode="0"/>
    </dxf>
    <dxf>
      <numFmt numFmtId="165" formatCode="&quot;₹&quot;\ #,##0.00"/>
    </dxf>
    <dxf>
      <numFmt numFmtId="164" formatCode="[$-14009]yyyy/mm/dd;@"/>
    </dxf>
    <dxf>
      <numFmt numFmtId="30" formatCode="@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6AC4A88-5225-4324-AC09-A0743493E326}" autoFormatId="16" applyNumberFormats="0" applyBorderFormats="0" applyFontFormats="0" applyPatternFormats="0" applyAlignmentFormats="0" applyWidthHeightFormats="0">
  <queryTableRefresh nextId="8">
    <queryTableFields count="7">
      <queryTableField id="1" name="Transaction_ID" tableColumnId="1"/>
      <queryTableField id="2" name="Customer_ID" tableColumnId="2"/>
      <queryTableField id="3" name="Customer_Name" tableColumnId="3"/>
      <queryTableField id="4" name="Transaction_Date" tableColumnId="4"/>
      <queryTableField id="5" name="Purchase_Amount" tableColumnId="5"/>
      <queryTableField id="6" name="Quantity" tableColumnId="6"/>
      <queryTableField id="7" name="Product_Category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196EEB-DCE1-42AE-A030-F9DCE0749ECE}" name="ecommerce_transactions" displayName="ecommerce_transactions" ref="A1:G3940" tableType="queryTable" totalsRowShown="0">
  <autoFilter ref="A1:G3940" xr:uid="{A4196EEB-DCE1-42AE-A030-F9DCE0749EC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023BF982-2849-4DEA-A570-177ACF048199}" uniqueName="1" name="Transaction_ID" queryTableFieldId="1" dataDxfId="28"/>
    <tableColumn id="2" xr3:uid="{01D81A42-C80A-40FA-9032-43E7FF38033F}" uniqueName="2" name="Customer_ID" queryTableFieldId="2" dataDxfId="27"/>
    <tableColumn id="3" xr3:uid="{D43033B0-95D2-4EE6-A004-F9949CD560A5}" uniqueName="3" name="Customer_Name" queryTableFieldId="3" dataDxfId="26"/>
    <tableColumn id="4" xr3:uid="{86FE60C9-03CD-4970-B71C-69C7C1A15604}" uniqueName="4" name="Transaction_Date" queryTableFieldId="4" dataDxfId="25"/>
    <tableColumn id="5" xr3:uid="{8293948E-9E9B-4240-98DF-1B4B11975D4B}" uniqueName="5" name="Purchase_Amount" queryTableFieldId="5" dataDxfId="24"/>
    <tableColumn id="6" xr3:uid="{8B24C556-DA54-4A2C-B312-75B43B31D8CD}" uniqueName="6" name="Quantity" queryTableFieldId="6" dataDxfId="23"/>
    <tableColumn id="7" xr3:uid="{A5A26A97-A091-4E13-B8C0-13DF2068A3AB}" uniqueName="7" name="Product_Category" queryTableFieldId="7" dataDxfId="2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482BCC-ADB6-4814-BD6A-B789FC192EAC}" name="Table2" displayName="Table2" ref="A1:I501" totalsRowShown="0" headerRowDxfId="21">
  <autoFilter ref="A1:I501" xr:uid="{4D482BCC-ADB6-4814-BD6A-B789FC192EA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4143A255-6471-4720-A74D-947698DBB2A5}" name="Customer_ID" dataDxfId="8"/>
    <tableColumn id="2" xr3:uid="{0419526C-4B7B-4653-9DD4-058179C464CF}" name="Recency_days" dataDxfId="7"/>
    <tableColumn id="3" xr3:uid="{7460E48E-0FF2-4197-BA46-29DF8535BD1A}" name="Purchase_Frequency " dataDxfId="6"/>
    <tableColumn id="4" xr3:uid="{E58789E1-4276-4B8A-9AA1-9BEA5556D0D6}" name="Total_spending" dataDxfId="5"/>
    <tableColumn id="5" xr3:uid="{6E6D0C28-632A-4CDC-ABE2-22CCFE393664}" name="R_Score" dataDxfId="4"/>
    <tableColumn id="6" xr3:uid="{2F85632E-71FD-4B9C-9E6F-4B37F406C05E}" name="F_Score" dataDxfId="3"/>
    <tableColumn id="7" xr3:uid="{E508BC88-02B5-4658-A108-0D6D0EC90430}" name="M_Score" dataDxfId="2"/>
    <tableColumn id="8" xr3:uid="{32B30939-B9D6-4ACE-B683-72EE3AA0D4B6}" name="RFM_Score" dataDxfId="1"/>
    <tableColumn id="9" xr3:uid="{DB9FB5BA-A100-4357-89A7-D19DB1A52281}" name="Customer_Segmentation" dataDxfId="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2AFA22-FEE9-4370-B609-436E30EDBCB5}" name="Table3" displayName="Table3" ref="A1:H501" totalsRowShown="0" headerRowDxfId="9" headerRowBorderDxfId="19" tableBorderDxfId="20" totalsRowBorderDxfId="18">
  <autoFilter ref="A1:H501" xr:uid="{EE2AFA22-FEE9-4370-B609-436E30EDBCB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A1C3B52B-CA9E-4656-B5A3-6B6E54CCFEE5}" name="Customer_ID" dataDxfId="17"/>
    <tableColumn id="2" xr3:uid="{291B3209-77BE-4FE6-900D-FE36A91F5F9F}" name="Average_order_value" dataDxfId="16"/>
    <tableColumn id="3" xr3:uid="{F8632D78-1C8E-4930-88BE-FFB42D867576}" name="Last_Purchase_date" dataDxfId="15"/>
    <tableColumn id="4" xr3:uid="{C2399A7E-9DEC-4D26-87BA-F286EF45A135}" name="First_purchase_date" dataDxfId="14"/>
    <tableColumn id="5" xr3:uid="{B75F0614-63B5-48ED-837C-A95E3EA58584}" name="Customer_Lifespan_Years" dataDxfId="13"/>
    <tableColumn id="6" xr3:uid="{A2F8C3F3-81D1-4DB7-8E49-887D46ABED52}" name="Annual_Purchase_frequency" dataDxfId="12"/>
    <tableColumn id="7" xr3:uid="{27D69742-CB9E-4A16-B812-175EECD70AF9}" name="CLV_Gross_Revenue" dataDxfId="11"/>
    <tableColumn id="8" xr3:uid="{C748D406-9BF3-4F44-A54C-457ECD2234D8}" name="CLV_Profit(30%margin)" dataDxfId="1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23A7A-B046-4061-84BC-1BA514065097}">
  <dimension ref="A1:I3940"/>
  <sheetViews>
    <sheetView topLeftCell="A3871" zoomScale="104" workbookViewId="0">
      <selection activeCell="J8" sqref="J8"/>
    </sheetView>
  </sheetViews>
  <sheetFormatPr defaultRowHeight="14.4" x14ac:dyDescent="0.3"/>
  <cols>
    <col min="1" max="1" width="15.88671875" style="2" bestFit="1" customWidth="1"/>
    <col min="2" max="2" width="14.109375" style="2" bestFit="1" customWidth="1"/>
    <col min="3" max="3" width="17.44140625" style="6" bestFit="1" customWidth="1"/>
    <col min="4" max="4" width="18" style="1" bestFit="1" customWidth="1"/>
    <col min="5" max="5" width="18.88671875" bestFit="1" customWidth="1"/>
    <col min="6" max="6" width="10.5546875" style="3" bestFit="1" customWidth="1"/>
    <col min="7" max="7" width="18.5546875" style="6" bestFit="1" customWidth="1"/>
    <col min="9" max="9" width="15.21875" customWidth="1"/>
  </cols>
  <sheetData>
    <row r="1" spans="1:9" x14ac:dyDescent="0.3">
      <c r="A1" s="2" t="s">
        <v>0</v>
      </c>
      <c r="B1" s="2" t="s">
        <v>1</v>
      </c>
      <c r="C1" s="6" t="s">
        <v>2</v>
      </c>
      <c r="D1" s="1" t="s">
        <v>3</v>
      </c>
      <c r="E1" t="s">
        <v>4</v>
      </c>
      <c r="F1" s="3" t="s">
        <v>5</v>
      </c>
      <c r="G1" s="6" t="s">
        <v>6</v>
      </c>
    </row>
    <row r="2" spans="1:9" x14ac:dyDescent="0.3">
      <c r="A2" s="2" t="s">
        <v>7</v>
      </c>
      <c r="B2" s="2" t="s">
        <v>8</v>
      </c>
      <c r="C2" s="6" t="s">
        <v>9</v>
      </c>
      <c r="D2" s="1">
        <v>45540</v>
      </c>
      <c r="E2" s="4">
        <v>99.88</v>
      </c>
      <c r="F2" s="3">
        <v>1</v>
      </c>
      <c r="G2" s="6" t="s">
        <v>10</v>
      </c>
      <c r="I2" s="1"/>
    </row>
    <row r="3" spans="1:9" x14ac:dyDescent="0.3">
      <c r="A3" s="2" t="s">
        <v>11</v>
      </c>
      <c r="B3" s="2" t="s">
        <v>8</v>
      </c>
      <c r="C3" s="6" t="s">
        <v>9</v>
      </c>
      <c r="D3" s="1">
        <v>45294</v>
      </c>
      <c r="E3" s="4">
        <v>228.46</v>
      </c>
      <c r="F3" s="3">
        <v>3</v>
      </c>
      <c r="G3" s="6" t="s">
        <v>12</v>
      </c>
      <c r="I3" s="1"/>
    </row>
    <row r="4" spans="1:9" x14ac:dyDescent="0.3">
      <c r="A4" s="2" t="s">
        <v>13</v>
      </c>
      <c r="B4" s="2" t="s">
        <v>8</v>
      </c>
      <c r="C4" s="6" t="s">
        <v>9</v>
      </c>
      <c r="D4" s="1">
        <v>45279</v>
      </c>
      <c r="E4" s="4">
        <v>173.52</v>
      </c>
      <c r="F4" s="3">
        <v>2</v>
      </c>
      <c r="G4" s="6" t="s">
        <v>12</v>
      </c>
      <c r="I4" s="1"/>
    </row>
    <row r="5" spans="1:9" x14ac:dyDescent="0.3">
      <c r="A5" s="2" t="s">
        <v>14</v>
      </c>
      <c r="B5" s="2" t="s">
        <v>8</v>
      </c>
      <c r="C5" s="6" t="s">
        <v>9</v>
      </c>
      <c r="D5" s="1">
        <v>45500</v>
      </c>
      <c r="E5" s="4">
        <v>485.26</v>
      </c>
      <c r="F5" s="3">
        <v>2</v>
      </c>
      <c r="G5" s="6" t="s">
        <v>15</v>
      </c>
      <c r="I5" s="1"/>
    </row>
    <row r="6" spans="1:9" x14ac:dyDescent="0.3">
      <c r="A6" s="2" t="s">
        <v>16</v>
      </c>
      <c r="B6" s="2" t="s">
        <v>8</v>
      </c>
      <c r="C6" s="6" t="s">
        <v>9</v>
      </c>
      <c r="D6" s="1">
        <v>45485</v>
      </c>
      <c r="E6" s="4">
        <v>10.38</v>
      </c>
      <c r="F6" s="3">
        <v>1</v>
      </c>
      <c r="G6" s="6" t="s">
        <v>15</v>
      </c>
      <c r="I6" s="1"/>
    </row>
    <row r="7" spans="1:9" x14ac:dyDescent="0.3">
      <c r="A7" s="2" t="s">
        <v>17</v>
      </c>
      <c r="B7" s="2" t="s">
        <v>8</v>
      </c>
      <c r="C7" s="6" t="s">
        <v>9</v>
      </c>
      <c r="D7" s="1">
        <v>45352</v>
      </c>
      <c r="E7" s="4">
        <v>159.08000000000001</v>
      </c>
      <c r="F7" s="3">
        <v>1</v>
      </c>
      <c r="G7" s="6" t="s">
        <v>18</v>
      </c>
    </row>
    <row r="8" spans="1:9" x14ac:dyDescent="0.3">
      <c r="A8" s="2" t="s">
        <v>19</v>
      </c>
      <c r="B8" s="2" t="s">
        <v>8</v>
      </c>
      <c r="C8" s="6" t="s">
        <v>9</v>
      </c>
      <c r="D8" s="1">
        <v>45427</v>
      </c>
      <c r="E8" s="4">
        <v>21.3</v>
      </c>
      <c r="F8" s="3">
        <v>3</v>
      </c>
      <c r="G8" s="6" t="s">
        <v>12</v>
      </c>
    </row>
    <row r="9" spans="1:9" x14ac:dyDescent="0.3">
      <c r="A9" s="2" t="s">
        <v>20</v>
      </c>
      <c r="B9" s="2" t="s">
        <v>21</v>
      </c>
      <c r="C9" s="6" t="s">
        <v>22</v>
      </c>
      <c r="D9" s="1">
        <v>45421</v>
      </c>
      <c r="E9" s="4">
        <v>487.14</v>
      </c>
      <c r="F9" s="3">
        <v>2</v>
      </c>
      <c r="G9" s="6" t="s">
        <v>18</v>
      </c>
    </row>
    <row r="10" spans="1:9" x14ac:dyDescent="0.3">
      <c r="A10" s="2" t="s">
        <v>23</v>
      </c>
      <c r="B10" s="2" t="s">
        <v>21</v>
      </c>
      <c r="C10" s="6" t="s">
        <v>22</v>
      </c>
      <c r="D10" s="1">
        <v>45632</v>
      </c>
      <c r="E10" s="4">
        <v>313.01</v>
      </c>
      <c r="F10" s="3">
        <v>3</v>
      </c>
      <c r="G10" s="6" t="s">
        <v>15</v>
      </c>
    </row>
    <row r="11" spans="1:9" x14ac:dyDescent="0.3">
      <c r="A11" s="2" t="s">
        <v>24</v>
      </c>
      <c r="B11" s="2" t="s">
        <v>21</v>
      </c>
      <c r="C11" s="6" t="s">
        <v>22</v>
      </c>
      <c r="D11" s="1">
        <v>45189</v>
      </c>
      <c r="E11" s="4">
        <v>300.27999999999997</v>
      </c>
      <c r="F11" s="3">
        <v>1</v>
      </c>
      <c r="G11" s="6" t="s">
        <v>12</v>
      </c>
    </row>
    <row r="12" spans="1:9" x14ac:dyDescent="0.3">
      <c r="A12" s="2" t="s">
        <v>25</v>
      </c>
      <c r="B12" s="2" t="s">
        <v>21</v>
      </c>
      <c r="C12" s="6" t="s">
        <v>22</v>
      </c>
      <c r="D12" s="1">
        <v>45592</v>
      </c>
      <c r="E12" s="4">
        <v>93.56</v>
      </c>
      <c r="F12" s="3">
        <v>4</v>
      </c>
      <c r="G12" s="6" t="s">
        <v>26</v>
      </c>
    </row>
    <row r="13" spans="1:9" x14ac:dyDescent="0.3">
      <c r="A13" s="2" t="s">
        <v>27</v>
      </c>
      <c r="B13" s="2" t="s">
        <v>21</v>
      </c>
      <c r="C13" s="6" t="s">
        <v>22</v>
      </c>
      <c r="D13" s="1">
        <v>45546</v>
      </c>
      <c r="E13" s="4">
        <v>483.16</v>
      </c>
      <c r="F13" s="3">
        <v>2</v>
      </c>
      <c r="G13" s="6" t="s">
        <v>26</v>
      </c>
    </row>
    <row r="14" spans="1:9" x14ac:dyDescent="0.3">
      <c r="A14" s="2" t="s">
        <v>28</v>
      </c>
      <c r="B14" s="2" t="s">
        <v>21</v>
      </c>
      <c r="C14" s="6" t="s">
        <v>22</v>
      </c>
      <c r="D14" s="1">
        <v>45291</v>
      </c>
      <c r="E14" s="4">
        <v>57.86</v>
      </c>
      <c r="F14" s="3">
        <v>4</v>
      </c>
      <c r="G14" s="6" t="s">
        <v>15</v>
      </c>
    </row>
    <row r="15" spans="1:9" x14ac:dyDescent="0.3">
      <c r="A15" s="2" t="s">
        <v>29</v>
      </c>
      <c r="B15" s="2" t="s">
        <v>21</v>
      </c>
      <c r="C15" s="6" t="s">
        <v>22</v>
      </c>
      <c r="D15" s="1">
        <v>45312</v>
      </c>
      <c r="E15" s="4">
        <v>344.8</v>
      </c>
      <c r="F15" s="3">
        <v>1</v>
      </c>
      <c r="G15" s="6" t="s">
        <v>15</v>
      </c>
    </row>
    <row r="16" spans="1:9" x14ac:dyDescent="0.3">
      <c r="A16" s="2" t="s">
        <v>30</v>
      </c>
      <c r="B16" s="2" t="s">
        <v>21</v>
      </c>
      <c r="C16" s="6" t="s">
        <v>22</v>
      </c>
      <c r="D16" s="1">
        <v>44980</v>
      </c>
      <c r="E16" s="4">
        <v>455.57</v>
      </c>
      <c r="F16" s="3">
        <v>2</v>
      </c>
      <c r="G16" s="6" t="s">
        <v>15</v>
      </c>
    </row>
    <row r="17" spans="1:7" x14ac:dyDescent="0.3">
      <c r="A17" s="2" t="s">
        <v>31</v>
      </c>
      <c r="B17" s="2" t="s">
        <v>21</v>
      </c>
      <c r="C17" s="6" t="s">
        <v>22</v>
      </c>
      <c r="D17" s="1">
        <v>45333</v>
      </c>
      <c r="E17" s="4">
        <v>162.74</v>
      </c>
      <c r="F17" s="3">
        <v>2</v>
      </c>
      <c r="G17" s="6" t="s">
        <v>18</v>
      </c>
    </row>
    <row r="18" spans="1:7" x14ac:dyDescent="0.3">
      <c r="A18" s="2" t="s">
        <v>32</v>
      </c>
      <c r="B18" s="2" t="s">
        <v>21</v>
      </c>
      <c r="C18" s="6" t="s">
        <v>22</v>
      </c>
      <c r="D18" s="1">
        <v>45051</v>
      </c>
      <c r="E18" s="4">
        <v>288.17</v>
      </c>
      <c r="F18" s="3">
        <v>3</v>
      </c>
      <c r="G18" s="6" t="s">
        <v>10</v>
      </c>
    </row>
    <row r="19" spans="1:7" x14ac:dyDescent="0.3">
      <c r="A19" s="2" t="s">
        <v>33</v>
      </c>
      <c r="B19" s="2" t="s">
        <v>21</v>
      </c>
      <c r="C19" s="6" t="s">
        <v>22</v>
      </c>
      <c r="D19" s="1">
        <v>45347</v>
      </c>
      <c r="E19" s="4">
        <v>389.82</v>
      </c>
      <c r="F19" s="3">
        <v>2</v>
      </c>
      <c r="G19" s="6" t="s">
        <v>26</v>
      </c>
    </row>
    <row r="20" spans="1:7" x14ac:dyDescent="0.3">
      <c r="A20" s="2" t="s">
        <v>34</v>
      </c>
      <c r="B20" s="2" t="s">
        <v>21</v>
      </c>
      <c r="C20" s="6" t="s">
        <v>22</v>
      </c>
      <c r="D20" s="1">
        <v>45215</v>
      </c>
      <c r="E20" s="4">
        <v>366.36</v>
      </c>
      <c r="F20" s="3">
        <v>3</v>
      </c>
      <c r="G20" s="6" t="s">
        <v>18</v>
      </c>
    </row>
    <row r="21" spans="1:7" x14ac:dyDescent="0.3">
      <c r="A21" s="2" t="s">
        <v>35</v>
      </c>
      <c r="B21" s="2" t="s">
        <v>21</v>
      </c>
      <c r="C21" s="6" t="s">
        <v>22</v>
      </c>
      <c r="D21" s="1">
        <v>45197</v>
      </c>
      <c r="E21" s="4">
        <v>32.159999999999997</v>
      </c>
      <c r="F21" s="3">
        <v>4</v>
      </c>
      <c r="G21" s="6" t="s">
        <v>10</v>
      </c>
    </row>
    <row r="22" spans="1:7" x14ac:dyDescent="0.3">
      <c r="A22" s="2" t="s">
        <v>36</v>
      </c>
      <c r="B22" s="2" t="s">
        <v>21</v>
      </c>
      <c r="C22" s="6" t="s">
        <v>22</v>
      </c>
      <c r="D22" s="1">
        <v>45283</v>
      </c>
      <c r="E22" s="4">
        <v>274.45</v>
      </c>
      <c r="F22" s="3">
        <v>1</v>
      </c>
      <c r="G22" s="6" t="s">
        <v>26</v>
      </c>
    </row>
    <row r="23" spans="1:7" x14ac:dyDescent="0.3">
      <c r="A23" s="2" t="s">
        <v>37</v>
      </c>
      <c r="B23" s="2" t="s">
        <v>21</v>
      </c>
      <c r="C23" s="6" t="s">
        <v>22</v>
      </c>
      <c r="D23" s="1">
        <v>45133</v>
      </c>
      <c r="E23" s="4">
        <v>275.92</v>
      </c>
      <c r="F23" s="3">
        <v>1</v>
      </c>
      <c r="G23" s="6" t="s">
        <v>38</v>
      </c>
    </row>
    <row r="24" spans="1:7" x14ac:dyDescent="0.3">
      <c r="A24" s="2" t="s">
        <v>39</v>
      </c>
      <c r="B24" s="2" t="s">
        <v>40</v>
      </c>
      <c r="C24" s="6" t="s">
        <v>41</v>
      </c>
      <c r="D24" s="1">
        <v>45651</v>
      </c>
      <c r="E24" s="4">
        <v>493.57</v>
      </c>
      <c r="F24" s="3">
        <v>4</v>
      </c>
      <c r="G24" s="6" t="s">
        <v>38</v>
      </c>
    </row>
    <row r="25" spans="1:7" x14ac:dyDescent="0.3">
      <c r="A25" s="2" t="s">
        <v>42</v>
      </c>
      <c r="B25" s="2" t="s">
        <v>40</v>
      </c>
      <c r="C25" s="6" t="s">
        <v>41</v>
      </c>
      <c r="D25" s="1">
        <v>45570</v>
      </c>
      <c r="E25" s="4">
        <v>12.71</v>
      </c>
      <c r="F25" s="3">
        <v>3</v>
      </c>
      <c r="G25" s="6" t="s">
        <v>12</v>
      </c>
    </row>
    <row r="26" spans="1:7" x14ac:dyDescent="0.3">
      <c r="A26" s="2" t="s">
        <v>43</v>
      </c>
      <c r="B26" s="2" t="s">
        <v>40</v>
      </c>
      <c r="C26" s="6" t="s">
        <v>41</v>
      </c>
      <c r="D26" s="1">
        <v>45643</v>
      </c>
      <c r="E26" s="4">
        <v>358.56</v>
      </c>
      <c r="F26" s="3">
        <v>1</v>
      </c>
      <c r="G26" s="6" t="s">
        <v>12</v>
      </c>
    </row>
    <row r="27" spans="1:7" x14ac:dyDescent="0.3">
      <c r="A27" s="2" t="s">
        <v>44</v>
      </c>
      <c r="B27" s="2" t="s">
        <v>40</v>
      </c>
      <c r="C27" s="6" t="s">
        <v>41</v>
      </c>
      <c r="D27" s="1">
        <v>45567</v>
      </c>
      <c r="E27" s="4">
        <v>463.89</v>
      </c>
      <c r="F27" s="3">
        <v>1</v>
      </c>
      <c r="G27" s="6" t="s">
        <v>26</v>
      </c>
    </row>
    <row r="28" spans="1:7" x14ac:dyDescent="0.3">
      <c r="A28" s="2" t="s">
        <v>45</v>
      </c>
      <c r="B28" s="2" t="s">
        <v>40</v>
      </c>
      <c r="C28" s="6" t="s">
        <v>41</v>
      </c>
      <c r="D28" s="1">
        <v>45590</v>
      </c>
      <c r="E28" s="4">
        <v>432.92</v>
      </c>
      <c r="F28" s="3">
        <v>2</v>
      </c>
      <c r="G28" s="6" t="s">
        <v>15</v>
      </c>
    </row>
    <row r="29" spans="1:7" x14ac:dyDescent="0.3">
      <c r="A29" s="2" t="s">
        <v>46</v>
      </c>
      <c r="B29" s="2" t="s">
        <v>40</v>
      </c>
      <c r="C29" s="6" t="s">
        <v>41</v>
      </c>
      <c r="D29" s="1">
        <v>45595</v>
      </c>
      <c r="E29" s="4">
        <v>41.14</v>
      </c>
      <c r="F29" s="3">
        <v>4</v>
      </c>
      <c r="G29" s="6" t="s">
        <v>18</v>
      </c>
    </row>
    <row r="30" spans="1:7" x14ac:dyDescent="0.3">
      <c r="A30" s="2" t="s">
        <v>47</v>
      </c>
      <c r="B30" s="2" t="s">
        <v>40</v>
      </c>
      <c r="C30" s="6" t="s">
        <v>41</v>
      </c>
      <c r="D30" s="1">
        <v>45599</v>
      </c>
      <c r="E30" s="4">
        <v>367.51</v>
      </c>
      <c r="F30" s="3">
        <v>3</v>
      </c>
      <c r="G30" s="6" t="s">
        <v>18</v>
      </c>
    </row>
    <row r="31" spans="1:7" x14ac:dyDescent="0.3">
      <c r="A31" s="2" t="s">
        <v>48</v>
      </c>
      <c r="B31" s="2" t="s">
        <v>40</v>
      </c>
      <c r="C31" s="6" t="s">
        <v>41</v>
      </c>
      <c r="D31" s="1">
        <v>45597</v>
      </c>
      <c r="E31" s="4">
        <v>241.39</v>
      </c>
      <c r="F31" s="3">
        <v>3</v>
      </c>
      <c r="G31" s="6" t="s">
        <v>10</v>
      </c>
    </row>
    <row r="32" spans="1:7" x14ac:dyDescent="0.3">
      <c r="A32" s="2" t="s">
        <v>49</v>
      </c>
      <c r="B32" s="2" t="s">
        <v>40</v>
      </c>
      <c r="C32" s="6" t="s">
        <v>41</v>
      </c>
      <c r="D32" s="1">
        <v>45640</v>
      </c>
      <c r="E32" s="4">
        <v>425.97</v>
      </c>
      <c r="F32" s="3">
        <v>2</v>
      </c>
      <c r="G32" s="6" t="s">
        <v>10</v>
      </c>
    </row>
    <row r="33" spans="1:7" x14ac:dyDescent="0.3">
      <c r="A33" s="2" t="s">
        <v>50</v>
      </c>
      <c r="B33" s="2" t="s">
        <v>40</v>
      </c>
      <c r="C33" s="6" t="s">
        <v>41</v>
      </c>
      <c r="D33" s="1">
        <v>45576</v>
      </c>
      <c r="E33" s="4">
        <v>251.96</v>
      </c>
      <c r="F33" s="3">
        <v>3</v>
      </c>
      <c r="G33" s="6" t="s">
        <v>38</v>
      </c>
    </row>
    <row r="34" spans="1:7" x14ac:dyDescent="0.3">
      <c r="A34" s="2" t="s">
        <v>51</v>
      </c>
      <c r="B34" s="2" t="s">
        <v>40</v>
      </c>
      <c r="C34" s="6" t="s">
        <v>41</v>
      </c>
      <c r="D34" s="1">
        <v>45577</v>
      </c>
      <c r="E34" s="4">
        <v>64.34</v>
      </c>
      <c r="F34" s="3">
        <v>1</v>
      </c>
      <c r="G34" s="6" t="s">
        <v>15</v>
      </c>
    </row>
    <row r="35" spans="1:7" x14ac:dyDescent="0.3">
      <c r="A35" s="2" t="s">
        <v>52</v>
      </c>
      <c r="B35" s="2" t="s">
        <v>40</v>
      </c>
      <c r="C35" s="6" t="s">
        <v>41</v>
      </c>
      <c r="D35" s="1">
        <v>45613</v>
      </c>
      <c r="E35" s="4">
        <v>25.4</v>
      </c>
      <c r="F35" s="3">
        <v>4</v>
      </c>
      <c r="G35" s="6" t="s">
        <v>38</v>
      </c>
    </row>
    <row r="36" spans="1:7" x14ac:dyDescent="0.3">
      <c r="A36" s="2" t="s">
        <v>53</v>
      </c>
      <c r="B36" s="2" t="s">
        <v>40</v>
      </c>
      <c r="C36" s="6" t="s">
        <v>41</v>
      </c>
      <c r="D36" s="1">
        <v>45566</v>
      </c>
      <c r="E36" s="4">
        <v>454.71</v>
      </c>
      <c r="F36" s="3">
        <v>3</v>
      </c>
      <c r="G36" s="6" t="s">
        <v>10</v>
      </c>
    </row>
    <row r="37" spans="1:7" x14ac:dyDescent="0.3">
      <c r="A37" s="2" t="s">
        <v>54</v>
      </c>
      <c r="B37" s="2" t="s">
        <v>40</v>
      </c>
      <c r="C37" s="6" t="s">
        <v>41</v>
      </c>
      <c r="D37" s="1">
        <v>45605</v>
      </c>
      <c r="E37" s="4">
        <v>109.5</v>
      </c>
      <c r="F37" s="3">
        <v>4</v>
      </c>
      <c r="G37" s="6" t="s">
        <v>10</v>
      </c>
    </row>
    <row r="38" spans="1:7" x14ac:dyDescent="0.3">
      <c r="A38" s="2" t="s">
        <v>55</v>
      </c>
      <c r="B38" s="2" t="s">
        <v>40</v>
      </c>
      <c r="C38" s="6" t="s">
        <v>41</v>
      </c>
      <c r="D38" s="1">
        <v>45633</v>
      </c>
      <c r="E38" s="4">
        <v>151.97999999999999</v>
      </c>
      <c r="F38" s="3">
        <v>4</v>
      </c>
      <c r="G38" s="6" t="s">
        <v>18</v>
      </c>
    </row>
    <row r="39" spans="1:7" x14ac:dyDescent="0.3">
      <c r="A39" s="2" t="s">
        <v>56</v>
      </c>
      <c r="B39" s="2" t="s">
        <v>57</v>
      </c>
      <c r="C39" s="6" t="s">
        <v>58</v>
      </c>
      <c r="D39" s="1">
        <v>45502</v>
      </c>
      <c r="E39" s="4">
        <v>154.86000000000001</v>
      </c>
      <c r="F39" s="3">
        <v>2</v>
      </c>
      <c r="G39" s="6" t="s">
        <v>10</v>
      </c>
    </row>
    <row r="40" spans="1:7" x14ac:dyDescent="0.3">
      <c r="A40" s="2" t="s">
        <v>59</v>
      </c>
      <c r="B40" s="2" t="s">
        <v>57</v>
      </c>
      <c r="C40" s="6" t="s">
        <v>58</v>
      </c>
      <c r="D40" s="1">
        <v>44973</v>
      </c>
      <c r="E40" s="4">
        <v>117.04</v>
      </c>
      <c r="F40" s="3">
        <v>2</v>
      </c>
      <c r="G40" s="6" t="s">
        <v>15</v>
      </c>
    </row>
    <row r="41" spans="1:7" x14ac:dyDescent="0.3">
      <c r="A41" s="2" t="s">
        <v>60</v>
      </c>
      <c r="B41" s="2" t="s">
        <v>61</v>
      </c>
      <c r="C41" s="6" t="s">
        <v>62</v>
      </c>
      <c r="D41" s="1">
        <v>45424</v>
      </c>
      <c r="E41" s="4">
        <v>405.65</v>
      </c>
      <c r="F41" s="3">
        <v>1</v>
      </c>
      <c r="G41" s="6" t="s">
        <v>15</v>
      </c>
    </row>
    <row r="42" spans="1:7" x14ac:dyDescent="0.3">
      <c r="A42" s="2" t="s">
        <v>63</v>
      </c>
      <c r="B42" s="2" t="s">
        <v>61</v>
      </c>
      <c r="C42" s="6" t="s">
        <v>62</v>
      </c>
      <c r="D42" s="1">
        <v>45527</v>
      </c>
      <c r="E42" s="4">
        <v>454.35</v>
      </c>
      <c r="F42" s="3">
        <v>1</v>
      </c>
      <c r="G42" s="6" t="s">
        <v>38</v>
      </c>
    </row>
    <row r="43" spans="1:7" x14ac:dyDescent="0.3">
      <c r="A43" s="2" t="s">
        <v>64</v>
      </c>
      <c r="B43" s="2" t="s">
        <v>61</v>
      </c>
      <c r="C43" s="6" t="s">
        <v>62</v>
      </c>
      <c r="D43" s="1">
        <v>45579</v>
      </c>
      <c r="E43" s="4">
        <v>219.28</v>
      </c>
      <c r="F43" s="3">
        <v>1</v>
      </c>
      <c r="G43" s="6" t="s">
        <v>15</v>
      </c>
    </row>
    <row r="44" spans="1:7" x14ac:dyDescent="0.3">
      <c r="A44" s="2" t="s">
        <v>65</v>
      </c>
      <c r="B44" s="2" t="s">
        <v>61</v>
      </c>
      <c r="C44" s="6" t="s">
        <v>62</v>
      </c>
      <c r="D44" s="1">
        <v>45529</v>
      </c>
      <c r="E44" s="4">
        <v>159.34</v>
      </c>
      <c r="F44" s="3">
        <v>4</v>
      </c>
      <c r="G44" s="6" t="s">
        <v>18</v>
      </c>
    </row>
    <row r="45" spans="1:7" x14ac:dyDescent="0.3">
      <c r="A45" s="2" t="s">
        <v>66</v>
      </c>
      <c r="B45" s="2" t="s">
        <v>61</v>
      </c>
      <c r="C45" s="6" t="s">
        <v>62</v>
      </c>
      <c r="D45" s="1">
        <v>45433</v>
      </c>
      <c r="E45" s="4">
        <v>247.57</v>
      </c>
      <c r="F45" s="3">
        <v>3</v>
      </c>
      <c r="G45" s="6" t="s">
        <v>38</v>
      </c>
    </row>
    <row r="46" spans="1:7" x14ac:dyDescent="0.3">
      <c r="A46" s="2" t="s">
        <v>67</v>
      </c>
      <c r="B46" s="2" t="s">
        <v>61</v>
      </c>
      <c r="C46" s="6" t="s">
        <v>62</v>
      </c>
      <c r="D46" s="1">
        <v>45530</v>
      </c>
      <c r="E46" s="4">
        <v>175.43</v>
      </c>
      <c r="F46" s="3">
        <v>2</v>
      </c>
      <c r="G46" s="6" t="s">
        <v>12</v>
      </c>
    </row>
    <row r="47" spans="1:7" x14ac:dyDescent="0.3">
      <c r="A47" s="2" t="s">
        <v>68</v>
      </c>
      <c r="B47" s="2" t="s">
        <v>61</v>
      </c>
      <c r="C47" s="6" t="s">
        <v>62</v>
      </c>
      <c r="D47" s="1">
        <v>45456</v>
      </c>
      <c r="E47" s="4">
        <v>264.20999999999998</v>
      </c>
      <c r="F47" s="3">
        <v>4</v>
      </c>
      <c r="G47" s="6" t="s">
        <v>38</v>
      </c>
    </row>
    <row r="48" spans="1:7" x14ac:dyDescent="0.3">
      <c r="A48" s="2" t="s">
        <v>69</v>
      </c>
      <c r="B48" s="2" t="s">
        <v>61</v>
      </c>
      <c r="C48" s="6" t="s">
        <v>62</v>
      </c>
      <c r="D48" s="1">
        <v>45409</v>
      </c>
      <c r="E48" s="4">
        <v>41.8</v>
      </c>
      <c r="F48" s="3">
        <v>4</v>
      </c>
      <c r="G48" s="6" t="s">
        <v>26</v>
      </c>
    </row>
    <row r="49" spans="1:7" x14ac:dyDescent="0.3">
      <c r="A49" s="2" t="s">
        <v>70</v>
      </c>
      <c r="B49" s="2" t="s">
        <v>61</v>
      </c>
      <c r="C49" s="6" t="s">
        <v>62</v>
      </c>
      <c r="D49" s="1">
        <v>45564</v>
      </c>
      <c r="E49" s="4">
        <v>133.37</v>
      </c>
      <c r="F49" s="3">
        <v>3</v>
      </c>
      <c r="G49" s="6" t="s">
        <v>26</v>
      </c>
    </row>
    <row r="50" spans="1:7" x14ac:dyDescent="0.3">
      <c r="A50" s="2" t="s">
        <v>71</v>
      </c>
      <c r="B50" s="2" t="s">
        <v>61</v>
      </c>
      <c r="C50" s="6" t="s">
        <v>62</v>
      </c>
      <c r="D50" s="1">
        <v>45409</v>
      </c>
      <c r="E50" s="4">
        <v>82.56</v>
      </c>
      <c r="F50" s="3">
        <v>3</v>
      </c>
      <c r="G50" s="6" t="s">
        <v>38</v>
      </c>
    </row>
    <row r="51" spans="1:7" x14ac:dyDescent="0.3">
      <c r="A51" s="2" t="s">
        <v>72</v>
      </c>
      <c r="B51" s="2" t="s">
        <v>61</v>
      </c>
      <c r="C51" s="6" t="s">
        <v>62</v>
      </c>
      <c r="D51" s="1">
        <v>45409</v>
      </c>
      <c r="E51" s="4">
        <v>488.54</v>
      </c>
      <c r="F51" s="3">
        <v>2</v>
      </c>
      <c r="G51" s="6" t="s">
        <v>15</v>
      </c>
    </row>
    <row r="52" spans="1:7" x14ac:dyDescent="0.3">
      <c r="A52" s="2" t="s">
        <v>73</v>
      </c>
      <c r="B52" s="2" t="s">
        <v>61</v>
      </c>
      <c r="C52" s="6" t="s">
        <v>62</v>
      </c>
      <c r="D52" s="1">
        <v>45639</v>
      </c>
      <c r="E52" s="4">
        <v>146.54</v>
      </c>
      <c r="F52" s="3">
        <v>1</v>
      </c>
      <c r="G52" s="6" t="s">
        <v>38</v>
      </c>
    </row>
    <row r="53" spans="1:7" x14ac:dyDescent="0.3">
      <c r="A53" s="2" t="s">
        <v>74</v>
      </c>
      <c r="B53" s="2" t="s">
        <v>61</v>
      </c>
      <c r="C53" s="6" t="s">
        <v>62</v>
      </c>
      <c r="D53" s="1">
        <v>45422</v>
      </c>
      <c r="E53" s="4">
        <v>81</v>
      </c>
      <c r="F53" s="3">
        <v>2</v>
      </c>
      <c r="G53" s="6" t="s">
        <v>15</v>
      </c>
    </row>
    <row r="54" spans="1:7" x14ac:dyDescent="0.3">
      <c r="A54" s="2" t="s">
        <v>75</v>
      </c>
      <c r="B54" s="2" t="s">
        <v>61</v>
      </c>
      <c r="C54" s="6" t="s">
        <v>62</v>
      </c>
      <c r="D54" s="1">
        <v>45456</v>
      </c>
      <c r="E54" s="4">
        <v>280.92</v>
      </c>
      <c r="F54" s="3">
        <v>3</v>
      </c>
      <c r="G54" s="6" t="s">
        <v>15</v>
      </c>
    </row>
    <row r="55" spans="1:7" x14ac:dyDescent="0.3">
      <c r="A55" s="2" t="s">
        <v>76</v>
      </c>
      <c r="B55" s="2" t="s">
        <v>77</v>
      </c>
      <c r="C55" s="6" t="s">
        <v>78</v>
      </c>
      <c r="D55" s="1">
        <v>45566</v>
      </c>
      <c r="E55" s="4">
        <v>128.66</v>
      </c>
      <c r="F55" s="3">
        <v>4</v>
      </c>
      <c r="G55" s="6" t="s">
        <v>18</v>
      </c>
    </row>
    <row r="56" spans="1:7" x14ac:dyDescent="0.3">
      <c r="A56" s="2" t="s">
        <v>79</v>
      </c>
      <c r="B56" s="2" t="s">
        <v>77</v>
      </c>
      <c r="C56" s="6" t="s">
        <v>78</v>
      </c>
      <c r="D56" s="1">
        <v>45512</v>
      </c>
      <c r="E56" s="4">
        <v>319.83</v>
      </c>
      <c r="F56" s="3">
        <v>2</v>
      </c>
      <c r="G56" s="6" t="s">
        <v>18</v>
      </c>
    </row>
    <row r="57" spans="1:7" x14ac:dyDescent="0.3">
      <c r="A57" s="2" t="s">
        <v>80</v>
      </c>
      <c r="B57" s="2" t="s">
        <v>77</v>
      </c>
      <c r="C57" s="6" t="s">
        <v>78</v>
      </c>
      <c r="D57" s="1">
        <v>45582</v>
      </c>
      <c r="E57" s="4">
        <v>410.05</v>
      </c>
      <c r="F57" s="3">
        <v>1</v>
      </c>
      <c r="G57" s="6" t="s">
        <v>38</v>
      </c>
    </row>
    <row r="58" spans="1:7" x14ac:dyDescent="0.3">
      <c r="A58" s="2" t="s">
        <v>81</v>
      </c>
      <c r="B58" s="2" t="s">
        <v>77</v>
      </c>
      <c r="C58" s="6" t="s">
        <v>78</v>
      </c>
      <c r="D58" s="1">
        <v>45567</v>
      </c>
      <c r="E58" s="4">
        <v>259.02</v>
      </c>
      <c r="F58" s="3">
        <v>3</v>
      </c>
      <c r="G58" s="6" t="s">
        <v>10</v>
      </c>
    </row>
    <row r="59" spans="1:7" x14ac:dyDescent="0.3">
      <c r="A59" s="2" t="s">
        <v>82</v>
      </c>
      <c r="B59" s="2" t="s">
        <v>77</v>
      </c>
      <c r="C59" s="6" t="s">
        <v>78</v>
      </c>
      <c r="D59" s="1">
        <v>45591</v>
      </c>
      <c r="E59" s="4">
        <v>169.72</v>
      </c>
      <c r="F59" s="3">
        <v>3</v>
      </c>
      <c r="G59" s="6" t="s">
        <v>15</v>
      </c>
    </row>
    <row r="60" spans="1:7" x14ac:dyDescent="0.3">
      <c r="A60" s="2" t="s">
        <v>83</v>
      </c>
      <c r="B60" s="2" t="s">
        <v>77</v>
      </c>
      <c r="C60" s="6" t="s">
        <v>78</v>
      </c>
      <c r="D60" s="1">
        <v>45533</v>
      </c>
      <c r="E60" s="4">
        <v>260.93</v>
      </c>
      <c r="F60" s="3">
        <v>4</v>
      </c>
      <c r="G60" s="6" t="s">
        <v>12</v>
      </c>
    </row>
    <row r="61" spans="1:7" x14ac:dyDescent="0.3">
      <c r="A61" s="2" t="s">
        <v>84</v>
      </c>
      <c r="B61" s="2" t="s">
        <v>77</v>
      </c>
      <c r="C61" s="6" t="s">
        <v>78</v>
      </c>
      <c r="D61" s="1">
        <v>45539</v>
      </c>
      <c r="E61" s="4">
        <v>57.13</v>
      </c>
      <c r="F61" s="3">
        <v>1</v>
      </c>
      <c r="G61" s="6" t="s">
        <v>38</v>
      </c>
    </row>
    <row r="62" spans="1:7" x14ac:dyDescent="0.3">
      <c r="A62" s="2" t="s">
        <v>85</v>
      </c>
      <c r="B62" s="2" t="s">
        <v>77</v>
      </c>
      <c r="C62" s="6" t="s">
        <v>78</v>
      </c>
      <c r="D62" s="1">
        <v>45611</v>
      </c>
      <c r="E62" s="4">
        <v>199.5</v>
      </c>
      <c r="F62" s="3">
        <v>4</v>
      </c>
      <c r="G62" s="6" t="s">
        <v>26</v>
      </c>
    </row>
    <row r="63" spans="1:7" x14ac:dyDescent="0.3">
      <c r="A63" s="2" t="s">
        <v>86</v>
      </c>
      <c r="B63" s="2" t="s">
        <v>77</v>
      </c>
      <c r="C63" s="6" t="s">
        <v>78</v>
      </c>
      <c r="D63" s="1">
        <v>45572</v>
      </c>
      <c r="E63" s="4">
        <v>341.09</v>
      </c>
      <c r="F63" s="3">
        <v>1</v>
      </c>
      <c r="G63" s="6" t="s">
        <v>38</v>
      </c>
    </row>
    <row r="64" spans="1:7" x14ac:dyDescent="0.3">
      <c r="A64" s="2" t="s">
        <v>87</v>
      </c>
      <c r="B64" s="2" t="s">
        <v>77</v>
      </c>
      <c r="C64" s="6" t="s">
        <v>78</v>
      </c>
      <c r="D64" s="1">
        <v>45621</v>
      </c>
      <c r="E64" s="4">
        <v>463.1</v>
      </c>
      <c r="F64" s="3">
        <v>2</v>
      </c>
      <c r="G64" s="6" t="s">
        <v>18</v>
      </c>
    </row>
    <row r="65" spans="1:7" x14ac:dyDescent="0.3">
      <c r="A65" s="2" t="s">
        <v>88</v>
      </c>
      <c r="B65" s="2" t="s">
        <v>77</v>
      </c>
      <c r="C65" s="6" t="s">
        <v>78</v>
      </c>
      <c r="D65" s="1">
        <v>45542</v>
      </c>
      <c r="E65" s="4">
        <v>121.99</v>
      </c>
      <c r="F65" s="3">
        <v>4</v>
      </c>
      <c r="G65" s="6" t="s">
        <v>26</v>
      </c>
    </row>
    <row r="66" spans="1:7" x14ac:dyDescent="0.3">
      <c r="A66" s="2" t="s">
        <v>89</v>
      </c>
      <c r="B66" s="2" t="s">
        <v>90</v>
      </c>
      <c r="C66" s="6" t="s">
        <v>91</v>
      </c>
      <c r="D66" s="1">
        <v>45057</v>
      </c>
      <c r="E66" s="4">
        <v>498.16</v>
      </c>
      <c r="F66" s="3">
        <v>4</v>
      </c>
      <c r="G66" s="6" t="s">
        <v>18</v>
      </c>
    </row>
    <row r="67" spans="1:7" x14ac:dyDescent="0.3">
      <c r="A67" s="2" t="s">
        <v>92</v>
      </c>
      <c r="B67" s="2" t="s">
        <v>90</v>
      </c>
      <c r="C67" s="6" t="s">
        <v>91</v>
      </c>
      <c r="D67" s="1">
        <v>45508</v>
      </c>
      <c r="E67" s="4">
        <v>451.2</v>
      </c>
      <c r="F67" s="3">
        <v>3</v>
      </c>
      <c r="G67" s="6" t="s">
        <v>12</v>
      </c>
    </row>
    <row r="68" spans="1:7" x14ac:dyDescent="0.3">
      <c r="A68" s="2" t="s">
        <v>93</v>
      </c>
      <c r="B68" s="2" t="s">
        <v>90</v>
      </c>
      <c r="C68" s="6" t="s">
        <v>91</v>
      </c>
      <c r="D68" s="1">
        <v>45064</v>
      </c>
      <c r="E68" s="4">
        <v>146.65</v>
      </c>
      <c r="F68" s="3">
        <v>4</v>
      </c>
      <c r="G68" s="6" t="s">
        <v>12</v>
      </c>
    </row>
    <row r="69" spans="1:7" x14ac:dyDescent="0.3">
      <c r="A69" s="2" t="s">
        <v>94</v>
      </c>
      <c r="B69" s="2" t="s">
        <v>90</v>
      </c>
      <c r="C69" s="6" t="s">
        <v>91</v>
      </c>
      <c r="D69" s="1">
        <v>45263</v>
      </c>
      <c r="E69" s="4">
        <v>449.58</v>
      </c>
      <c r="F69" s="3">
        <v>4</v>
      </c>
      <c r="G69" s="6" t="s">
        <v>18</v>
      </c>
    </row>
    <row r="70" spans="1:7" x14ac:dyDescent="0.3">
      <c r="A70" s="2" t="s">
        <v>95</v>
      </c>
      <c r="B70" s="2" t="s">
        <v>90</v>
      </c>
      <c r="C70" s="6" t="s">
        <v>91</v>
      </c>
      <c r="D70" s="1">
        <v>45642</v>
      </c>
      <c r="E70" s="4">
        <v>468.46</v>
      </c>
      <c r="F70" s="3">
        <v>2</v>
      </c>
      <c r="G70" s="6" t="s">
        <v>15</v>
      </c>
    </row>
    <row r="71" spans="1:7" x14ac:dyDescent="0.3">
      <c r="A71" s="2" t="s">
        <v>96</v>
      </c>
      <c r="B71" s="2" t="s">
        <v>90</v>
      </c>
      <c r="C71" s="6" t="s">
        <v>91</v>
      </c>
      <c r="D71" s="1">
        <v>45159</v>
      </c>
      <c r="E71" s="4">
        <v>307.14999999999998</v>
      </c>
      <c r="F71" s="3">
        <v>4</v>
      </c>
      <c r="G71" s="6" t="s">
        <v>12</v>
      </c>
    </row>
    <row r="72" spans="1:7" x14ac:dyDescent="0.3">
      <c r="A72" s="2" t="s">
        <v>97</v>
      </c>
      <c r="B72" s="2" t="s">
        <v>90</v>
      </c>
      <c r="C72" s="6" t="s">
        <v>91</v>
      </c>
      <c r="D72" s="1">
        <v>45565</v>
      </c>
      <c r="E72" s="4">
        <v>470.67</v>
      </c>
      <c r="F72" s="3">
        <v>1</v>
      </c>
      <c r="G72" s="6" t="s">
        <v>38</v>
      </c>
    </row>
    <row r="73" spans="1:7" x14ac:dyDescent="0.3">
      <c r="A73" s="2" t="s">
        <v>98</v>
      </c>
      <c r="B73" s="2" t="s">
        <v>90</v>
      </c>
      <c r="C73" s="6" t="s">
        <v>91</v>
      </c>
      <c r="D73" s="1">
        <v>45393</v>
      </c>
      <c r="E73" s="4">
        <v>247.95</v>
      </c>
      <c r="F73" s="3">
        <v>4</v>
      </c>
      <c r="G73" s="6" t="s">
        <v>12</v>
      </c>
    </row>
    <row r="74" spans="1:7" x14ac:dyDescent="0.3">
      <c r="A74" s="2" t="s">
        <v>99</v>
      </c>
      <c r="B74" s="2" t="s">
        <v>90</v>
      </c>
      <c r="C74" s="6" t="s">
        <v>91</v>
      </c>
      <c r="D74" s="1">
        <v>45216</v>
      </c>
      <c r="E74" s="4">
        <v>18.86</v>
      </c>
      <c r="F74" s="3">
        <v>1</v>
      </c>
      <c r="G74" s="6" t="s">
        <v>18</v>
      </c>
    </row>
    <row r="75" spans="1:7" x14ac:dyDescent="0.3">
      <c r="A75" s="2" t="s">
        <v>100</v>
      </c>
      <c r="B75" s="2" t="s">
        <v>101</v>
      </c>
      <c r="C75" s="6" t="s">
        <v>102</v>
      </c>
      <c r="D75" s="1">
        <v>45515</v>
      </c>
      <c r="E75" s="4">
        <v>426.12</v>
      </c>
      <c r="F75" s="3">
        <v>4</v>
      </c>
      <c r="G75" s="6" t="s">
        <v>38</v>
      </c>
    </row>
    <row r="76" spans="1:7" x14ac:dyDescent="0.3">
      <c r="A76" s="2" t="s">
        <v>103</v>
      </c>
      <c r="B76" s="2" t="s">
        <v>101</v>
      </c>
      <c r="C76" s="6" t="s">
        <v>102</v>
      </c>
      <c r="D76" s="1">
        <v>45156</v>
      </c>
      <c r="E76" s="4">
        <v>275.83999999999997</v>
      </c>
      <c r="F76" s="3">
        <v>3</v>
      </c>
      <c r="G76" s="6" t="s">
        <v>12</v>
      </c>
    </row>
    <row r="77" spans="1:7" x14ac:dyDescent="0.3">
      <c r="A77" s="2" t="s">
        <v>104</v>
      </c>
      <c r="B77" s="2" t="s">
        <v>101</v>
      </c>
      <c r="C77" s="6" t="s">
        <v>102</v>
      </c>
      <c r="D77" s="1">
        <v>45593</v>
      </c>
      <c r="E77" s="4">
        <v>139.94999999999999</v>
      </c>
      <c r="F77" s="3">
        <v>2</v>
      </c>
      <c r="G77" s="6" t="s">
        <v>18</v>
      </c>
    </row>
    <row r="78" spans="1:7" x14ac:dyDescent="0.3">
      <c r="A78" s="2" t="s">
        <v>105</v>
      </c>
      <c r="B78" s="2" t="s">
        <v>101</v>
      </c>
      <c r="C78" s="6" t="s">
        <v>102</v>
      </c>
      <c r="D78" s="1">
        <v>45161</v>
      </c>
      <c r="E78" s="4">
        <v>489.66</v>
      </c>
      <c r="F78" s="3">
        <v>2</v>
      </c>
      <c r="G78" s="6" t="s">
        <v>12</v>
      </c>
    </row>
    <row r="79" spans="1:7" x14ac:dyDescent="0.3">
      <c r="A79" s="2" t="s">
        <v>106</v>
      </c>
      <c r="B79" s="2" t="s">
        <v>107</v>
      </c>
      <c r="C79" s="6" t="s">
        <v>108</v>
      </c>
      <c r="D79" s="1">
        <v>45371</v>
      </c>
      <c r="E79" s="4">
        <v>399.46</v>
      </c>
      <c r="F79" s="3">
        <v>1</v>
      </c>
      <c r="G79" s="6" t="s">
        <v>18</v>
      </c>
    </row>
    <row r="80" spans="1:7" x14ac:dyDescent="0.3">
      <c r="A80" s="2" t="s">
        <v>109</v>
      </c>
      <c r="B80" s="2" t="s">
        <v>107</v>
      </c>
      <c r="C80" s="6" t="s">
        <v>108</v>
      </c>
      <c r="D80" s="1">
        <v>45628</v>
      </c>
      <c r="E80" s="4">
        <v>337.77</v>
      </c>
      <c r="F80" s="3">
        <v>1</v>
      </c>
      <c r="G80" s="6" t="s">
        <v>38</v>
      </c>
    </row>
    <row r="81" spans="1:7" x14ac:dyDescent="0.3">
      <c r="A81" s="2" t="s">
        <v>110</v>
      </c>
      <c r="B81" s="2" t="s">
        <v>107</v>
      </c>
      <c r="C81" s="6" t="s">
        <v>108</v>
      </c>
      <c r="D81" s="1">
        <v>45648</v>
      </c>
      <c r="E81" s="4">
        <v>147.58000000000001</v>
      </c>
      <c r="F81" s="3">
        <v>4</v>
      </c>
      <c r="G81" s="6" t="s">
        <v>12</v>
      </c>
    </row>
    <row r="82" spans="1:7" x14ac:dyDescent="0.3">
      <c r="A82" s="2" t="s">
        <v>111</v>
      </c>
      <c r="B82" s="2" t="s">
        <v>107</v>
      </c>
      <c r="C82" s="6" t="s">
        <v>108</v>
      </c>
      <c r="D82" s="1">
        <v>45393</v>
      </c>
      <c r="E82" s="4">
        <v>31.37</v>
      </c>
      <c r="F82" s="3">
        <v>4</v>
      </c>
      <c r="G82" s="6" t="s">
        <v>15</v>
      </c>
    </row>
    <row r="83" spans="1:7" x14ac:dyDescent="0.3">
      <c r="A83" s="2" t="s">
        <v>112</v>
      </c>
      <c r="B83" s="2" t="s">
        <v>107</v>
      </c>
      <c r="C83" s="6" t="s">
        <v>108</v>
      </c>
      <c r="D83" s="1">
        <v>45502</v>
      </c>
      <c r="E83" s="4">
        <v>477.43</v>
      </c>
      <c r="F83" s="3">
        <v>2</v>
      </c>
      <c r="G83" s="6" t="s">
        <v>10</v>
      </c>
    </row>
    <row r="84" spans="1:7" x14ac:dyDescent="0.3">
      <c r="A84" s="2" t="s">
        <v>113</v>
      </c>
      <c r="B84" s="2" t="s">
        <v>107</v>
      </c>
      <c r="C84" s="6" t="s">
        <v>108</v>
      </c>
      <c r="D84" s="1">
        <v>45443</v>
      </c>
      <c r="E84" s="4">
        <v>376.38</v>
      </c>
      <c r="F84" s="3">
        <v>4</v>
      </c>
      <c r="G84" s="6" t="s">
        <v>10</v>
      </c>
    </row>
    <row r="85" spans="1:7" x14ac:dyDescent="0.3">
      <c r="A85" s="2" t="s">
        <v>114</v>
      </c>
      <c r="B85" s="2" t="s">
        <v>107</v>
      </c>
      <c r="C85" s="6" t="s">
        <v>108</v>
      </c>
      <c r="D85" s="1">
        <v>45646</v>
      </c>
      <c r="E85" s="4">
        <v>483.66</v>
      </c>
      <c r="F85" s="3">
        <v>4</v>
      </c>
      <c r="G85" s="6" t="s">
        <v>12</v>
      </c>
    </row>
    <row r="86" spans="1:7" x14ac:dyDescent="0.3">
      <c r="A86" s="2" t="s">
        <v>115</v>
      </c>
      <c r="B86" s="2" t="s">
        <v>107</v>
      </c>
      <c r="C86" s="6" t="s">
        <v>108</v>
      </c>
      <c r="D86" s="1">
        <v>45460</v>
      </c>
      <c r="E86" s="4">
        <v>154.28</v>
      </c>
      <c r="F86" s="3">
        <v>4</v>
      </c>
      <c r="G86" s="6" t="s">
        <v>10</v>
      </c>
    </row>
    <row r="87" spans="1:7" x14ac:dyDescent="0.3">
      <c r="A87" s="2" t="s">
        <v>116</v>
      </c>
      <c r="B87" s="2" t="s">
        <v>117</v>
      </c>
      <c r="C87" s="6" t="s">
        <v>118</v>
      </c>
      <c r="D87" s="1">
        <v>45533</v>
      </c>
      <c r="E87" s="4">
        <v>93.05</v>
      </c>
      <c r="F87" s="3">
        <v>2</v>
      </c>
      <c r="G87" s="6" t="s">
        <v>38</v>
      </c>
    </row>
    <row r="88" spans="1:7" x14ac:dyDescent="0.3">
      <c r="A88" s="2" t="s">
        <v>119</v>
      </c>
      <c r="B88" s="2" t="s">
        <v>117</v>
      </c>
      <c r="C88" s="6" t="s">
        <v>118</v>
      </c>
      <c r="D88" s="1">
        <v>45520</v>
      </c>
      <c r="E88" s="4">
        <v>351.05</v>
      </c>
      <c r="F88" s="3">
        <v>4</v>
      </c>
      <c r="G88" s="6" t="s">
        <v>18</v>
      </c>
    </row>
    <row r="89" spans="1:7" x14ac:dyDescent="0.3">
      <c r="A89" s="2" t="s">
        <v>120</v>
      </c>
      <c r="B89" s="2" t="s">
        <v>117</v>
      </c>
      <c r="C89" s="6" t="s">
        <v>118</v>
      </c>
      <c r="D89" s="1">
        <v>45580</v>
      </c>
      <c r="E89" s="4">
        <v>311.35000000000002</v>
      </c>
      <c r="F89" s="3">
        <v>3</v>
      </c>
      <c r="G89" s="6" t="s">
        <v>18</v>
      </c>
    </row>
    <row r="90" spans="1:7" x14ac:dyDescent="0.3">
      <c r="A90" s="2" t="s">
        <v>121</v>
      </c>
      <c r="B90" s="2" t="s">
        <v>117</v>
      </c>
      <c r="C90" s="6" t="s">
        <v>118</v>
      </c>
      <c r="D90" s="1">
        <v>45593</v>
      </c>
      <c r="E90" s="4">
        <v>263.98</v>
      </c>
      <c r="F90" s="3">
        <v>2</v>
      </c>
      <c r="G90" s="6" t="s">
        <v>26</v>
      </c>
    </row>
    <row r="91" spans="1:7" x14ac:dyDescent="0.3">
      <c r="A91" s="2" t="s">
        <v>122</v>
      </c>
      <c r="B91" s="2" t="s">
        <v>117</v>
      </c>
      <c r="C91" s="6" t="s">
        <v>118</v>
      </c>
      <c r="D91" s="1">
        <v>45483</v>
      </c>
      <c r="E91" s="4">
        <v>425.85</v>
      </c>
      <c r="F91" s="3">
        <v>3</v>
      </c>
      <c r="G91" s="6" t="s">
        <v>38</v>
      </c>
    </row>
    <row r="92" spans="1:7" x14ac:dyDescent="0.3">
      <c r="A92" s="2" t="s">
        <v>123</v>
      </c>
      <c r="B92" s="2" t="s">
        <v>117</v>
      </c>
      <c r="C92" s="6" t="s">
        <v>118</v>
      </c>
      <c r="D92" s="1">
        <v>45642</v>
      </c>
      <c r="E92" s="4">
        <v>280.88</v>
      </c>
      <c r="F92" s="3">
        <v>3</v>
      </c>
      <c r="G92" s="6" t="s">
        <v>26</v>
      </c>
    </row>
    <row r="93" spans="1:7" x14ac:dyDescent="0.3">
      <c r="A93" s="2" t="s">
        <v>124</v>
      </c>
      <c r="B93" s="2" t="s">
        <v>117</v>
      </c>
      <c r="C93" s="6" t="s">
        <v>118</v>
      </c>
      <c r="D93" s="1">
        <v>45492</v>
      </c>
      <c r="E93" s="4">
        <v>406.96</v>
      </c>
      <c r="F93" s="3">
        <v>4</v>
      </c>
      <c r="G93" s="6" t="s">
        <v>38</v>
      </c>
    </row>
    <row r="94" spans="1:7" x14ac:dyDescent="0.3">
      <c r="A94" s="2" t="s">
        <v>125</v>
      </c>
      <c r="B94" s="2" t="s">
        <v>126</v>
      </c>
      <c r="C94" s="6" t="s">
        <v>127</v>
      </c>
      <c r="D94" s="1">
        <v>45157</v>
      </c>
      <c r="E94" s="4">
        <v>401.16</v>
      </c>
      <c r="F94" s="3">
        <v>4</v>
      </c>
      <c r="G94" s="6" t="s">
        <v>38</v>
      </c>
    </row>
    <row r="95" spans="1:7" x14ac:dyDescent="0.3">
      <c r="A95" s="2" t="s">
        <v>128</v>
      </c>
      <c r="B95" s="2" t="s">
        <v>126</v>
      </c>
      <c r="C95" s="6" t="s">
        <v>127</v>
      </c>
      <c r="D95" s="1">
        <v>45633</v>
      </c>
      <c r="E95" s="4">
        <v>204.42</v>
      </c>
      <c r="F95" s="3">
        <v>4</v>
      </c>
      <c r="G95" s="6" t="s">
        <v>18</v>
      </c>
    </row>
    <row r="96" spans="1:7" x14ac:dyDescent="0.3">
      <c r="A96" s="2" t="s">
        <v>129</v>
      </c>
      <c r="B96" s="2" t="s">
        <v>126</v>
      </c>
      <c r="C96" s="6" t="s">
        <v>127</v>
      </c>
      <c r="D96" s="1">
        <v>45592</v>
      </c>
      <c r="E96" s="4">
        <v>23.53</v>
      </c>
      <c r="F96" s="3">
        <v>2</v>
      </c>
      <c r="G96" s="6" t="s">
        <v>26</v>
      </c>
    </row>
    <row r="97" spans="1:7" x14ac:dyDescent="0.3">
      <c r="A97" s="2" t="s">
        <v>130</v>
      </c>
      <c r="B97" s="2" t="s">
        <v>126</v>
      </c>
      <c r="C97" s="6" t="s">
        <v>127</v>
      </c>
      <c r="D97" s="1">
        <v>45172</v>
      </c>
      <c r="E97" s="4">
        <v>238.14</v>
      </c>
      <c r="F97" s="3">
        <v>1</v>
      </c>
      <c r="G97" s="6" t="s">
        <v>18</v>
      </c>
    </row>
    <row r="98" spans="1:7" x14ac:dyDescent="0.3">
      <c r="A98" s="2" t="s">
        <v>131</v>
      </c>
      <c r="B98" s="2" t="s">
        <v>126</v>
      </c>
      <c r="C98" s="6" t="s">
        <v>127</v>
      </c>
      <c r="D98" s="1">
        <v>45271</v>
      </c>
      <c r="E98" s="4">
        <v>299.51</v>
      </c>
      <c r="F98" s="3">
        <v>1</v>
      </c>
      <c r="G98" s="6" t="s">
        <v>18</v>
      </c>
    </row>
    <row r="99" spans="1:7" x14ac:dyDescent="0.3">
      <c r="A99" s="2" t="s">
        <v>132</v>
      </c>
      <c r="B99" s="2" t="s">
        <v>126</v>
      </c>
      <c r="C99" s="6" t="s">
        <v>127</v>
      </c>
      <c r="D99" s="1">
        <v>45175</v>
      </c>
      <c r="E99" s="4">
        <v>273.17</v>
      </c>
      <c r="F99" s="3">
        <v>1</v>
      </c>
      <c r="G99" s="6" t="s">
        <v>10</v>
      </c>
    </row>
    <row r="100" spans="1:7" x14ac:dyDescent="0.3">
      <c r="A100" s="2" t="s">
        <v>133</v>
      </c>
      <c r="B100" s="2" t="s">
        <v>126</v>
      </c>
      <c r="C100" s="6" t="s">
        <v>127</v>
      </c>
      <c r="D100" s="1">
        <v>45385</v>
      </c>
      <c r="E100" s="4">
        <v>387.3</v>
      </c>
      <c r="F100" s="3">
        <v>4</v>
      </c>
      <c r="G100" s="6" t="s">
        <v>15</v>
      </c>
    </row>
    <row r="101" spans="1:7" x14ac:dyDescent="0.3">
      <c r="A101" s="2" t="s">
        <v>134</v>
      </c>
      <c r="B101" s="2" t="s">
        <v>126</v>
      </c>
      <c r="C101" s="6" t="s">
        <v>127</v>
      </c>
      <c r="D101" s="1">
        <v>45126</v>
      </c>
      <c r="E101" s="4">
        <v>234.06</v>
      </c>
      <c r="F101" s="3">
        <v>1</v>
      </c>
      <c r="G101" s="6" t="s">
        <v>18</v>
      </c>
    </row>
    <row r="102" spans="1:7" x14ac:dyDescent="0.3">
      <c r="A102" s="2" t="s">
        <v>135</v>
      </c>
      <c r="B102" s="2" t="s">
        <v>126</v>
      </c>
      <c r="C102" s="6" t="s">
        <v>127</v>
      </c>
      <c r="D102" s="1">
        <v>45471</v>
      </c>
      <c r="E102" s="4">
        <v>274.91000000000003</v>
      </c>
      <c r="F102" s="3">
        <v>4</v>
      </c>
      <c r="G102" s="6" t="s">
        <v>15</v>
      </c>
    </row>
    <row r="103" spans="1:7" x14ac:dyDescent="0.3">
      <c r="A103" s="2" t="s">
        <v>136</v>
      </c>
      <c r="B103" s="2" t="s">
        <v>126</v>
      </c>
      <c r="C103" s="6" t="s">
        <v>127</v>
      </c>
      <c r="D103" s="1">
        <v>45390</v>
      </c>
      <c r="E103" s="4">
        <v>485.07</v>
      </c>
      <c r="F103" s="3">
        <v>2</v>
      </c>
      <c r="G103" s="6" t="s">
        <v>26</v>
      </c>
    </row>
    <row r="104" spans="1:7" x14ac:dyDescent="0.3">
      <c r="A104" s="2" t="s">
        <v>137</v>
      </c>
      <c r="B104" s="2" t="s">
        <v>126</v>
      </c>
      <c r="C104" s="6" t="s">
        <v>127</v>
      </c>
      <c r="D104" s="1">
        <v>45241</v>
      </c>
      <c r="E104" s="4">
        <v>142.71</v>
      </c>
      <c r="F104" s="3">
        <v>2</v>
      </c>
      <c r="G104" s="6" t="s">
        <v>15</v>
      </c>
    </row>
    <row r="105" spans="1:7" x14ac:dyDescent="0.3">
      <c r="A105" s="2" t="s">
        <v>138</v>
      </c>
      <c r="B105" s="2" t="s">
        <v>126</v>
      </c>
      <c r="C105" s="6" t="s">
        <v>127</v>
      </c>
      <c r="D105" s="1">
        <v>45467</v>
      </c>
      <c r="E105" s="4">
        <v>22.42</v>
      </c>
      <c r="F105" s="3">
        <v>2</v>
      </c>
      <c r="G105" s="6" t="s">
        <v>10</v>
      </c>
    </row>
    <row r="106" spans="1:7" x14ac:dyDescent="0.3">
      <c r="A106" s="2" t="s">
        <v>139</v>
      </c>
      <c r="B106" s="2" t="s">
        <v>126</v>
      </c>
      <c r="C106" s="6" t="s">
        <v>127</v>
      </c>
      <c r="D106" s="1">
        <v>45248</v>
      </c>
      <c r="E106" s="4">
        <v>351.03</v>
      </c>
      <c r="F106" s="3">
        <v>1</v>
      </c>
      <c r="G106" s="6" t="s">
        <v>10</v>
      </c>
    </row>
    <row r="107" spans="1:7" x14ac:dyDescent="0.3">
      <c r="A107" s="2" t="s">
        <v>140</v>
      </c>
      <c r="B107" s="2" t="s">
        <v>141</v>
      </c>
      <c r="C107" s="6" t="s">
        <v>142</v>
      </c>
      <c r="D107" s="1">
        <v>45506</v>
      </c>
      <c r="E107" s="4">
        <v>226.75</v>
      </c>
      <c r="F107" s="3">
        <v>2</v>
      </c>
      <c r="G107" s="6" t="s">
        <v>18</v>
      </c>
    </row>
    <row r="108" spans="1:7" x14ac:dyDescent="0.3">
      <c r="A108" s="2" t="s">
        <v>143</v>
      </c>
      <c r="B108" s="2" t="s">
        <v>141</v>
      </c>
      <c r="C108" s="6" t="s">
        <v>142</v>
      </c>
      <c r="D108" s="1">
        <v>45553</v>
      </c>
      <c r="E108" s="4">
        <v>99.6</v>
      </c>
      <c r="F108" s="3">
        <v>1</v>
      </c>
      <c r="G108" s="6" t="s">
        <v>10</v>
      </c>
    </row>
    <row r="109" spans="1:7" x14ac:dyDescent="0.3">
      <c r="A109" s="2" t="s">
        <v>144</v>
      </c>
      <c r="B109" s="2" t="s">
        <v>141</v>
      </c>
      <c r="C109" s="6" t="s">
        <v>142</v>
      </c>
      <c r="D109" s="1">
        <v>45265</v>
      </c>
      <c r="E109" s="4">
        <v>263.18</v>
      </c>
      <c r="F109" s="3">
        <v>2</v>
      </c>
      <c r="G109" s="6" t="s">
        <v>10</v>
      </c>
    </row>
    <row r="110" spans="1:7" x14ac:dyDescent="0.3">
      <c r="A110" s="2" t="s">
        <v>145</v>
      </c>
      <c r="B110" s="2" t="s">
        <v>141</v>
      </c>
      <c r="C110" s="6" t="s">
        <v>142</v>
      </c>
      <c r="D110" s="1">
        <v>45240</v>
      </c>
      <c r="E110" s="4">
        <v>33.380000000000003</v>
      </c>
      <c r="F110" s="3">
        <v>4</v>
      </c>
      <c r="G110" s="6" t="s">
        <v>26</v>
      </c>
    </row>
    <row r="111" spans="1:7" x14ac:dyDescent="0.3">
      <c r="A111" s="2" t="s">
        <v>146</v>
      </c>
      <c r="B111" s="2" t="s">
        <v>141</v>
      </c>
      <c r="C111" s="6" t="s">
        <v>142</v>
      </c>
      <c r="D111" s="1">
        <v>45428</v>
      </c>
      <c r="E111" s="4">
        <v>381.34</v>
      </c>
      <c r="F111" s="3">
        <v>1</v>
      </c>
      <c r="G111" s="6" t="s">
        <v>38</v>
      </c>
    </row>
    <row r="112" spans="1:7" x14ac:dyDescent="0.3">
      <c r="A112" s="2" t="s">
        <v>147</v>
      </c>
      <c r="B112" s="2" t="s">
        <v>141</v>
      </c>
      <c r="C112" s="6" t="s">
        <v>142</v>
      </c>
      <c r="D112" s="1">
        <v>45213</v>
      </c>
      <c r="E112" s="4">
        <v>32.54</v>
      </c>
      <c r="F112" s="3">
        <v>2</v>
      </c>
      <c r="G112" s="6" t="s">
        <v>38</v>
      </c>
    </row>
    <row r="113" spans="1:7" x14ac:dyDescent="0.3">
      <c r="A113" s="2" t="s">
        <v>148</v>
      </c>
      <c r="B113" s="2" t="s">
        <v>141</v>
      </c>
      <c r="C113" s="6" t="s">
        <v>142</v>
      </c>
      <c r="D113" s="1">
        <v>45446</v>
      </c>
      <c r="E113" s="4">
        <v>242.35</v>
      </c>
      <c r="F113" s="3">
        <v>2</v>
      </c>
      <c r="G113" s="6" t="s">
        <v>26</v>
      </c>
    </row>
    <row r="114" spans="1:7" x14ac:dyDescent="0.3">
      <c r="A114" s="2" t="s">
        <v>149</v>
      </c>
      <c r="B114" s="2" t="s">
        <v>141</v>
      </c>
      <c r="C114" s="6" t="s">
        <v>142</v>
      </c>
      <c r="D114" s="1">
        <v>45425</v>
      </c>
      <c r="E114" s="4">
        <v>405.39</v>
      </c>
      <c r="F114" s="3">
        <v>1</v>
      </c>
      <c r="G114" s="6" t="s">
        <v>15</v>
      </c>
    </row>
    <row r="115" spans="1:7" x14ac:dyDescent="0.3">
      <c r="A115" s="2" t="s">
        <v>150</v>
      </c>
      <c r="B115" s="2" t="s">
        <v>141</v>
      </c>
      <c r="C115" s="6" t="s">
        <v>142</v>
      </c>
      <c r="D115" s="1">
        <v>45247</v>
      </c>
      <c r="E115" s="4">
        <v>222.59</v>
      </c>
      <c r="F115" s="3">
        <v>2</v>
      </c>
      <c r="G115" s="6" t="s">
        <v>26</v>
      </c>
    </row>
    <row r="116" spans="1:7" x14ac:dyDescent="0.3">
      <c r="A116" s="2" t="s">
        <v>151</v>
      </c>
      <c r="B116" s="2" t="s">
        <v>141</v>
      </c>
      <c r="C116" s="6" t="s">
        <v>142</v>
      </c>
      <c r="D116" s="1">
        <v>45093</v>
      </c>
      <c r="E116" s="4">
        <v>32.200000000000003</v>
      </c>
      <c r="F116" s="3">
        <v>2</v>
      </c>
      <c r="G116" s="6" t="s">
        <v>26</v>
      </c>
    </row>
    <row r="117" spans="1:7" x14ac:dyDescent="0.3">
      <c r="A117" s="2" t="s">
        <v>152</v>
      </c>
      <c r="B117" s="2" t="s">
        <v>153</v>
      </c>
      <c r="C117" s="6" t="s">
        <v>154</v>
      </c>
      <c r="D117" s="1">
        <v>45281</v>
      </c>
      <c r="E117" s="4">
        <v>429.68</v>
      </c>
      <c r="F117" s="3">
        <v>1</v>
      </c>
      <c r="G117" s="6" t="s">
        <v>10</v>
      </c>
    </row>
    <row r="118" spans="1:7" x14ac:dyDescent="0.3">
      <c r="A118" s="2" t="s">
        <v>155</v>
      </c>
      <c r="B118" s="2" t="s">
        <v>153</v>
      </c>
      <c r="C118" s="6" t="s">
        <v>154</v>
      </c>
      <c r="D118" s="1">
        <v>45189</v>
      </c>
      <c r="E118" s="4">
        <v>311.77</v>
      </c>
      <c r="F118" s="3">
        <v>1</v>
      </c>
      <c r="G118" s="6" t="s">
        <v>26</v>
      </c>
    </row>
    <row r="119" spans="1:7" x14ac:dyDescent="0.3">
      <c r="A119" s="2" t="s">
        <v>156</v>
      </c>
      <c r="B119" s="2" t="s">
        <v>153</v>
      </c>
      <c r="C119" s="6" t="s">
        <v>154</v>
      </c>
      <c r="D119" s="1">
        <v>45569</v>
      </c>
      <c r="E119" s="4">
        <v>321.83999999999997</v>
      </c>
      <c r="F119" s="3">
        <v>4</v>
      </c>
      <c r="G119" s="6" t="s">
        <v>15</v>
      </c>
    </row>
    <row r="120" spans="1:7" x14ac:dyDescent="0.3">
      <c r="A120" s="2" t="s">
        <v>157</v>
      </c>
      <c r="B120" s="2" t="s">
        <v>158</v>
      </c>
      <c r="C120" s="6" t="s">
        <v>159</v>
      </c>
      <c r="D120" s="1">
        <v>45612</v>
      </c>
      <c r="E120" s="4">
        <v>325.20999999999998</v>
      </c>
      <c r="F120" s="3">
        <v>1</v>
      </c>
      <c r="G120" s="6" t="s">
        <v>38</v>
      </c>
    </row>
    <row r="121" spans="1:7" x14ac:dyDescent="0.3">
      <c r="A121" s="2" t="s">
        <v>160</v>
      </c>
      <c r="B121" s="2" t="s">
        <v>158</v>
      </c>
      <c r="C121" s="6" t="s">
        <v>159</v>
      </c>
      <c r="D121" s="1">
        <v>45628</v>
      </c>
      <c r="E121" s="4">
        <v>412.11</v>
      </c>
      <c r="F121" s="3">
        <v>3</v>
      </c>
      <c r="G121" s="6" t="s">
        <v>15</v>
      </c>
    </row>
    <row r="122" spans="1:7" x14ac:dyDescent="0.3">
      <c r="A122" s="2" t="s">
        <v>161</v>
      </c>
      <c r="B122" s="2" t="s">
        <v>158</v>
      </c>
      <c r="C122" s="6" t="s">
        <v>159</v>
      </c>
      <c r="D122" s="1">
        <v>45514</v>
      </c>
      <c r="E122" s="4">
        <v>480.98</v>
      </c>
      <c r="F122" s="3">
        <v>3</v>
      </c>
      <c r="G122" s="6" t="s">
        <v>26</v>
      </c>
    </row>
    <row r="123" spans="1:7" x14ac:dyDescent="0.3">
      <c r="A123" s="2" t="s">
        <v>162</v>
      </c>
      <c r="B123" s="2" t="s">
        <v>158</v>
      </c>
      <c r="C123" s="6" t="s">
        <v>159</v>
      </c>
      <c r="D123" s="1">
        <v>45493</v>
      </c>
      <c r="E123" s="4">
        <v>144.24</v>
      </c>
      <c r="F123" s="3">
        <v>3</v>
      </c>
      <c r="G123" s="6" t="s">
        <v>15</v>
      </c>
    </row>
    <row r="124" spans="1:7" x14ac:dyDescent="0.3">
      <c r="A124" s="2" t="s">
        <v>163</v>
      </c>
      <c r="B124" s="2" t="s">
        <v>158</v>
      </c>
      <c r="C124" s="6" t="s">
        <v>159</v>
      </c>
      <c r="D124" s="1">
        <v>45239</v>
      </c>
      <c r="E124" s="4">
        <v>18.93</v>
      </c>
      <c r="F124" s="3">
        <v>2</v>
      </c>
      <c r="G124" s="6" t="s">
        <v>12</v>
      </c>
    </row>
    <row r="125" spans="1:7" x14ac:dyDescent="0.3">
      <c r="A125" s="2" t="s">
        <v>164</v>
      </c>
      <c r="B125" s="2" t="s">
        <v>158</v>
      </c>
      <c r="C125" s="6" t="s">
        <v>159</v>
      </c>
      <c r="D125" s="1">
        <v>44972</v>
      </c>
      <c r="E125" s="4">
        <v>174.91</v>
      </c>
      <c r="F125" s="3">
        <v>4</v>
      </c>
      <c r="G125" s="6" t="s">
        <v>26</v>
      </c>
    </row>
    <row r="126" spans="1:7" x14ac:dyDescent="0.3">
      <c r="A126" s="2" t="s">
        <v>165</v>
      </c>
      <c r="B126" s="2" t="s">
        <v>158</v>
      </c>
      <c r="C126" s="6" t="s">
        <v>159</v>
      </c>
      <c r="D126" s="1">
        <v>45542</v>
      </c>
      <c r="E126" s="4">
        <v>423.99</v>
      </c>
      <c r="F126" s="3">
        <v>2</v>
      </c>
      <c r="G126" s="6" t="s">
        <v>26</v>
      </c>
    </row>
    <row r="127" spans="1:7" x14ac:dyDescent="0.3">
      <c r="A127" s="2" t="s">
        <v>166</v>
      </c>
      <c r="B127" s="2" t="s">
        <v>158</v>
      </c>
      <c r="C127" s="6" t="s">
        <v>159</v>
      </c>
      <c r="D127" s="1">
        <v>45355</v>
      </c>
      <c r="E127" s="4">
        <v>137.74</v>
      </c>
      <c r="F127" s="3">
        <v>2</v>
      </c>
      <c r="G127" s="6" t="s">
        <v>15</v>
      </c>
    </row>
    <row r="128" spans="1:7" x14ac:dyDescent="0.3">
      <c r="A128" s="2" t="s">
        <v>167</v>
      </c>
      <c r="B128" s="2" t="s">
        <v>158</v>
      </c>
      <c r="C128" s="6" t="s">
        <v>159</v>
      </c>
      <c r="D128" s="1">
        <v>45438</v>
      </c>
      <c r="E128" s="4">
        <v>180.68</v>
      </c>
      <c r="F128" s="3">
        <v>1</v>
      </c>
      <c r="G128" s="6" t="s">
        <v>12</v>
      </c>
    </row>
    <row r="129" spans="1:7" x14ac:dyDescent="0.3">
      <c r="A129" s="2" t="s">
        <v>168</v>
      </c>
      <c r="B129" s="2" t="s">
        <v>158</v>
      </c>
      <c r="C129" s="6" t="s">
        <v>159</v>
      </c>
      <c r="D129" s="1">
        <v>45313</v>
      </c>
      <c r="E129" s="4">
        <v>370.18</v>
      </c>
      <c r="F129" s="3">
        <v>1</v>
      </c>
      <c r="G129" s="6" t="s">
        <v>10</v>
      </c>
    </row>
    <row r="130" spans="1:7" x14ac:dyDescent="0.3">
      <c r="A130" s="2" t="s">
        <v>169</v>
      </c>
      <c r="B130" s="2" t="s">
        <v>158</v>
      </c>
      <c r="C130" s="6" t="s">
        <v>159</v>
      </c>
      <c r="D130" s="1">
        <v>45613</v>
      </c>
      <c r="E130" s="4">
        <v>96.95</v>
      </c>
      <c r="F130" s="3">
        <v>4</v>
      </c>
      <c r="G130" s="6" t="s">
        <v>38</v>
      </c>
    </row>
    <row r="131" spans="1:7" x14ac:dyDescent="0.3">
      <c r="A131" s="2" t="s">
        <v>170</v>
      </c>
      <c r="B131" s="2" t="s">
        <v>158</v>
      </c>
      <c r="C131" s="6" t="s">
        <v>159</v>
      </c>
      <c r="D131" s="1">
        <v>45129</v>
      </c>
      <c r="E131" s="4">
        <v>292.2</v>
      </c>
      <c r="F131" s="3">
        <v>4</v>
      </c>
      <c r="G131" s="6" t="s">
        <v>12</v>
      </c>
    </row>
    <row r="132" spans="1:7" x14ac:dyDescent="0.3">
      <c r="A132" s="2" t="s">
        <v>171</v>
      </c>
      <c r="B132" s="2" t="s">
        <v>172</v>
      </c>
      <c r="C132" s="6" t="s">
        <v>173</v>
      </c>
      <c r="D132" s="1">
        <v>45555</v>
      </c>
      <c r="E132" s="4">
        <v>434.89</v>
      </c>
      <c r="F132" s="3">
        <v>4</v>
      </c>
      <c r="G132" s="6" t="s">
        <v>10</v>
      </c>
    </row>
    <row r="133" spans="1:7" x14ac:dyDescent="0.3">
      <c r="A133" s="2" t="s">
        <v>174</v>
      </c>
      <c r="B133" s="2" t="s">
        <v>172</v>
      </c>
      <c r="C133" s="6" t="s">
        <v>173</v>
      </c>
      <c r="D133" s="1">
        <v>45644</v>
      </c>
      <c r="E133" s="4">
        <v>343.12</v>
      </c>
      <c r="F133" s="3">
        <v>3</v>
      </c>
      <c r="G133" s="6" t="s">
        <v>38</v>
      </c>
    </row>
    <row r="134" spans="1:7" x14ac:dyDescent="0.3">
      <c r="A134" s="2" t="s">
        <v>175</v>
      </c>
      <c r="B134" s="2" t="s">
        <v>172</v>
      </c>
      <c r="C134" s="6" t="s">
        <v>173</v>
      </c>
      <c r="D134" s="1">
        <v>45636</v>
      </c>
      <c r="E134" s="4">
        <v>195.09</v>
      </c>
      <c r="F134" s="3">
        <v>2</v>
      </c>
      <c r="G134" s="6" t="s">
        <v>38</v>
      </c>
    </row>
    <row r="135" spans="1:7" x14ac:dyDescent="0.3">
      <c r="A135" s="2" t="s">
        <v>176</v>
      </c>
      <c r="B135" s="2" t="s">
        <v>172</v>
      </c>
      <c r="C135" s="6" t="s">
        <v>173</v>
      </c>
      <c r="D135" s="1">
        <v>45615</v>
      </c>
      <c r="E135" s="4">
        <v>414.96</v>
      </c>
      <c r="F135" s="3">
        <v>1</v>
      </c>
      <c r="G135" s="6" t="s">
        <v>18</v>
      </c>
    </row>
    <row r="136" spans="1:7" x14ac:dyDescent="0.3">
      <c r="A136" s="2" t="s">
        <v>177</v>
      </c>
      <c r="B136" s="2" t="s">
        <v>178</v>
      </c>
      <c r="C136" s="6" t="s">
        <v>179</v>
      </c>
      <c r="D136" s="1">
        <v>45644</v>
      </c>
      <c r="E136" s="4">
        <v>15.31</v>
      </c>
      <c r="F136" s="3">
        <v>3</v>
      </c>
      <c r="G136" s="6" t="s">
        <v>38</v>
      </c>
    </row>
    <row r="137" spans="1:7" x14ac:dyDescent="0.3">
      <c r="A137" s="2" t="s">
        <v>180</v>
      </c>
      <c r="B137" s="2" t="s">
        <v>178</v>
      </c>
      <c r="C137" s="6" t="s">
        <v>179</v>
      </c>
      <c r="D137" s="1">
        <v>45620</v>
      </c>
      <c r="E137" s="4">
        <v>183.9</v>
      </c>
      <c r="F137" s="3">
        <v>2</v>
      </c>
      <c r="G137" s="6" t="s">
        <v>15</v>
      </c>
    </row>
    <row r="138" spans="1:7" x14ac:dyDescent="0.3">
      <c r="A138" s="2" t="s">
        <v>181</v>
      </c>
      <c r="B138" s="2" t="s">
        <v>178</v>
      </c>
      <c r="C138" s="6" t="s">
        <v>179</v>
      </c>
      <c r="D138" s="1">
        <v>45639</v>
      </c>
      <c r="E138" s="4">
        <v>475.8</v>
      </c>
      <c r="F138" s="3">
        <v>2</v>
      </c>
      <c r="G138" s="6" t="s">
        <v>12</v>
      </c>
    </row>
    <row r="139" spans="1:7" x14ac:dyDescent="0.3">
      <c r="A139" s="2" t="s">
        <v>182</v>
      </c>
      <c r="B139" s="2" t="s">
        <v>178</v>
      </c>
      <c r="C139" s="6" t="s">
        <v>179</v>
      </c>
      <c r="D139" s="1">
        <v>45655</v>
      </c>
      <c r="E139" s="4">
        <v>50.81</v>
      </c>
      <c r="F139" s="3">
        <v>3</v>
      </c>
      <c r="G139" s="6" t="s">
        <v>10</v>
      </c>
    </row>
    <row r="140" spans="1:7" x14ac:dyDescent="0.3">
      <c r="A140" s="2" t="s">
        <v>183</v>
      </c>
      <c r="B140" s="2" t="s">
        <v>178</v>
      </c>
      <c r="C140" s="6" t="s">
        <v>179</v>
      </c>
      <c r="D140" s="1">
        <v>45620</v>
      </c>
      <c r="E140" s="4">
        <v>171.05</v>
      </c>
      <c r="F140" s="3">
        <v>1</v>
      </c>
      <c r="G140" s="6" t="s">
        <v>12</v>
      </c>
    </row>
    <row r="141" spans="1:7" x14ac:dyDescent="0.3">
      <c r="A141" s="2" t="s">
        <v>184</v>
      </c>
      <c r="B141" s="2" t="s">
        <v>178</v>
      </c>
      <c r="C141" s="6" t="s">
        <v>179</v>
      </c>
      <c r="D141" s="1">
        <v>45644</v>
      </c>
      <c r="E141" s="4">
        <v>473.64</v>
      </c>
      <c r="F141" s="3">
        <v>3</v>
      </c>
      <c r="G141" s="6" t="s">
        <v>38</v>
      </c>
    </row>
    <row r="142" spans="1:7" x14ac:dyDescent="0.3">
      <c r="A142" s="2" t="s">
        <v>185</v>
      </c>
      <c r="B142" s="2" t="s">
        <v>178</v>
      </c>
      <c r="C142" s="6" t="s">
        <v>179</v>
      </c>
      <c r="D142" s="1">
        <v>45653</v>
      </c>
      <c r="E142" s="4">
        <v>466.16</v>
      </c>
      <c r="F142" s="3">
        <v>3</v>
      </c>
      <c r="G142" s="6" t="s">
        <v>26</v>
      </c>
    </row>
    <row r="143" spans="1:7" x14ac:dyDescent="0.3">
      <c r="A143" s="2" t="s">
        <v>186</v>
      </c>
      <c r="B143" s="2" t="s">
        <v>178</v>
      </c>
      <c r="C143" s="6" t="s">
        <v>179</v>
      </c>
      <c r="D143" s="1">
        <v>45622</v>
      </c>
      <c r="E143" s="4">
        <v>279.27</v>
      </c>
      <c r="F143" s="3">
        <v>3</v>
      </c>
      <c r="G143" s="6" t="s">
        <v>10</v>
      </c>
    </row>
    <row r="144" spans="1:7" x14ac:dyDescent="0.3">
      <c r="A144" s="2" t="s">
        <v>187</v>
      </c>
      <c r="B144" s="2" t="s">
        <v>178</v>
      </c>
      <c r="C144" s="6" t="s">
        <v>179</v>
      </c>
      <c r="D144" s="1">
        <v>45631</v>
      </c>
      <c r="E144" s="4">
        <v>277.5</v>
      </c>
      <c r="F144" s="3">
        <v>2</v>
      </c>
      <c r="G144" s="6" t="s">
        <v>12</v>
      </c>
    </row>
    <row r="145" spans="1:7" x14ac:dyDescent="0.3">
      <c r="A145" s="2" t="s">
        <v>188</v>
      </c>
      <c r="B145" s="2" t="s">
        <v>178</v>
      </c>
      <c r="C145" s="6" t="s">
        <v>179</v>
      </c>
      <c r="D145" s="1">
        <v>45655</v>
      </c>
      <c r="E145" s="4">
        <v>80.069999999999993</v>
      </c>
      <c r="F145" s="3">
        <v>2</v>
      </c>
      <c r="G145" s="6" t="s">
        <v>26</v>
      </c>
    </row>
    <row r="146" spans="1:7" x14ac:dyDescent="0.3">
      <c r="A146" s="2" t="s">
        <v>189</v>
      </c>
      <c r="B146" s="2" t="s">
        <v>178</v>
      </c>
      <c r="C146" s="6" t="s">
        <v>179</v>
      </c>
      <c r="D146" s="1">
        <v>45652</v>
      </c>
      <c r="E146" s="4">
        <v>434.77</v>
      </c>
      <c r="F146" s="3">
        <v>3</v>
      </c>
      <c r="G146" s="6" t="s">
        <v>18</v>
      </c>
    </row>
    <row r="147" spans="1:7" x14ac:dyDescent="0.3">
      <c r="A147" s="2" t="s">
        <v>190</v>
      </c>
      <c r="B147" s="2" t="s">
        <v>191</v>
      </c>
      <c r="C147" s="6" t="s">
        <v>192</v>
      </c>
      <c r="D147" s="1">
        <v>45142</v>
      </c>
      <c r="E147" s="4">
        <v>45.65</v>
      </c>
      <c r="F147" s="3">
        <v>3</v>
      </c>
      <c r="G147" s="6" t="s">
        <v>26</v>
      </c>
    </row>
    <row r="148" spans="1:7" x14ac:dyDescent="0.3">
      <c r="A148" s="2" t="s">
        <v>193</v>
      </c>
      <c r="B148" s="2" t="s">
        <v>191</v>
      </c>
      <c r="C148" s="6" t="s">
        <v>192</v>
      </c>
      <c r="D148" s="1">
        <v>45608</v>
      </c>
      <c r="E148" s="4">
        <v>81.84</v>
      </c>
      <c r="F148" s="3">
        <v>1</v>
      </c>
      <c r="G148" s="6" t="s">
        <v>10</v>
      </c>
    </row>
    <row r="149" spans="1:7" x14ac:dyDescent="0.3">
      <c r="A149" s="2" t="s">
        <v>194</v>
      </c>
      <c r="B149" s="2" t="s">
        <v>191</v>
      </c>
      <c r="C149" s="6" t="s">
        <v>192</v>
      </c>
      <c r="D149" s="1">
        <v>45396</v>
      </c>
      <c r="E149" s="4">
        <v>493.45</v>
      </c>
      <c r="F149" s="3">
        <v>1</v>
      </c>
      <c r="G149" s="6" t="s">
        <v>10</v>
      </c>
    </row>
    <row r="150" spans="1:7" x14ac:dyDescent="0.3">
      <c r="A150" s="2" t="s">
        <v>195</v>
      </c>
      <c r="B150" s="2" t="s">
        <v>191</v>
      </c>
      <c r="C150" s="6" t="s">
        <v>192</v>
      </c>
      <c r="D150" s="1">
        <v>45316</v>
      </c>
      <c r="E150" s="4">
        <v>408.27</v>
      </c>
      <c r="F150" s="3">
        <v>1</v>
      </c>
      <c r="G150" s="6" t="s">
        <v>38</v>
      </c>
    </row>
    <row r="151" spans="1:7" x14ac:dyDescent="0.3">
      <c r="A151" s="2" t="s">
        <v>196</v>
      </c>
      <c r="B151" s="2" t="s">
        <v>191</v>
      </c>
      <c r="C151" s="6" t="s">
        <v>192</v>
      </c>
      <c r="D151" s="1">
        <v>45106</v>
      </c>
      <c r="E151" s="4">
        <v>181.61</v>
      </c>
      <c r="F151" s="3">
        <v>3</v>
      </c>
      <c r="G151" s="6" t="s">
        <v>15</v>
      </c>
    </row>
    <row r="152" spans="1:7" x14ac:dyDescent="0.3">
      <c r="A152" s="2" t="s">
        <v>197</v>
      </c>
      <c r="B152" s="2" t="s">
        <v>191</v>
      </c>
      <c r="C152" s="6" t="s">
        <v>192</v>
      </c>
      <c r="D152" s="1">
        <v>45419</v>
      </c>
      <c r="E152" s="4">
        <v>195.21</v>
      </c>
      <c r="F152" s="3">
        <v>2</v>
      </c>
      <c r="G152" s="6" t="s">
        <v>12</v>
      </c>
    </row>
    <row r="153" spans="1:7" x14ac:dyDescent="0.3">
      <c r="A153" s="2" t="s">
        <v>198</v>
      </c>
      <c r="B153" s="2" t="s">
        <v>191</v>
      </c>
      <c r="C153" s="6" t="s">
        <v>192</v>
      </c>
      <c r="D153" s="1">
        <v>45505</v>
      </c>
      <c r="E153" s="4">
        <v>64.489999999999995</v>
      </c>
      <c r="F153" s="3">
        <v>1</v>
      </c>
      <c r="G153" s="6" t="s">
        <v>12</v>
      </c>
    </row>
    <row r="154" spans="1:7" x14ac:dyDescent="0.3">
      <c r="A154" s="2" t="s">
        <v>199</v>
      </c>
      <c r="B154" s="2" t="s">
        <v>191</v>
      </c>
      <c r="C154" s="6" t="s">
        <v>192</v>
      </c>
      <c r="D154" s="1">
        <v>45627</v>
      </c>
      <c r="E154" s="4">
        <v>208.55</v>
      </c>
      <c r="F154" s="3">
        <v>2</v>
      </c>
      <c r="G154" s="6" t="s">
        <v>18</v>
      </c>
    </row>
    <row r="155" spans="1:7" x14ac:dyDescent="0.3">
      <c r="A155" s="2" t="s">
        <v>200</v>
      </c>
      <c r="B155" s="2" t="s">
        <v>191</v>
      </c>
      <c r="C155" s="6" t="s">
        <v>192</v>
      </c>
      <c r="D155" s="1">
        <v>45634</v>
      </c>
      <c r="E155" s="4">
        <v>68.22</v>
      </c>
      <c r="F155" s="3">
        <v>3</v>
      </c>
      <c r="G155" s="6" t="s">
        <v>10</v>
      </c>
    </row>
    <row r="156" spans="1:7" x14ac:dyDescent="0.3">
      <c r="A156" s="2" t="s">
        <v>201</v>
      </c>
      <c r="B156" s="2" t="s">
        <v>191</v>
      </c>
      <c r="C156" s="6" t="s">
        <v>192</v>
      </c>
      <c r="D156" s="1">
        <v>45335</v>
      </c>
      <c r="E156" s="4">
        <v>374.66</v>
      </c>
      <c r="F156" s="3">
        <v>1</v>
      </c>
      <c r="G156" s="6" t="s">
        <v>12</v>
      </c>
    </row>
    <row r="157" spans="1:7" x14ac:dyDescent="0.3">
      <c r="A157" s="2" t="s">
        <v>202</v>
      </c>
      <c r="B157" s="2" t="s">
        <v>191</v>
      </c>
      <c r="C157" s="6" t="s">
        <v>192</v>
      </c>
      <c r="D157" s="1">
        <v>45322</v>
      </c>
      <c r="E157" s="4">
        <v>481.46</v>
      </c>
      <c r="F157" s="3">
        <v>1</v>
      </c>
      <c r="G157" s="6" t="s">
        <v>15</v>
      </c>
    </row>
    <row r="158" spans="1:7" x14ac:dyDescent="0.3">
      <c r="A158" s="2" t="s">
        <v>203</v>
      </c>
      <c r="B158" s="2" t="s">
        <v>191</v>
      </c>
      <c r="C158" s="6" t="s">
        <v>192</v>
      </c>
      <c r="D158" s="1">
        <v>45383</v>
      </c>
      <c r="E158" s="4">
        <v>435.61</v>
      </c>
      <c r="F158" s="3">
        <v>1</v>
      </c>
      <c r="G158" s="6" t="s">
        <v>18</v>
      </c>
    </row>
    <row r="159" spans="1:7" x14ac:dyDescent="0.3">
      <c r="A159" s="2" t="s">
        <v>204</v>
      </c>
      <c r="B159" s="2" t="s">
        <v>191</v>
      </c>
      <c r="C159" s="6" t="s">
        <v>192</v>
      </c>
      <c r="D159" s="1">
        <v>45108</v>
      </c>
      <c r="E159" s="4">
        <v>403.03</v>
      </c>
      <c r="F159" s="3">
        <v>4</v>
      </c>
      <c r="G159" s="6" t="s">
        <v>10</v>
      </c>
    </row>
    <row r="160" spans="1:7" x14ac:dyDescent="0.3">
      <c r="A160" s="2" t="s">
        <v>205</v>
      </c>
      <c r="B160" s="2" t="s">
        <v>191</v>
      </c>
      <c r="C160" s="6" t="s">
        <v>192</v>
      </c>
      <c r="D160" s="1">
        <v>45147</v>
      </c>
      <c r="E160" s="4">
        <v>31.15</v>
      </c>
      <c r="F160" s="3">
        <v>4</v>
      </c>
      <c r="G160" s="6" t="s">
        <v>10</v>
      </c>
    </row>
    <row r="161" spans="1:7" x14ac:dyDescent="0.3">
      <c r="A161" s="2" t="s">
        <v>206</v>
      </c>
      <c r="B161" s="2" t="s">
        <v>207</v>
      </c>
      <c r="C161" s="6" t="s">
        <v>208</v>
      </c>
      <c r="D161" s="1">
        <v>45617</v>
      </c>
      <c r="E161" s="4">
        <v>460.37</v>
      </c>
      <c r="F161" s="3">
        <v>3</v>
      </c>
      <c r="G161" s="6" t="s">
        <v>15</v>
      </c>
    </row>
    <row r="162" spans="1:7" x14ac:dyDescent="0.3">
      <c r="A162" s="2" t="s">
        <v>209</v>
      </c>
      <c r="B162" s="2" t="s">
        <v>207</v>
      </c>
      <c r="C162" s="6" t="s">
        <v>208</v>
      </c>
      <c r="D162" s="1">
        <v>45561</v>
      </c>
      <c r="E162" s="4">
        <v>484.96</v>
      </c>
      <c r="F162" s="3">
        <v>3</v>
      </c>
      <c r="G162" s="6" t="s">
        <v>26</v>
      </c>
    </row>
    <row r="163" spans="1:7" x14ac:dyDescent="0.3">
      <c r="A163" s="2" t="s">
        <v>210</v>
      </c>
      <c r="B163" s="2" t="s">
        <v>207</v>
      </c>
      <c r="C163" s="6" t="s">
        <v>208</v>
      </c>
      <c r="D163" s="1">
        <v>45647</v>
      </c>
      <c r="E163" s="4">
        <v>116.24</v>
      </c>
      <c r="F163" s="3">
        <v>1</v>
      </c>
      <c r="G163" s="6" t="s">
        <v>38</v>
      </c>
    </row>
    <row r="164" spans="1:7" x14ac:dyDescent="0.3">
      <c r="A164" s="2" t="s">
        <v>211</v>
      </c>
      <c r="B164" s="2" t="s">
        <v>207</v>
      </c>
      <c r="C164" s="6" t="s">
        <v>208</v>
      </c>
      <c r="D164" s="1">
        <v>45468</v>
      </c>
      <c r="E164" s="4">
        <v>296.31</v>
      </c>
      <c r="F164" s="3">
        <v>3</v>
      </c>
      <c r="G164" s="6" t="s">
        <v>38</v>
      </c>
    </row>
    <row r="165" spans="1:7" x14ac:dyDescent="0.3">
      <c r="A165" s="2" t="s">
        <v>212</v>
      </c>
      <c r="B165" s="2" t="s">
        <v>207</v>
      </c>
      <c r="C165" s="6" t="s">
        <v>208</v>
      </c>
      <c r="D165" s="1">
        <v>45426</v>
      </c>
      <c r="E165" s="4">
        <v>479.76</v>
      </c>
      <c r="F165" s="3">
        <v>4</v>
      </c>
      <c r="G165" s="6" t="s">
        <v>18</v>
      </c>
    </row>
    <row r="166" spans="1:7" x14ac:dyDescent="0.3">
      <c r="A166" s="2" t="s">
        <v>213</v>
      </c>
      <c r="B166" s="2" t="s">
        <v>207</v>
      </c>
      <c r="C166" s="6" t="s">
        <v>208</v>
      </c>
      <c r="D166" s="1">
        <v>45566</v>
      </c>
      <c r="E166" s="4">
        <v>313.86</v>
      </c>
      <c r="F166" s="3">
        <v>4</v>
      </c>
      <c r="G166" s="6" t="s">
        <v>26</v>
      </c>
    </row>
    <row r="167" spans="1:7" x14ac:dyDescent="0.3">
      <c r="A167" s="2" t="s">
        <v>214</v>
      </c>
      <c r="B167" s="2" t="s">
        <v>215</v>
      </c>
      <c r="C167" s="6" t="s">
        <v>216</v>
      </c>
      <c r="D167" s="1">
        <v>45545</v>
      </c>
      <c r="E167" s="4">
        <v>183.14</v>
      </c>
      <c r="F167" s="3">
        <v>4</v>
      </c>
      <c r="G167" s="6" t="s">
        <v>26</v>
      </c>
    </row>
    <row r="168" spans="1:7" x14ac:dyDescent="0.3">
      <c r="A168" s="2" t="s">
        <v>217</v>
      </c>
      <c r="B168" s="2" t="s">
        <v>215</v>
      </c>
      <c r="C168" s="6" t="s">
        <v>216</v>
      </c>
      <c r="D168" s="1">
        <v>45629</v>
      </c>
      <c r="E168" s="4">
        <v>186.57</v>
      </c>
      <c r="F168" s="3">
        <v>4</v>
      </c>
      <c r="G168" s="6" t="s">
        <v>15</v>
      </c>
    </row>
    <row r="169" spans="1:7" x14ac:dyDescent="0.3">
      <c r="A169" s="2" t="s">
        <v>218</v>
      </c>
      <c r="B169" s="2" t="s">
        <v>215</v>
      </c>
      <c r="C169" s="6" t="s">
        <v>216</v>
      </c>
      <c r="D169" s="1">
        <v>45564</v>
      </c>
      <c r="E169" s="4">
        <v>352.1</v>
      </c>
      <c r="F169" s="3">
        <v>1</v>
      </c>
      <c r="G169" s="6" t="s">
        <v>38</v>
      </c>
    </row>
    <row r="170" spans="1:7" x14ac:dyDescent="0.3">
      <c r="A170" s="2" t="s">
        <v>219</v>
      </c>
      <c r="B170" s="2" t="s">
        <v>215</v>
      </c>
      <c r="C170" s="6" t="s">
        <v>216</v>
      </c>
      <c r="D170" s="1">
        <v>45570</v>
      </c>
      <c r="E170" s="4">
        <v>211.49</v>
      </c>
      <c r="F170" s="3">
        <v>4</v>
      </c>
      <c r="G170" s="6" t="s">
        <v>10</v>
      </c>
    </row>
    <row r="171" spans="1:7" x14ac:dyDescent="0.3">
      <c r="A171" s="2" t="s">
        <v>220</v>
      </c>
      <c r="B171" s="2" t="s">
        <v>221</v>
      </c>
      <c r="C171" s="6" t="s">
        <v>222</v>
      </c>
      <c r="D171" s="1">
        <v>45616</v>
      </c>
      <c r="E171" s="4">
        <v>413.04</v>
      </c>
      <c r="F171" s="3">
        <v>3</v>
      </c>
      <c r="G171" s="6" t="s">
        <v>26</v>
      </c>
    </row>
    <row r="172" spans="1:7" x14ac:dyDescent="0.3">
      <c r="A172" s="2" t="s">
        <v>223</v>
      </c>
      <c r="B172" s="2" t="s">
        <v>221</v>
      </c>
      <c r="C172" s="6" t="s">
        <v>222</v>
      </c>
      <c r="D172" s="1">
        <v>45325</v>
      </c>
      <c r="E172" s="4">
        <v>294.77</v>
      </c>
      <c r="F172" s="3">
        <v>2</v>
      </c>
      <c r="G172" s="6" t="s">
        <v>38</v>
      </c>
    </row>
    <row r="173" spans="1:7" x14ac:dyDescent="0.3">
      <c r="A173" s="2" t="s">
        <v>224</v>
      </c>
      <c r="B173" s="2" t="s">
        <v>221</v>
      </c>
      <c r="C173" s="6" t="s">
        <v>222</v>
      </c>
      <c r="D173" s="1">
        <v>45079</v>
      </c>
      <c r="E173" s="4">
        <v>467.04</v>
      </c>
      <c r="F173" s="3">
        <v>3</v>
      </c>
      <c r="G173" s="6" t="s">
        <v>26</v>
      </c>
    </row>
    <row r="174" spans="1:7" x14ac:dyDescent="0.3">
      <c r="A174" s="2" t="s">
        <v>225</v>
      </c>
      <c r="B174" s="2" t="s">
        <v>221</v>
      </c>
      <c r="C174" s="6" t="s">
        <v>222</v>
      </c>
      <c r="D174" s="1">
        <v>45074</v>
      </c>
      <c r="E174" s="4">
        <v>22.92</v>
      </c>
      <c r="F174" s="3">
        <v>2</v>
      </c>
      <c r="G174" s="6" t="s">
        <v>38</v>
      </c>
    </row>
    <row r="175" spans="1:7" x14ac:dyDescent="0.3">
      <c r="A175" s="2" t="s">
        <v>226</v>
      </c>
      <c r="B175" s="2" t="s">
        <v>221</v>
      </c>
      <c r="C175" s="6" t="s">
        <v>222</v>
      </c>
      <c r="D175" s="1">
        <v>45134</v>
      </c>
      <c r="E175" s="4">
        <v>245.38</v>
      </c>
      <c r="F175" s="3">
        <v>3</v>
      </c>
      <c r="G175" s="6" t="s">
        <v>38</v>
      </c>
    </row>
    <row r="176" spans="1:7" x14ac:dyDescent="0.3">
      <c r="A176" s="2" t="s">
        <v>227</v>
      </c>
      <c r="B176" s="2" t="s">
        <v>221</v>
      </c>
      <c r="C176" s="6" t="s">
        <v>222</v>
      </c>
      <c r="D176" s="1">
        <v>45351</v>
      </c>
      <c r="E176" s="4">
        <v>196.64</v>
      </c>
      <c r="F176" s="3">
        <v>3</v>
      </c>
      <c r="G176" s="6" t="s">
        <v>18</v>
      </c>
    </row>
    <row r="177" spans="1:7" x14ac:dyDescent="0.3">
      <c r="A177" s="2" t="s">
        <v>228</v>
      </c>
      <c r="B177" s="2" t="s">
        <v>221</v>
      </c>
      <c r="C177" s="6" t="s">
        <v>222</v>
      </c>
      <c r="D177" s="1">
        <v>45530</v>
      </c>
      <c r="E177" s="4">
        <v>41.12</v>
      </c>
      <c r="F177" s="3">
        <v>3</v>
      </c>
      <c r="G177" s="6" t="s">
        <v>38</v>
      </c>
    </row>
    <row r="178" spans="1:7" x14ac:dyDescent="0.3">
      <c r="A178" s="2" t="s">
        <v>229</v>
      </c>
      <c r="B178" s="2" t="s">
        <v>221</v>
      </c>
      <c r="C178" s="6" t="s">
        <v>222</v>
      </c>
      <c r="D178" s="1">
        <v>45580</v>
      </c>
      <c r="E178" s="4">
        <v>143.97</v>
      </c>
      <c r="F178" s="3">
        <v>4</v>
      </c>
      <c r="G178" s="6" t="s">
        <v>18</v>
      </c>
    </row>
    <row r="179" spans="1:7" x14ac:dyDescent="0.3">
      <c r="A179" s="2" t="s">
        <v>230</v>
      </c>
      <c r="B179" s="2" t="s">
        <v>221</v>
      </c>
      <c r="C179" s="6" t="s">
        <v>222</v>
      </c>
      <c r="D179" s="1">
        <v>45506</v>
      </c>
      <c r="E179" s="4">
        <v>296.72000000000003</v>
      </c>
      <c r="F179" s="3">
        <v>1</v>
      </c>
      <c r="G179" s="6" t="s">
        <v>10</v>
      </c>
    </row>
    <row r="180" spans="1:7" x14ac:dyDescent="0.3">
      <c r="A180" s="2" t="s">
        <v>231</v>
      </c>
      <c r="B180" s="2" t="s">
        <v>221</v>
      </c>
      <c r="C180" s="6" t="s">
        <v>222</v>
      </c>
      <c r="D180" s="1">
        <v>45527</v>
      </c>
      <c r="E180" s="4">
        <v>195.15</v>
      </c>
      <c r="F180" s="3">
        <v>2</v>
      </c>
      <c r="G180" s="6" t="s">
        <v>10</v>
      </c>
    </row>
    <row r="181" spans="1:7" x14ac:dyDescent="0.3">
      <c r="A181" s="2" t="s">
        <v>232</v>
      </c>
      <c r="B181" s="2" t="s">
        <v>221</v>
      </c>
      <c r="C181" s="6" t="s">
        <v>222</v>
      </c>
      <c r="D181" s="1">
        <v>45526</v>
      </c>
      <c r="E181" s="4">
        <v>73.290000000000006</v>
      </c>
      <c r="F181" s="3">
        <v>1</v>
      </c>
      <c r="G181" s="6" t="s">
        <v>12</v>
      </c>
    </row>
    <row r="182" spans="1:7" x14ac:dyDescent="0.3">
      <c r="A182" s="2" t="s">
        <v>233</v>
      </c>
      <c r="B182" s="2" t="s">
        <v>221</v>
      </c>
      <c r="C182" s="6" t="s">
        <v>222</v>
      </c>
      <c r="D182" s="1">
        <v>45515</v>
      </c>
      <c r="E182" s="4">
        <v>440.33</v>
      </c>
      <c r="F182" s="3">
        <v>4</v>
      </c>
      <c r="G182" s="6" t="s">
        <v>26</v>
      </c>
    </row>
    <row r="183" spans="1:7" x14ac:dyDescent="0.3">
      <c r="A183" s="2" t="s">
        <v>234</v>
      </c>
      <c r="B183" s="2" t="s">
        <v>221</v>
      </c>
      <c r="C183" s="6" t="s">
        <v>222</v>
      </c>
      <c r="D183" s="1">
        <v>45164</v>
      </c>
      <c r="E183" s="4">
        <v>65.64</v>
      </c>
      <c r="F183" s="3">
        <v>2</v>
      </c>
      <c r="G183" s="6" t="s">
        <v>26</v>
      </c>
    </row>
    <row r="184" spans="1:7" x14ac:dyDescent="0.3">
      <c r="A184" s="2" t="s">
        <v>235</v>
      </c>
      <c r="B184" s="2" t="s">
        <v>236</v>
      </c>
      <c r="C184" s="6" t="s">
        <v>237</v>
      </c>
      <c r="D184" s="1">
        <v>45307</v>
      </c>
      <c r="E184" s="4">
        <v>417.37</v>
      </c>
      <c r="F184" s="3">
        <v>4</v>
      </c>
      <c r="G184" s="6" t="s">
        <v>26</v>
      </c>
    </row>
    <row r="185" spans="1:7" x14ac:dyDescent="0.3">
      <c r="A185" s="2" t="s">
        <v>238</v>
      </c>
      <c r="B185" s="2" t="s">
        <v>236</v>
      </c>
      <c r="C185" s="6" t="s">
        <v>237</v>
      </c>
      <c r="D185" s="1">
        <v>45638</v>
      </c>
      <c r="E185" s="4">
        <v>280.43</v>
      </c>
      <c r="F185" s="3">
        <v>2</v>
      </c>
      <c r="G185" s="6" t="s">
        <v>10</v>
      </c>
    </row>
    <row r="186" spans="1:7" x14ac:dyDescent="0.3">
      <c r="A186" s="2" t="s">
        <v>239</v>
      </c>
      <c r="B186" s="2" t="s">
        <v>240</v>
      </c>
      <c r="C186" s="6" t="s">
        <v>241</v>
      </c>
      <c r="D186" s="1">
        <v>45338</v>
      </c>
      <c r="E186" s="4">
        <v>245.22</v>
      </c>
      <c r="F186" s="3">
        <v>1</v>
      </c>
      <c r="G186" s="6" t="s">
        <v>10</v>
      </c>
    </row>
    <row r="187" spans="1:7" x14ac:dyDescent="0.3">
      <c r="A187" s="2" t="s">
        <v>242</v>
      </c>
      <c r="B187" s="2" t="s">
        <v>240</v>
      </c>
      <c r="C187" s="6" t="s">
        <v>241</v>
      </c>
      <c r="D187" s="1">
        <v>45624</v>
      </c>
      <c r="E187" s="4">
        <v>355</v>
      </c>
      <c r="F187" s="3">
        <v>3</v>
      </c>
      <c r="G187" s="6" t="s">
        <v>12</v>
      </c>
    </row>
    <row r="188" spans="1:7" x14ac:dyDescent="0.3">
      <c r="A188" s="2" t="s">
        <v>243</v>
      </c>
      <c r="B188" s="2" t="s">
        <v>240</v>
      </c>
      <c r="C188" s="6" t="s">
        <v>241</v>
      </c>
      <c r="D188" s="1">
        <v>45648</v>
      </c>
      <c r="E188" s="4">
        <v>312.45999999999998</v>
      </c>
      <c r="F188" s="3">
        <v>2</v>
      </c>
      <c r="G188" s="6" t="s">
        <v>26</v>
      </c>
    </row>
    <row r="189" spans="1:7" x14ac:dyDescent="0.3">
      <c r="A189" s="2" t="s">
        <v>244</v>
      </c>
      <c r="B189" s="2" t="s">
        <v>240</v>
      </c>
      <c r="C189" s="6" t="s">
        <v>241</v>
      </c>
      <c r="D189" s="1">
        <v>45532</v>
      </c>
      <c r="E189" s="4">
        <v>299.06</v>
      </c>
      <c r="F189" s="3">
        <v>3</v>
      </c>
      <c r="G189" s="6" t="s">
        <v>18</v>
      </c>
    </row>
    <row r="190" spans="1:7" x14ac:dyDescent="0.3">
      <c r="A190" s="2" t="s">
        <v>245</v>
      </c>
      <c r="B190" s="2" t="s">
        <v>240</v>
      </c>
      <c r="C190" s="6" t="s">
        <v>241</v>
      </c>
      <c r="D190" s="1">
        <v>45573</v>
      </c>
      <c r="E190" s="4">
        <v>54.59</v>
      </c>
      <c r="F190" s="3">
        <v>4</v>
      </c>
      <c r="G190" s="6" t="s">
        <v>26</v>
      </c>
    </row>
    <row r="191" spans="1:7" x14ac:dyDescent="0.3">
      <c r="A191" s="2" t="s">
        <v>246</v>
      </c>
      <c r="B191" s="2" t="s">
        <v>240</v>
      </c>
      <c r="C191" s="6" t="s">
        <v>241</v>
      </c>
      <c r="D191" s="1">
        <v>45475</v>
      </c>
      <c r="E191" s="4">
        <v>261.85000000000002</v>
      </c>
      <c r="F191" s="3">
        <v>2</v>
      </c>
      <c r="G191" s="6" t="s">
        <v>15</v>
      </c>
    </row>
    <row r="192" spans="1:7" x14ac:dyDescent="0.3">
      <c r="A192" s="2" t="s">
        <v>247</v>
      </c>
      <c r="B192" s="2" t="s">
        <v>240</v>
      </c>
      <c r="C192" s="6" t="s">
        <v>241</v>
      </c>
      <c r="D192" s="1">
        <v>45473</v>
      </c>
      <c r="E192" s="4">
        <v>266.57</v>
      </c>
      <c r="F192" s="3">
        <v>1</v>
      </c>
      <c r="G192" s="6" t="s">
        <v>38</v>
      </c>
    </row>
    <row r="193" spans="1:7" x14ac:dyDescent="0.3">
      <c r="A193" s="2" t="s">
        <v>248</v>
      </c>
      <c r="B193" s="2" t="s">
        <v>240</v>
      </c>
      <c r="C193" s="6" t="s">
        <v>241</v>
      </c>
      <c r="D193" s="1">
        <v>45511</v>
      </c>
      <c r="E193" s="4">
        <v>82.07</v>
      </c>
      <c r="F193" s="3">
        <v>2</v>
      </c>
      <c r="G193" s="6" t="s">
        <v>38</v>
      </c>
    </row>
    <row r="194" spans="1:7" x14ac:dyDescent="0.3">
      <c r="A194" s="2" t="s">
        <v>249</v>
      </c>
      <c r="B194" s="2" t="s">
        <v>240</v>
      </c>
      <c r="C194" s="6" t="s">
        <v>241</v>
      </c>
      <c r="D194" s="1">
        <v>45499</v>
      </c>
      <c r="E194" s="4">
        <v>136.54</v>
      </c>
      <c r="F194" s="3">
        <v>2</v>
      </c>
      <c r="G194" s="6" t="s">
        <v>10</v>
      </c>
    </row>
    <row r="195" spans="1:7" x14ac:dyDescent="0.3">
      <c r="A195" s="2" t="s">
        <v>250</v>
      </c>
      <c r="B195" s="2" t="s">
        <v>240</v>
      </c>
      <c r="C195" s="6" t="s">
        <v>241</v>
      </c>
      <c r="D195" s="1">
        <v>45488</v>
      </c>
      <c r="E195" s="4">
        <v>251.38</v>
      </c>
      <c r="F195" s="3">
        <v>2</v>
      </c>
      <c r="G195" s="6" t="s">
        <v>10</v>
      </c>
    </row>
    <row r="196" spans="1:7" x14ac:dyDescent="0.3">
      <c r="A196" s="2" t="s">
        <v>251</v>
      </c>
      <c r="B196" s="2" t="s">
        <v>240</v>
      </c>
      <c r="C196" s="6" t="s">
        <v>241</v>
      </c>
      <c r="D196" s="1">
        <v>45461</v>
      </c>
      <c r="E196" s="4">
        <v>294.02999999999997</v>
      </c>
      <c r="F196" s="3">
        <v>3</v>
      </c>
      <c r="G196" s="6" t="s">
        <v>12</v>
      </c>
    </row>
    <row r="197" spans="1:7" x14ac:dyDescent="0.3">
      <c r="A197" s="2" t="s">
        <v>252</v>
      </c>
      <c r="B197" s="2" t="s">
        <v>240</v>
      </c>
      <c r="C197" s="6" t="s">
        <v>241</v>
      </c>
      <c r="D197" s="1">
        <v>45337</v>
      </c>
      <c r="E197" s="4">
        <v>73.150000000000006</v>
      </c>
      <c r="F197" s="3">
        <v>2</v>
      </c>
      <c r="G197" s="6" t="s">
        <v>12</v>
      </c>
    </row>
    <row r="198" spans="1:7" x14ac:dyDescent="0.3">
      <c r="A198" s="2" t="s">
        <v>253</v>
      </c>
      <c r="B198" s="2" t="s">
        <v>240</v>
      </c>
      <c r="C198" s="6" t="s">
        <v>241</v>
      </c>
      <c r="D198" s="1">
        <v>45626</v>
      </c>
      <c r="E198" s="4">
        <v>324.02999999999997</v>
      </c>
      <c r="F198" s="3">
        <v>4</v>
      </c>
      <c r="G198" s="6" t="s">
        <v>15</v>
      </c>
    </row>
    <row r="199" spans="1:7" x14ac:dyDescent="0.3">
      <c r="A199" s="2" t="s">
        <v>254</v>
      </c>
      <c r="B199" s="2" t="s">
        <v>240</v>
      </c>
      <c r="C199" s="6" t="s">
        <v>241</v>
      </c>
      <c r="D199" s="1">
        <v>45507</v>
      </c>
      <c r="E199" s="4">
        <v>449.43</v>
      </c>
      <c r="F199" s="3">
        <v>3</v>
      </c>
      <c r="G199" s="6" t="s">
        <v>12</v>
      </c>
    </row>
    <row r="200" spans="1:7" x14ac:dyDescent="0.3">
      <c r="A200" s="2" t="s">
        <v>255</v>
      </c>
      <c r="B200" s="2" t="s">
        <v>256</v>
      </c>
      <c r="C200" s="6" t="s">
        <v>257</v>
      </c>
      <c r="D200" s="1">
        <v>45016</v>
      </c>
      <c r="E200" s="4">
        <v>104.22</v>
      </c>
      <c r="F200" s="3">
        <v>1</v>
      </c>
      <c r="G200" s="6" t="s">
        <v>12</v>
      </c>
    </row>
    <row r="201" spans="1:7" x14ac:dyDescent="0.3">
      <c r="A201" s="2" t="s">
        <v>258</v>
      </c>
      <c r="B201" s="2" t="s">
        <v>256</v>
      </c>
      <c r="C201" s="6" t="s">
        <v>257</v>
      </c>
      <c r="D201" s="1">
        <v>44960</v>
      </c>
      <c r="E201" s="4">
        <v>179.09</v>
      </c>
      <c r="F201" s="3">
        <v>1</v>
      </c>
      <c r="G201" s="6" t="s">
        <v>26</v>
      </c>
    </row>
    <row r="202" spans="1:7" x14ac:dyDescent="0.3">
      <c r="A202" s="2" t="s">
        <v>259</v>
      </c>
      <c r="B202" s="2" t="s">
        <v>256</v>
      </c>
      <c r="C202" s="6" t="s">
        <v>257</v>
      </c>
      <c r="D202" s="1">
        <v>45489</v>
      </c>
      <c r="E202" s="4">
        <v>53.46</v>
      </c>
      <c r="F202" s="3">
        <v>1</v>
      </c>
      <c r="G202" s="6" t="s">
        <v>38</v>
      </c>
    </row>
    <row r="203" spans="1:7" x14ac:dyDescent="0.3">
      <c r="A203" s="2" t="s">
        <v>260</v>
      </c>
      <c r="B203" s="2" t="s">
        <v>256</v>
      </c>
      <c r="C203" s="6" t="s">
        <v>257</v>
      </c>
      <c r="D203" s="1">
        <v>45188</v>
      </c>
      <c r="E203" s="4">
        <v>184.44</v>
      </c>
      <c r="F203" s="3">
        <v>2</v>
      </c>
      <c r="G203" s="6" t="s">
        <v>18</v>
      </c>
    </row>
    <row r="204" spans="1:7" x14ac:dyDescent="0.3">
      <c r="A204" s="2" t="s">
        <v>261</v>
      </c>
      <c r="B204" s="2" t="s">
        <v>256</v>
      </c>
      <c r="C204" s="6" t="s">
        <v>257</v>
      </c>
      <c r="D204" s="1">
        <v>45033</v>
      </c>
      <c r="E204" s="4">
        <v>171.75</v>
      </c>
      <c r="F204" s="3">
        <v>1</v>
      </c>
      <c r="G204" s="6" t="s">
        <v>12</v>
      </c>
    </row>
    <row r="205" spans="1:7" x14ac:dyDescent="0.3">
      <c r="A205" s="2" t="s">
        <v>262</v>
      </c>
      <c r="B205" s="2" t="s">
        <v>256</v>
      </c>
      <c r="C205" s="6" t="s">
        <v>257</v>
      </c>
      <c r="D205" s="1">
        <v>45204</v>
      </c>
      <c r="E205" s="4">
        <v>245.76</v>
      </c>
      <c r="F205" s="3">
        <v>3</v>
      </c>
      <c r="G205" s="6" t="s">
        <v>18</v>
      </c>
    </row>
    <row r="206" spans="1:7" x14ac:dyDescent="0.3">
      <c r="A206" s="2" t="s">
        <v>263</v>
      </c>
      <c r="B206" s="2" t="s">
        <v>256</v>
      </c>
      <c r="C206" s="6" t="s">
        <v>257</v>
      </c>
      <c r="D206" s="1">
        <v>45011</v>
      </c>
      <c r="E206" s="4">
        <v>438.05</v>
      </c>
      <c r="F206" s="3">
        <v>1</v>
      </c>
      <c r="G206" s="6" t="s">
        <v>10</v>
      </c>
    </row>
    <row r="207" spans="1:7" x14ac:dyDescent="0.3">
      <c r="A207" s="2" t="s">
        <v>264</v>
      </c>
      <c r="B207" s="2" t="s">
        <v>256</v>
      </c>
      <c r="C207" s="6" t="s">
        <v>257</v>
      </c>
      <c r="D207" s="1">
        <v>44981</v>
      </c>
      <c r="E207" s="4">
        <v>435.47</v>
      </c>
      <c r="F207" s="3">
        <v>3</v>
      </c>
      <c r="G207" s="6" t="s">
        <v>38</v>
      </c>
    </row>
    <row r="208" spans="1:7" x14ac:dyDescent="0.3">
      <c r="A208" s="2" t="s">
        <v>265</v>
      </c>
      <c r="B208" s="2" t="s">
        <v>256</v>
      </c>
      <c r="C208" s="6" t="s">
        <v>257</v>
      </c>
      <c r="D208" s="1">
        <v>45208</v>
      </c>
      <c r="E208" s="4">
        <v>493.27</v>
      </c>
      <c r="F208" s="3">
        <v>2</v>
      </c>
      <c r="G208" s="6" t="s">
        <v>18</v>
      </c>
    </row>
    <row r="209" spans="1:7" x14ac:dyDescent="0.3">
      <c r="A209" s="2" t="s">
        <v>266</v>
      </c>
      <c r="B209" s="2" t="s">
        <v>256</v>
      </c>
      <c r="C209" s="6" t="s">
        <v>257</v>
      </c>
      <c r="D209" s="1">
        <v>45429</v>
      </c>
      <c r="E209" s="4">
        <v>382.38</v>
      </c>
      <c r="F209" s="3">
        <v>4</v>
      </c>
      <c r="G209" s="6" t="s">
        <v>18</v>
      </c>
    </row>
    <row r="210" spans="1:7" x14ac:dyDescent="0.3">
      <c r="A210" s="2" t="s">
        <v>267</v>
      </c>
      <c r="B210" s="2" t="s">
        <v>256</v>
      </c>
      <c r="C210" s="6" t="s">
        <v>257</v>
      </c>
      <c r="D210" s="1">
        <v>45341</v>
      </c>
      <c r="E210" s="4">
        <v>376.26</v>
      </c>
      <c r="F210" s="3">
        <v>3</v>
      </c>
      <c r="G210" s="6" t="s">
        <v>18</v>
      </c>
    </row>
    <row r="211" spans="1:7" x14ac:dyDescent="0.3">
      <c r="A211" s="2" t="s">
        <v>268</v>
      </c>
      <c r="B211" s="2" t="s">
        <v>256</v>
      </c>
      <c r="C211" s="6" t="s">
        <v>257</v>
      </c>
      <c r="D211" s="1">
        <v>45267</v>
      </c>
      <c r="E211" s="4">
        <v>75.23</v>
      </c>
      <c r="F211" s="3">
        <v>3</v>
      </c>
      <c r="G211" s="6" t="s">
        <v>12</v>
      </c>
    </row>
    <row r="212" spans="1:7" x14ac:dyDescent="0.3">
      <c r="A212" s="2" t="s">
        <v>269</v>
      </c>
      <c r="B212" s="2" t="s">
        <v>256</v>
      </c>
      <c r="C212" s="6" t="s">
        <v>257</v>
      </c>
      <c r="D212" s="1">
        <v>45318</v>
      </c>
      <c r="E212" s="4">
        <v>270.74</v>
      </c>
      <c r="F212" s="3">
        <v>2</v>
      </c>
      <c r="G212" s="6" t="s">
        <v>10</v>
      </c>
    </row>
    <row r="213" spans="1:7" x14ac:dyDescent="0.3">
      <c r="A213" s="2" t="s">
        <v>270</v>
      </c>
      <c r="B213" s="2" t="s">
        <v>271</v>
      </c>
      <c r="C213" s="6" t="s">
        <v>272</v>
      </c>
      <c r="D213" s="1">
        <v>45637</v>
      </c>
      <c r="E213" s="4">
        <v>371.33</v>
      </c>
      <c r="F213" s="3">
        <v>2</v>
      </c>
      <c r="G213" s="6" t="s">
        <v>15</v>
      </c>
    </row>
    <row r="214" spans="1:7" x14ac:dyDescent="0.3">
      <c r="A214" s="2" t="s">
        <v>273</v>
      </c>
      <c r="B214" s="2" t="s">
        <v>271</v>
      </c>
      <c r="C214" s="6" t="s">
        <v>272</v>
      </c>
      <c r="D214" s="1">
        <v>45651</v>
      </c>
      <c r="E214" s="4">
        <v>167.82</v>
      </c>
      <c r="F214" s="3">
        <v>2</v>
      </c>
      <c r="G214" s="6" t="s">
        <v>18</v>
      </c>
    </row>
    <row r="215" spans="1:7" x14ac:dyDescent="0.3">
      <c r="A215" s="2" t="s">
        <v>274</v>
      </c>
      <c r="B215" s="2" t="s">
        <v>271</v>
      </c>
      <c r="C215" s="6" t="s">
        <v>272</v>
      </c>
      <c r="D215" s="1">
        <v>45656</v>
      </c>
      <c r="E215" s="4">
        <v>124.28</v>
      </c>
      <c r="F215" s="3">
        <v>4</v>
      </c>
      <c r="G215" s="6" t="s">
        <v>10</v>
      </c>
    </row>
    <row r="216" spans="1:7" x14ac:dyDescent="0.3">
      <c r="A216" s="2" t="s">
        <v>275</v>
      </c>
      <c r="B216" s="2" t="s">
        <v>271</v>
      </c>
      <c r="C216" s="6" t="s">
        <v>272</v>
      </c>
      <c r="D216" s="1">
        <v>45637</v>
      </c>
      <c r="E216" s="4">
        <v>342.76</v>
      </c>
      <c r="F216" s="3">
        <v>1</v>
      </c>
      <c r="G216" s="6" t="s">
        <v>12</v>
      </c>
    </row>
    <row r="217" spans="1:7" x14ac:dyDescent="0.3">
      <c r="A217" s="2" t="s">
        <v>276</v>
      </c>
      <c r="B217" s="2" t="s">
        <v>271</v>
      </c>
      <c r="C217" s="6" t="s">
        <v>272</v>
      </c>
      <c r="D217" s="1">
        <v>45630</v>
      </c>
      <c r="E217" s="4">
        <v>52.59</v>
      </c>
      <c r="F217" s="3">
        <v>2</v>
      </c>
      <c r="G217" s="6" t="s">
        <v>18</v>
      </c>
    </row>
    <row r="218" spans="1:7" x14ac:dyDescent="0.3">
      <c r="A218" s="2" t="s">
        <v>277</v>
      </c>
      <c r="B218" s="2" t="s">
        <v>271</v>
      </c>
      <c r="C218" s="6" t="s">
        <v>272</v>
      </c>
      <c r="D218" s="1">
        <v>45620</v>
      </c>
      <c r="E218" s="4">
        <v>297.39999999999998</v>
      </c>
      <c r="F218" s="3">
        <v>3</v>
      </c>
      <c r="G218" s="6" t="s">
        <v>15</v>
      </c>
    </row>
    <row r="219" spans="1:7" x14ac:dyDescent="0.3">
      <c r="A219" s="2" t="s">
        <v>278</v>
      </c>
      <c r="B219" s="2" t="s">
        <v>271</v>
      </c>
      <c r="C219" s="6" t="s">
        <v>272</v>
      </c>
      <c r="D219" s="1">
        <v>45654</v>
      </c>
      <c r="E219" s="4">
        <v>149.05000000000001</v>
      </c>
      <c r="F219" s="3">
        <v>4</v>
      </c>
      <c r="G219" s="6" t="s">
        <v>18</v>
      </c>
    </row>
    <row r="220" spans="1:7" x14ac:dyDescent="0.3">
      <c r="A220" s="2" t="s">
        <v>279</v>
      </c>
      <c r="B220" s="2" t="s">
        <v>271</v>
      </c>
      <c r="C220" s="6" t="s">
        <v>272</v>
      </c>
      <c r="D220" s="1">
        <v>45638</v>
      </c>
      <c r="E220" s="4">
        <v>307.7</v>
      </c>
      <c r="F220" s="3">
        <v>4</v>
      </c>
      <c r="G220" s="6" t="s">
        <v>12</v>
      </c>
    </row>
    <row r="221" spans="1:7" x14ac:dyDescent="0.3">
      <c r="A221" s="2" t="s">
        <v>280</v>
      </c>
      <c r="B221" s="2" t="s">
        <v>271</v>
      </c>
      <c r="C221" s="6" t="s">
        <v>272</v>
      </c>
      <c r="D221" s="1">
        <v>45618</v>
      </c>
      <c r="E221" s="4">
        <v>306.83</v>
      </c>
      <c r="F221" s="3">
        <v>1</v>
      </c>
      <c r="G221" s="6" t="s">
        <v>38</v>
      </c>
    </row>
    <row r="222" spans="1:7" x14ac:dyDescent="0.3">
      <c r="A222" s="2" t="s">
        <v>281</v>
      </c>
      <c r="B222" s="2" t="s">
        <v>271</v>
      </c>
      <c r="C222" s="6" t="s">
        <v>272</v>
      </c>
      <c r="D222" s="1">
        <v>45634</v>
      </c>
      <c r="E222" s="4">
        <v>120.41</v>
      </c>
      <c r="F222" s="3">
        <v>3</v>
      </c>
      <c r="G222" s="6" t="s">
        <v>18</v>
      </c>
    </row>
    <row r="223" spans="1:7" x14ac:dyDescent="0.3">
      <c r="A223" s="2" t="s">
        <v>282</v>
      </c>
      <c r="B223" s="2" t="s">
        <v>283</v>
      </c>
      <c r="C223" s="6" t="s">
        <v>284</v>
      </c>
      <c r="D223" s="1">
        <v>45608</v>
      </c>
      <c r="E223" s="4">
        <v>53.06</v>
      </c>
      <c r="F223" s="3">
        <v>3</v>
      </c>
      <c r="G223" s="6" t="s">
        <v>18</v>
      </c>
    </row>
    <row r="224" spans="1:7" x14ac:dyDescent="0.3">
      <c r="A224" s="2" t="s">
        <v>285</v>
      </c>
      <c r="B224" s="2" t="s">
        <v>283</v>
      </c>
      <c r="C224" s="6" t="s">
        <v>284</v>
      </c>
      <c r="D224" s="1">
        <v>45429</v>
      </c>
      <c r="E224" s="4">
        <v>449.42</v>
      </c>
      <c r="F224" s="3">
        <v>3</v>
      </c>
      <c r="G224" s="6" t="s">
        <v>12</v>
      </c>
    </row>
    <row r="225" spans="1:7" x14ac:dyDescent="0.3">
      <c r="A225" s="2" t="s">
        <v>286</v>
      </c>
      <c r="B225" s="2" t="s">
        <v>283</v>
      </c>
      <c r="C225" s="6" t="s">
        <v>284</v>
      </c>
      <c r="D225" s="1">
        <v>45308</v>
      </c>
      <c r="E225" s="4">
        <v>211.09</v>
      </c>
      <c r="F225" s="3">
        <v>4</v>
      </c>
      <c r="G225" s="6" t="s">
        <v>15</v>
      </c>
    </row>
    <row r="226" spans="1:7" x14ac:dyDescent="0.3">
      <c r="A226" s="2" t="s">
        <v>287</v>
      </c>
      <c r="B226" s="2" t="s">
        <v>283</v>
      </c>
      <c r="C226" s="6" t="s">
        <v>284</v>
      </c>
      <c r="D226" s="1">
        <v>45500</v>
      </c>
      <c r="E226" s="4">
        <v>449.34</v>
      </c>
      <c r="F226" s="3">
        <v>4</v>
      </c>
      <c r="G226" s="6" t="s">
        <v>15</v>
      </c>
    </row>
    <row r="227" spans="1:7" x14ac:dyDescent="0.3">
      <c r="A227" s="2" t="s">
        <v>288</v>
      </c>
      <c r="B227" s="2" t="s">
        <v>289</v>
      </c>
      <c r="C227" s="6" t="s">
        <v>290</v>
      </c>
      <c r="D227" s="1">
        <v>45638</v>
      </c>
      <c r="E227" s="4">
        <v>410.37</v>
      </c>
      <c r="F227" s="3">
        <v>2</v>
      </c>
      <c r="G227" s="6" t="s">
        <v>38</v>
      </c>
    </row>
    <row r="228" spans="1:7" x14ac:dyDescent="0.3">
      <c r="A228" s="2" t="s">
        <v>291</v>
      </c>
      <c r="B228" s="2" t="s">
        <v>289</v>
      </c>
      <c r="C228" s="6" t="s">
        <v>290</v>
      </c>
      <c r="D228" s="1">
        <v>45625</v>
      </c>
      <c r="E228" s="4">
        <v>282.81</v>
      </c>
      <c r="F228" s="3">
        <v>3</v>
      </c>
      <c r="G228" s="6" t="s">
        <v>26</v>
      </c>
    </row>
    <row r="229" spans="1:7" x14ac:dyDescent="0.3">
      <c r="A229" s="2" t="s">
        <v>292</v>
      </c>
      <c r="B229" s="2" t="s">
        <v>289</v>
      </c>
      <c r="C229" s="6" t="s">
        <v>290</v>
      </c>
      <c r="D229" s="1">
        <v>45628</v>
      </c>
      <c r="E229" s="4">
        <v>101.65</v>
      </c>
      <c r="F229" s="3">
        <v>4</v>
      </c>
      <c r="G229" s="6" t="s">
        <v>18</v>
      </c>
    </row>
    <row r="230" spans="1:7" x14ac:dyDescent="0.3">
      <c r="A230" s="2" t="s">
        <v>293</v>
      </c>
      <c r="B230" s="2" t="s">
        <v>289</v>
      </c>
      <c r="C230" s="6" t="s">
        <v>290</v>
      </c>
      <c r="D230" s="1">
        <v>45642</v>
      </c>
      <c r="E230" s="4">
        <v>107.76</v>
      </c>
      <c r="F230" s="3">
        <v>1</v>
      </c>
      <c r="G230" s="6" t="s">
        <v>15</v>
      </c>
    </row>
    <row r="231" spans="1:7" x14ac:dyDescent="0.3">
      <c r="A231" s="2" t="s">
        <v>294</v>
      </c>
      <c r="B231" s="2" t="s">
        <v>289</v>
      </c>
      <c r="C231" s="6" t="s">
        <v>290</v>
      </c>
      <c r="D231" s="1">
        <v>45635</v>
      </c>
      <c r="E231" s="4">
        <v>66.27</v>
      </c>
      <c r="F231" s="3">
        <v>2</v>
      </c>
      <c r="G231" s="6" t="s">
        <v>26</v>
      </c>
    </row>
    <row r="232" spans="1:7" x14ac:dyDescent="0.3">
      <c r="A232" s="2" t="s">
        <v>295</v>
      </c>
      <c r="B232" s="2" t="s">
        <v>289</v>
      </c>
      <c r="C232" s="6" t="s">
        <v>290</v>
      </c>
      <c r="D232" s="1">
        <v>45634</v>
      </c>
      <c r="E232" s="4">
        <v>466.69</v>
      </c>
      <c r="F232" s="3">
        <v>3</v>
      </c>
      <c r="G232" s="6" t="s">
        <v>10</v>
      </c>
    </row>
    <row r="233" spans="1:7" x14ac:dyDescent="0.3">
      <c r="A233" s="2" t="s">
        <v>296</v>
      </c>
      <c r="B233" s="2" t="s">
        <v>289</v>
      </c>
      <c r="C233" s="6" t="s">
        <v>290</v>
      </c>
      <c r="D233" s="1">
        <v>45626</v>
      </c>
      <c r="E233" s="4">
        <v>35.39</v>
      </c>
      <c r="F233" s="3">
        <v>4</v>
      </c>
      <c r="G233" s="6" t="s">
        <v>26</v>
      </c>
    </row>
    <row r="234" spans="1:7" x14ac:dyDescent="0.3">
      <c r="A234" s="2" t="s">
        <v>297</v>
      </c>
      <c r="B234" s="2" t="s">
        <v>289</v>
      </c>
      <c r="C234" s="6" t="s">
        <v>290</v>
      </c>
      <c r="D234" s="1">
        <v>45633</v>
      </c>
      <c r="E234" s="4">
        <v>278.82</v>
      </c>
      <c r="F234" s="3">
        <v>4</v>
      </c>
      <c r="G234" s="6" t="s">
        <v>26</v>
      </c>
    </row>
    <row r="235" spans="1:7" x14ac:dyDescent="0.3">
      <c r="A235" s="2" t="s">
        <v>298</v>
      </c>
      <c r="B235" s="2" t="s">
        <v>289</v>
      </c>
      <c r="C235" s="6" t="s">
        <v>290</v>
      </c>
      <c r="D235" s="1">
        <v>45625</v>
      </c>
      <c r="E235" s="4">
        <v>167.95</v>
      </c>
      <c r="F235" s="3">
        <v>4</v>
      </c>
      <c r="G235" s="6" t="s">
        <v>26</v>
      </c>
    </row>
    <row r="236" spans="1:7" x14ac:dyDescent="0.3">
      <c r="A236" s="2" t="s">
        <v>299</v>
      </c>
      <c r="B236" s="2" t="s">
        <v>289</v>
      </c>
      <c r="C236" s="6" t="s">
        <v>290</v>
      </c>
      <c r="D236" s="1">
        <v>45624</v>
      </c>
      <c r="E236" s="4">
        <v>78.02</v>
      </c>
      <c r="F236" s="3">
        <v>1</v>
      </c>
      <c r="G236" s="6" t="s">
        <v>38</v>
      </c>
    </row>
    <row r="237" spans="1:7" x14ac:dyDescent="0.3">
      <c r="A237" s="2" t="s">
        <v>300</v>
      </c>
      <c r="B237" s="2" t="s">
        <v>289</v>
      </c>
      <c r="C237" s="6" t="s">
        <v>290</v>
      </c>
      <c r="D237" s="1">
        <v>45632</v>
      </c>
      <c r="E237" s="4">
        <v>301.86</v>
      </c>
      <c r="F237" s="3">
        <v>3</v>
      </c>
      <c r="G237" s="6" t="s">
        <v>18</v>
      </c>
    </row>
    <row r="238" spans="1:7" x14ac:dyDescent="0.3">
      <c r="A238" s="2" t="s">
        <v>301</v>
      </c>
      <c r="B238" s="2" t="s">
        <v>302</v>
      </c>
      <c r="C238" s="6" t="s">
        <v>303</v>
      </c>
      <c r="D238" s="1">
        <v>45116</v>
      </c>
      <c r="E238" s="4">
        <v>465.47</v>
      </c>
      <c r="F238" s="3">
        <v>4</v>
      </c>
      <c r="G238" s="6" t="s">
        <v>18</v>
      </c>
    </row>
    <row r="239" spans="1:7" x14ac:dyDescent="0.3">
      <c r="A239" s="2" t="s">
        <v>304</v>
      </c>
      <c r="B239" s="2" t="s">
        <v>302</v>
      </c>
      <c r="C239" s="6" t="s">
        <v>303</v>
      </c>
      <c r="D239" s="1">
        <v>45257</v>
      </c>
      <c r="E239" s="4">
        <v>210.17</v>
      </c>
      <c r="F239" s="3">
        <v>4</v>
      </c>
      <c r="G239" s="6" t="s">
        <v>10</v>
      </c>
    </row>
    <row r="240" spans="1:7" x14ac:dyDescent="0.3">
      <c r="A240" s="2" t="s">
        <v>305</v>
      </c>
      <c r="B240" s="2" t="s">
        <v>302</v>
      </c>
      <c r="C240" s="6" t="s">
        <v>303</v>
      </c>
      <c r="D240" s="1">
        <v>45480</v>
      </c>
      <c r="E240" s="4">
        <v>469.79</v>
      </c>
      <c r="F240" s="3">
        <v>3</v>
      </c>
      <c r="G240" s="6" t="s">
        <v>15</v>
      </c>
    </row>
    <row r="241" spans="1:7" x14ac:dyDescent="0.3">
      <c r="A241" s="2" t="s">
        <v>306</v>
      </c>
      <c r="B241" s="2" t="s">
        <v>307</v>
      </c>
      <c r="C241" s="6" t="s">
        <v>308</v>
      </c>
      <c r="D241" s="1">
        <v>45410</v>
      </c>
      <c r="E241" s="4">
        <v>363.58</v>
      </c>
      <c r="F241" s="3">
        <v>4</v>
      </c>
      <c r="G241" s="6" t="s">
        <v>15</v>
      </c>
    </row>
    <row r="242" spans="1:7" x14ac:dyDescent="0.3">
      <c r="A242" s="2" t="s">
        <v>309</v>
      </c>
      <c r="B242" s="2" t="s">
        <v>307</v>
      </c>
      <c r="C242" s="6" t="s">
        <v>308</v>
      </c>
      <c r="D242" s="1">
        <v>45463</v>
      </c>
      <c r="E242" s="4">
        <v>78.489999999999995</v>
      </c>
      <c r="F242" s="3">
        <v>1</v>
      </c>
      <c r="G242" s="6" t="s">
        <v>38</v>
      </c>
    </row>
    <row r="243" spans="1:7" x14ac:dyDescent="0.3">
      <c r="A243" s="2" t="s">
        <v>310</v>
      </c>
      <c r="B243" s="2" t="s">
        <v>307</v>
      </c>
      <c r="C243" s="6" t="s">
        <v>308</v>
      </c>
      <c r="D243" s="1">
        <v>45384</v>
      </c>
      <c r="E243" s="4">
        <v>401.77</v>
      </c>
      <c r="F243" s="3">
        <v>1</v>
      </c>
      <c r="G243" s="6" t="s">
        <v>12</v>
      </c>
    </row>
    <row r="244" spans="1:7" x14ac:dyDescent="0.3">
      <c r="A244" s="2" t="s">
        <v>311</v>
      </c>
      <c r="B244" s="2" t="s">
        <v>312</v>
      </c>
      <c r="C244" s="6" t="s">
        <v>313</v>
      </c>
      <c r="D244" s="1">
        <v>45641</v>
      </c>
      <c r="E244" s="4">
        <v>335.95</v>
      </c>
      <c r="F244" s="3">
        <v>2</v>
      </c>
      <c r="G244" s="6" t="s">
        <v>26</v>
      </c>
    </row>
    <row r="245" spans="1:7" x14ac:dyDescent="0.3">
      <c r="A245" s="2" t="s">
        <v>314</v>
      </c>
      <c r="B245" s="2" t="s">
        <v>312</v>
      </c>
      <c r="C245" s="6" t="s">
        <v>313</v>
      </c>
      <c r="D245" s="1">
        <v>45626</v>
      </c>
      <c r="E245" s="4">
        <v>164.94</v>
      </c>
      <c r="F245" s="3">
        <v>1</v>
      </c>
      <c r="G245" s="6" t="s">
        <v>26</v>
      </c>
    </row>
    <row r="246" spans="1:7" x14ac:dyDescent="0.3">
      <c r="A246" s="2" t="s">
        <v>315</v>
      </c>
      <c r="B246" s="2" t="s">
        <v>312</v>
      </c>
      <c r="C246" s="6" t="s">
        <v>313</v>
      </c>
      <c r="D246" s="1">
        <v>45640</v>
      </c>
      <c r="E246" s="4">
        <v>410.13</v>
      </c>
      <c r="F246" s="3">
        <v>4</v>
      </c>
      <c r="G246" s="6" t="s">
        <v>18</v>
      </c>
    </row>
    <row r="247" spans="1:7" x14ac:dyDescent="0.3">
      <c r="A247" s="2" t="s">
        <v>316</v>
      </c>
      <c r="B247" s="2" t="s">
        <v>312</v>
      </c>
      <c r="C247" s="6" t="s">
        <v>313</v>
      </c>
      <c r="D247" s="1">
        <v>45655</v>
      </c>
      <c r="E247" s="4">
        <v>376.33</v>
      </c>
      <c r="F247" s="3">
        <v>1</v>
      </c>
      <c r="G247" s="6" t="s">
        <v>38</v>
      </c>
    </row>
    <row r="248" spans="1:7" x14ac:dyDescent="0.3">
      <c r="A248" s="2" t="s">
        <v>317</v>
      </c>
      <c r="B248" s="2" t="s">
        <v>312</v>
      </c>
      <c r="C248" s="6" t="s">
        <v>313</v>
      </c>
      <c r="D248" s="1">
        <v>45639</v>
      </c>
      <c r="E248" s="4">
        <v>450.79</v>
      </c>
      <c r="F248" s="3">
        <v>2</v>
      </c>
      <c r="G248" s="6" t="s">
        <v>26</v>
      </c>
    </row>
    <row r="249" spans="1:7" x14ac:dyDescent="0.3">
      <c r="A249" s="2" t="s">
        <v>318</v>
      </c>
      <c r="B249" s="2" t="s">
        <v>319</v>
      </c>
      <c r="C249" s="6" t="s">
        <v>320</v>
      </c>
      <c r="D249" s="1">
        <v>45115</v>
      </c>
      <c r="E249" s="4">
        <v>315.88</v>
      </c>
      <c r="F249" s="3">
        <v>2</v>
      </c>
      <c r="G249" s="6" t="s">
        <v>12</v>
      </c>
    </row>
    <row r="250" spans="1:7" x14ac:dyDescent="0.3">
      <c r="A250" s="2" t="s">
        <v>321</v>
      </c>
      <c r="B250" s="2" t="s">
        <v>319</v>
      </c>
      <c r="C250" s="6" t="s">
        <v>320</v>
      </c>
      <c r="D250" s="1">
        <v>45590</v>
      </c>
      <c r="E250" s="4">
        <v>317.58</v>
      </c>
      <c r="F250" s="3">
        <v>4</v>
      </c>
      <c r="G250" s="6" t="s">
        <v>26</v>
      </c>
    </row>
    <row r="251" spans="1:7" x14ac:dyDescent="0.3">
      <c r="A251" s="2" t="s">
        <v>322</v>
      </c>
      <c r="B251" s="2" t="s">
        <v>319</v>
      </c>
      <c r="C251" s="6" t="s">
        <v>320</v>
      </c>
      <c r="D251" s="1">
        <v>45511</v>
      </c>
      <c r="E251" s="4">
        <v>399.07</v>
      </c>
      <c r="F251" s="3">
        <v>1</v>
      </c>
      <c r="G251" s="6" t="s">
        <v>10</v>
      </c>
    </row>
    <row r="252" spans="1:7" x14ac:dyDescent="0.3">
      <c r="A252" s="2" t="s">
        <v>323</v>
      </c>
      <c r="B252" s="2" t="s">
        <v>319</v>
      </c>
      <c r="C252" s="6" t="s">
        <v>320</v>
      </c>
      <c r="D252" s="1">
        <v>45489</v>
      </c>
      <c r="E252" s="4">
        <v>448.01</v>
      </c>
      <c r="F252" s="3">
        <v>1</v>
      </c>
      <c r="G252" s="6" t="s">
        <v>15</v>
      </c>
    </row>
    <row r="253" spans="1:7" x14ac:dyDescent="0.3">
      <c r="A253" s="2" t="s">
        <v>324</v>
      </c>
      <c r="B253" s="2" t="s">
        <v>319</v>
      </c>
      <c r="C253" s="6" t="s">
        <v>320</v>
      </c>
      <c r="D253" s="1">
        <v>45561</v>
      </c>
      <c r="E253" s="4">
        <v>378.68</v>
      </c>
      <c r="F253" s="3">
        <v>1</v>
      </c>
      <c r="G253" s="6" t="s">
        <v>10</v>
      </c>
    </row>
    <row r="254" spans="1:7" x14ac:dyDescent="0.3">
      <c r="A254" s="2" t="s">
        <v>325</v>
      </c>
      <c r="B254" s="2" t="s">
        <v>326</v>
      </c>
      <c r="C254" s="6" t="s">
        <v>327</v>
      </c>
      <c r="D254" s="1">
        <v>45592</v>
      </c>
      <c r="E254" s="4">
        <v>110.23</v>
      </c>
      <c r="F254" s="3">
        <v>2</v>
      </c>
      <c r="G254" s="6" t="s">
        <v>26</v>
      </c>
    </row>
    <row r="255" spans="1:7" x14ac:dyDescent="0.3">
      <c r="A255" s="2" t="s">
        <v>328</v>
      </c>
      <c r="B255" s="2" t="s">
        <v>326</v>
      </c>
      <c r="C255" s="6" t="s">
        <v>327</v>
      </c>
      <c r="D255" s="1">
        <v>45343</v>
      </c>
      <c r="E255" s="4">
        <v>439.62</v>
      </c>
      <c r="F255" s="3">
        <v>2</v>
      </c>
      <c r="G255" s="6" t="s">
        <v>38</v>
      </c>
    </row>
    <row r="256" spans="1:7" x14ac:dyDescent="0.3">
      <c r="A256" s="2" t="s">
        <v>329</v>
      </c>
      <c r="B256" s="2" t="s">
        <v>326</v>
      </c>
      <c r="C256" s="6" t="s">
        <v>327</v>
      </c>
      <c r="D256" s="1">
        <v>45632</v>
      </c>
      <c r="E256" s="4">
        <v>272.88</v>
      </c>
      <c r="F256" s="3">
        <v>1</v>
      </c>
      <c r="G256" s="6" t="s">
        <v>15</v>
      </c>
    </row>
    <row r="257" spans="1:7" x14ac:dyDescent="0.3">
      <c r="A257" s="2" t="s">
        <v>330</v>
      </c>
      <c r="B257" s="2" t="s">
        <v>326</v>
      </c>
      <c r="C257" s="6" t="s">
        <v>327</v>
      </c>
      <c r="D257" s="1">
        <v>45554</v>
      </c>
      <c r="E257" s="4">
        <v>305.94</v>
      </c>
      <c r="F257" s="3">
        <v>4</v>
      </c>
      <c r="G257" s="6" t="s">
        <v>10</v>
      </c>
    </row>
    <row r="258" spans="1:7" x14ac:dyDescent="0.3">
      <c r="A258" s="2" t="s">
        <v>331</v>
      </c>
      <c r="B258" s="2" t="s">
        <v>326</v>
      </c>
      <c r="C258" s="6" t="s">
        <v>327</v>
      </c>
      <c r="D258" s="1">
        <v>45599</v>
      </c>
      <c r="E258" s="4">
        <v>248.32</v>
      </c>
      <c r="F258" s="3">
        <v>4</v>
      </c>
      <c r="G258" s="6" t="s">
        <v>15</v>
      </c>
    </row>
    <row r="259" spans="1:7" x14ac:dyDescent="0.3">
      <c r="A259" s="2" t="s">
        <v>332</v>
      </c>
      <c r="B259" s="2" t="s">
        <v>326</v>
      </c>
      <c r="C259" s="6" t="s">
        <v>327</v>
      </c>
      <c r="D259" s="1">
        <v>45511</v>
      </c>
      <c r="E259" s="4">
        <v>362.82</v>
      </c>
      <c r="F259" s="3">
        <v>3</v>
      </c>
      <c r="G259" s="6" t="s">
        <v>12</v>
      </c>
    </row>
    <row r="260" spans="1:7" x14ac:dyDescent="0.3">
      <c r="A260" s="2" t="s">
        <v>333</v>
      </c>
      <c r="B260" s="2" t="s">
        <v>326</v>
      </c>
      <c r="C260" s="6" t="s">
        <v>327</v>
      </c>
      <c r="D260" s="1">
        <v>45630</v>
      </c>
      <c r="E260" s="4">
        <v>360.93</v>
      </c>
      <c r="F260" s="3">
        <v>1</v>
      </c>
      <c r="G260" s="6" t="s">
        <v>12</v>
      </c>
    </row>
    <row r="261" spans="1:7" x14ac:dyDescent="0.3">
      <c r="A261" s="2" t="s">
        <v>334</v>
      </c>
      <c r="B261" s="2" t="s">
        <v>326</v>
      </c>
      <c r="C261" s="6" t="s">
        <v>327</v>
      </c>
      <c r="D261" s="1">
        <v>45486</v>
      </c>
      <c r="E261" s="4">
        <v>98.98</v>
      </c>
      <c r="F261" s="3">
        <v>4</v>
      </c>
      <c r="G261" s="6" t="s">
        <v>26</v>
      </c>
    </row>
    <row r="262" spans="1:7" x14ac:dyDescent="0.3">
      <c r="A262" s="2" t="s">
        <v>335</v>
      </c>
      <c r="B262" s="2" t="s">
        <v>326</v>
      </c>
      <c r="C262" s="6" t="s">
        <v>327</v>
      </c>
      <c r="D262" s="1">
        <v>45376</v>
      </c>
      <c r="E262" s="4">
        <v>121.4</v>
      </c>
      <c r="F262" s="3">
        <v>2</v>
      </c>
      <c r="G262" s="6" t="s">
        <v>26</v>
      </c>
    </row>
    <row r="263" spans="1:7" x14ac:dyDescent="0.3">
      <c r="A263" s="2" t="s">
        <v>336</v>
      </c>
      <c r="B263" s="2" t="s">
        <v>326</v>
      </c>
      <c r="C263" s="6" t="s">
        <v>327</v>
      </c>
      <c r="D263" s="1">
        <v>45556</v>
      </c>
      <c r="E263" s="4">
        <v>297.25</v>
      </c>
      <c r="F263" s="3">
        <v>2</v>
      </c>
      <c r="G263" s="6" t="s">
        <v>18</v>
      </c>
    </row>
    <row r="264" spans="1:7" x14ac:dyDescent="0.3">
      <c r="A264" s="2" t="s">
        <v>337</v>
      </c>
      <c r="B264" s="2" t="s">
        <v>326</v>
      </c>
      <c r="C264" s="6" t="s">
        <v>327</v>
      </c>
      <c r="D264" s="1">
        <v>45449</v>
      </c>
      <c r="E264" s="4">
        <v>365.79</v>
      </c>
      <c r="F264" s="3">
        <v>4</v>
      </c>
      <c r="G264" s="6" t="s">
        <v>12</v>
      </c>
    </row>
    <row r="265" spans="1:7" x14ac:dyDescent="0.3">
      <c r="A265" s="2" t="s">
        <v>338</v>
      </c>
      <c r="B265" s="2" t="s">
        <v>339</v>
      </c>
      <c r="C265" s="6" t="s">
        <v>340</v>
      </c>
      <c r="D265" s="1">
        <v>45595</v>
      </c>
      <c r="E265" s="4">
        <v>397.14</v>
      </c>
      <c r="F265" s="3">
        <v>4</v>
      </c>
      <c r="G265" s="6" t="s">
        <v>10</v>
      </c>
    </row>
    <row r="266" spans="1:7" x14ac:dyDescent="0.3">
      <c r="A266" s="2" t="s">
        <v>341</v>
      </c>
      <c r="B266" s="2" t="s">
        <v>339</v>
      </c>
      <c r="C266" s="6" t="s">
        <v>340</v>
      </c>
      <c r="D266" s="1">
        <v>45398</v>
      </c>
      <c r="E266" s="4">
        <v>84.74</v>
      </c>
      <c r="F266" s="3">
        <v>3</v>
      </c>
      <c r="G266" s="6" t="s">
        <v>15</v>
      </c>
    </row>
    <row r="267" spans="1:7" x14ac:dyDescent="0.3">
      <c r="A267" s="2" t="s">
        <v>342</v>
      </c>
      <c r="B267" s="2" t="s">
        <v>339</v>
      </c>
      <c r="C267" s="6" t="s">
        <v>340</v>
      </c>
      <c r="D267" s="1">
        <v>45649</v>
      </c>
      <c r="E267" s="4">
        <v>43.77</v>
      </c>
      <c r="F267" s="3">
        <v>1</v>
      </c>
      <c r="G267" s="6" t="s">
        <v>12</v>
      </c>
    </row>
    <row r="268" spans="1:7" x14ac:dyDescent="0.3">
      <c r="A268" s="2" t="s">
        <v>343</v>
      </c>
      <c r="B268" s="2" t="s">
        <v>339</v>
      </c>
      <c r="C268" s="6" t="s">
        <v>340</v>
      </c>
      <c r="D268" s="1">
        <v>45567</v>
      </c>
      <c r="E268" s="4">
        <v>421.82</v>
      </c>
      <c r="F268" s="3">
        <v>3</v>
      </c>
      <c r="G268" s="6" t="s">
        <v>12</v>
      </c>
    </row>
    <row r="269" spans="1:7" x14ac:dyDescent="0.3">
      <c r="A269" s="2" t="s">
        <v>344</v>
      </c>
      <c r="B269" s="2" t="s">
        <v>339</v>
      </c>
      <c r="C269" s="6" t="s">
        <v>340</v>
      </c>
      <c r="D269" s="1">
        <v>45528</v>
      </c>
      <c r="E269" s="4">
        <v>65.489999999999995</v>
      </c>
      <c r="F269" s="3">
        <v>2</v>
      </c>
      <c r="G269" s="6" t="s">
        <v>10</v>
      </c>
    </row>
    <row r="270" spans="1:7" x14ac:dyDescent="0.3">
      <c r="A270" s="2" t="s">
        <v>345</v>
      </c>
      <c r="B270" s="2" t="s">
        <v>339</v>
      </c>
      <c r="C270" s="6" t="s">
        <v>340</v>
      </c>
      <c r="D270" s="1">
        <v>45381</v>
      </c>
      <c r="E270" s="4">
        <v>101.3</v>
      </c>
      <c r="F270" s="3">
        <v>1</v>
      </c>
      <c r="G270" s="6" t="s">
        <v>38</v>
      </c>
    </row>
    <row r="271" spans="1:7" x14ac:dyDescent="0.3">
      <c r="A271" s="2" t="s">
        <v>346</v>
      </c>
      <c r="B271" s="2" t="s">
        <v>339</v>
      </c>
      <c r="C271" s="6" t="s">
        <v>340</v>
      </c>
      <c r="D271" s="1">
        <v>45590</v>
      </c>
      <c r="E271" s="4">
        <v>162.61000000000001</v>
      </c>
      <c r="F271" s="3">
        <v>4</v>
      </c>
      <c r="G271" s="6" t="s">
        <v>12</v>
      </c>
    </row>
    <row r="272" spans="1:7" x14ac:dyDescent="0.3">
      <c r="A272" s="2" t="s">
        <v>347</v>
      </c>
      <c r="B272" s="2" t="s">
        <v>339</v>
      </c>
      <c r="C272" s="6" t="s">
        <v>340</v>
      </c>
      <c r="D272" s="1">
        <v>45420</v>
      </c>
      <c r="E272" s="4">
        <v>195.86</v>
      </c>
      <c r="F272" s="3">
        <v>1</v>
      </c>
      <c r="G272" s="6" t="s">
        <v>10</v>
      </c>
    </row>
    <row r="273" spans="1:7" x14ac:dyDescent="0.3">
      <c r="A273" s="2" t="s">
        <v>348</v>
      </c>
      <c r="B273" s="2" t="s">
        <v>339</v>
      </c>
      <c r="C273" s="6" t="s">
        <v>340</v>
      </c>
      <c r="D273" s="1">
        <v>45473</v>
      </c>
      <c r="E273" s="4">
        <v>403.4</v>
      </c>
      <c r="F273" s="3">
        <v>2</v>
      </c>
      <c r="G273" s="6" t="s">
        <v>10</v>
      </c>
    </row>
    <row r="274" spans="1:7" x14ac:dyDescent="0.3">
      <c r="A274" s="2" t="s">
        <v>349</v>
      </c>
      <c r="B274" s="2" t="s">
        <v>339</v>
      </c>
      <c r="C274" s="6" t="s">
        <v>340</v>
      </c>
      <c r="D274" s="1">
        <v>45562</v>
      </c>
      <c r="E274" s="4">
        <v>205.1</v>
      </c>
      <c r="F274" s="3">
        <v>2</v>
      </c>
      <c r="G274" s="6" t="s">
        <v>38</v>
      </c>
    </row>
    <row r="275" spans="1:7" x14ac:dyDescent="0.3">
      <c r="A275" s="2" t="s">
        <v>350</v>
      </c>
      <c r="B275" s="2" t="s">
        <v>339</v>
      </c>
      <c r="C275" s="6" t="s">
        <v>340</v>
      </c>
      <c r="D275" s="1">
        <v>45346</v>
      </c>
      <c r="E275" s="4">
        <v>462.25</v>
      </c>
      <c r="F275" s="3">
        <v>3</v>
      </c>
      <c r="G275" s="6" t="s">
        <v>26</v>
      </c>
    </row>
    <row r="276" spans="1:7" x14ac:dyDescent="0.3">
      <c r="A276" s="2" t="s">
        <v>351</v>
      </c>
      <c r="B276" s="2" t="s">
        <v>339</v>
      </c>
      <c r="C276" s="6" t="s">
        <v>340</v>
      </c>
      <c r="D276" s="1">
        <v>45618</v>
      </c>
      <c r="E276" s="4">
        <v>231.59</v>
      </c>
      <c r="F276" s="3">
        <v>3</v>
      </c>
      <c r="G276" s="6" t="s">
        <v>12</v>
      </c>
    </row>
    <row r="277" spans="1:7" x14ac:dyDescent="0.3">
      <c r="A277" s="2" t="s">
        <v>352</v>
      </c>
      <c r="B277" s="2" t="s">
        <v>353</v>
      </c>
      <c r="C277" s="6" t="s">
        <v>354</v>
      </c>
      <c r="D277" s="1">
        <v>45630</v>
      </c>
      <c r="E277" s="4">
        <v>96.43</v>
      </c>
      <c r="F277" s="3">
        <v>2</v>
      </c>
      <c r="G277" s="6" t="s">
        <v>15</v>
      </c>
    </row>
    <row r="278" spans="1:7" x14ac:dyDescent="0.3">
      <c r="A278" s="2" t="s">
        <v>355</v>
      </c>
      <c r="B278" s="2" t="s">
        <v>353</v>
      </c>
      <c r="C278" s="6" t="s">
        <v>354</v>
      </c>
      <c r="D278" s="1">
        <v>45536</v>
      </c>
      <c r="E278" s="4">
        <v>162.62</v>
      </c>
      <c r="F278" s="3">
        <v>3</v>
      </c>
      <c r="G278" s="6" t="s">
        <v>10</v>
      </c>
    </row>
    <row r="279" spans="1:7" x14ac:dyDescent="0.3">
      <c r="A279" s="2" t="s">
        <v>356</v>
      </c>
      <c r="B279" s="2" t="s">
        <v>353</v>
      </c>
      <c r="C279" s="6" t="s">
        <v>354</v>
      </c>
      <c r="D279" s="1">
        <v>45598</v>
      </c>
      <c r="E279" s="4">
        <v>117.85</v>
      </c>
      <c r="F279" s="3">
        <v>1</v>
      </c>
      <c r="G279" s="6" t="s">
        <v>26</v>
      </c>
    </row>
    <row r="280" spans="1:7" x14ac:dyDescent="0.3">
      <c r="A280" s="2" t="s">
        <v>357</v>
      </c>
      <c r="B280" s="2" t="s">
        <v>353</v>
      </c>
      <c r="C280" s="6" t="s">
        <v>354</v>
      </c>
      <c r="D280" s="1">
        <v>45497</v>
      </c>
      <c r="E280" s="4">
        <v>97.24</v>
      </c>
      <c r="F280" s="3">
        <v>1</v>
      </c>
      <c r="G280" s="6" t="s">
        <v>15</v>
      </c>
    </row>
    <row r="281" spans="1:7" x14ac:dyDescent="0.3">
      <c r="A281" s="2" t="s">
        <v>358</v>
      </c>
      <c r="B281" s="2" t="s">
        <v>353</v>
      </c>
      <c r="C281" s="6" t="s">
        <v>354</v>
      </c>
      <c r="D281" s="1">
        <v>45625</v>
      </c>
      <c r="E281" s="4">
        <v>283.08</v>
      </c>
      <c r="F281" s="3">
        <v>4</v>
      </c>
      <c r="G281" s="6" t="s">
        <v>18</v>
      </c>
    </row>
    <row r="282" spans="1:7" x14ac:dyDescent="0.3">
      <c r="A282" s="2" t="s">
        <v>359</v>
      </c>
      <c r="B282" s="2" t="s">
        <v>353</v>
      </c>
      <c r="C282" s="6" t="s">
        <v>354</v>
      </c>
      <c r="D282" s="1">
        <v>45511</v>
      </c>
      <c r="E282" s="4">
        <v>498.47</v>
      </c>
      <c r="F282" s="3">
        <v>3</v>
      </c>
      <c r="G282" s="6" t="s">
        <v>38</v>
      </c>
    </row>
    <row r="283" spans="1:7" x14ac:dyDescent="0.3">
      <c r="A283" s="2" t="s">
        <v>360</v>
      </c>
      <c r="B283" s="2" t="s">
        <v>353</v>
      </c>
      <c r="C283" s="6" t="s">
        <v>354</v>
      </c>
      <c r="D283" s="1">
        <v>45449</v>
      </c>
      <c r="E283" s="4">
        <v>161.87</v>
      </c>
      <c r="F283" s="3">
        <v>3</v>
      </c>
      <c r="G283" s="6" t="s">
        <v>18</v>
      </c>
    </row>
    <row r="284" spans="1:7" x14ac:dyDescent="0.3">
      <c r="A284" s="2" t="s">
        <v>361</v>
      </c>
      <c r="B284" s="2" t="s">
        <v>353</v>
      </c>
      <c r="C284" s="6" t="s">
        <v>354</v>
      </c>
      <c r="D284" s="1">
        <v>45627</v>
      </c>
      <c r="E284" s="4">
        <v>112.85</v>
      </c>
      <c r="F284" s="3">
        <v>2</v>
      </c>
      <c r="G284" s="6" t="s">
        <v>12</v>
      </c>
    </row>
    <row r="285" spans="1:7" x14ac:dyDescent="0.3">
      <c r="A285" s="2" t="s">
        <v>362</v>
      </c>
      <c r="B285" s="2" t="s">
        <v>353</v>
      </c>
      <c r="C285" s="6" t="s">
        <v>354</v>
      </c>
      <c r="D285" s="1">
        <v>45480</v>
      </c>
      <c r="E285" s="4">
        <v>239.43</v>
      </c>
      <c r="F285" s="3">
        <v>1</v>
      </c>
      <c r="G285" s="6" t="s">
        <v>38</v>
      </c>
    </row>
    <row r="286" spans="1:7" x14ac:dyDescent="0.3">
      <c r="A286" s="2" t="s">
        <v>363</v>
      </c>
      <c r="B286" s="2" t="s">
        <v>353</v>
      </c>
      <c r="C286" s="6" t="s">
        <v>354</v>
      </c>
      <c r="D286" s="1">
        <v>45478</v>
      </c>
      <c r="E286" s="4">
        <v>419.92</v>
      </c>
      <c r="F286" s="3">
        <v>2</v>
      </c>
      <c r="G286" s="6" t="s">
        <v>12</v>
      </c>
    </row>
    <row r="287" spans="1:7" x14ac:dyDescent="0.3">
      <c r="A287" s="2" t="s">
        <v>364</v>
      </c>
      <c r="B287" s="2" t="s">
        <v>353</v>
      </c>
      <c r="C287" s="6" t="s">
        <v>354</v>
      </c>
      <c r="D287" s="1">
        <v>45449</v>
      </c>
      <c r="E287" s="4">
        <v>390.01</v>
      </c>
      <c r="F287" s="3">
        <v>2</v>
      </c>
      <c r="G287" s="6" t="s">
        <v>26</v>
      </c>
    </row>
    <row r="288" spans="1:7" x14ac:dyDescent="0.3">
      <c r="A288" s="2" t="s">
        <v>365</v>
      </c>
      <c r="B288" s="2" t="s">
        <v>353</v>
      </c>
      <c r="C288" s="6" t="s">
        <v>354</v>
      </c>
      <c r="D288" s="1">
        <v>45561</v>
      </c>
      <c r="E288" s="4">
        <v>206.37</v>
      </c>
      <c r="F288" s="3">
        <v>3</v>
      </c>
      <c r="G288" s="6" t="s">
        <v>18</v>
      </c>
    </row>
    <row r="289" spans="1:7" x14ac:dyDescent="0.3">
      <c r="A289" s="2" t="s">
        <v>366</v>
      </c>
      <c r="B289" s="2" t="s">
        <v>367</v>
      </c>
      <c r="C289" s="6" t="s">
        <v>368</v>
      </c>
      <c r="D289" s="1">
        <v>45247</v>
      </c>
      <c r="E289" s="4">
        <v>432.27</v>
      </c>
      <c r="F289" s="3">
        <v>4</v>
      </c>
      <c r="G289" s="6" t="s">
        <v>12</v>
      </c>
    </row>
    <row r="290" spans="1:7" x14ac:dyDescent="0.3">
      <c r="A290" s="2" t="s">
        <v>369</v>
      </c>
      <c r="B290" s="2" t="s">
        <v>367</v>
      </c>
      <c r="C290" s="6" t="s">
        <v>368</v>
      </c>
      <c r="D290" s="1">
        <v>45441</v>
      </c>
      <c r="E290" s="4">
        <v>449.74</v>
      </c>
      <c r="F290" s="3">
        <v>4</v>
      </c>
      <c r="G290" s="6" t="s">
        <v>26</v>
      </c>
    </row>
    <row r="291" spans="1:7" x14ac:dyDescent="0.3">
      <c r="A291" s="2" t="s">
        <v>370</v>
      </c>
      <c r="B291" s="2" t="s">
        <v>367</v>
      </c>
      <c r="C291" s="6" t="s">
        <v>368</v>
      </c>
      <c r="D291" s="1">
        <v>45070</v>
      </c>
      <c r="E291" s="4">
        <v>489.68</v>
      </c>
      <c r="F291" s="3">
        <v>3</v>
      </c>
      <c r="G291" s="6" t="s">
        <v>26</v>
      </c>
    </row>
    <row r="292" spans="1:7" x14ac:dyDescent="0.3">
      <c r="A292" s="2" t="s">
        <v>371</v>
      </c>
      <c r="B292" s="2" t="s">
        <v>367</v>
      </c>
      <c r="C292" s="6" t="s">
        <v>368</v>
      </c>
      <c r="D292" s="1">
        <v>45332</v>
      </c>
      <c r="E292" s="4">
        <v>209.91</v>
      </c>
      <c r="F292" s="3">
        <v>3</v>
      </c>
      <c r="G292" s="6" t="s">
        <v>38</v>
      </c>
    </row>
    <row r="293" spans="1:7" x14ac:dyDescent="0.3">
      <c r="A293" s="2" t="s">
        <v>372</v>
      </c>
      <c r="B293" s="2" t="s">
        <v>367</v>
      </c>
      <c r="C293" s="6" t="s">
        <v>368</v>
      </c>
      <c r="D293" s="1">
        <v>45426</v>
      </c>
      <c r="E293" s="4">
        <v>257.7</v>
      </c>
      <c r="F293" s="3">
        <v>1</v>
      </c>
      <c r="G293" s="6" t="s">
        <v>18</v>
      </c>
    </row>
    <row r="294" spans="1:7" x14ac:dyDescent="0.3">
      <c r="A294" s="2" t="s">
        <v>373</v>
      </c>
      <c r="B294" s="2" t="s">
        <v>367</v>
      </c>
      <c r="C294" s="6" t="s">
        <v>368</v>
      </c>
      <c r="D294" s="1">
        <v>45222</v>
      </c>
      <c r="E294" s="4">
        <v>289.02999999999997</v>
      </c>
      <c r="F294" s="3">
        <v>1</v>
      </c>
      <c r="G294" s="6" t="s">
        <v>12</v>
      </c>
    </row>
    <row r="295" spans="1:7" x14ac:dyDescent="0.3">
      <c r="A295" s="2" t="s">
        <v>374</v>
      </c>
      <c r="B295" s="2" t="s">
        <v>367</v>
      </c>
      <c r="C295" s="6" t="s">
        <v>368</v>
      </c>
      <c r="D295" s="1">
        <v>45587</v>
      </c>
      <c r="E295" s="4">
        <v>126.71</v>
      </c>
      <c r="F295" s="3">
        <v>3</v>
      </c>
      <c r="G295" s="6" t="s">
        <v>26</v>
      </c>
    </row>
    <row r="296" spans="1:7" x14ac:dyDescent="0.3">
      <c r="A296" s="2" t="s">
        <v>375</v>
      </c>
      <c r="B296" s="2" t="s">
        <v>367</v>
      </c>
      <c r="C296" s="6" t="s">
        <v>368</v>
      </c>
      <c r="D296" s="1">
        <v>45079</v>
      </c>
      <c r="E296" s="4">
        <v>494.48</v>
      </c>
      <c r="F296" s="3">
        <v>3</v>
      </c>
      <c r="G296" s="6" t="s">
        <v>18</v>
      </c>
    </row>
    <row r="297" spans="1:7" x14ac:dyDescent="0.3">
      <c r="A297" s="2" t="s">
        <v>376</v>
      </c>
      <c r="B297" s="2" t="s">
        <v>367</v>
      </c>
      <c r="C297" s="6" t="s">
        <v>368</v>
      </c>
      <c r="D297" s="1">
        <v>45435</v>
      </c>
      <c r="E297" s="4">
        <v>472.76</v>
      </c>
      <c r="F297" s="3">
        <v>1</v>
      </c>
      <c r="G297" s="6" t="s">
        <v>18</v>
      </c>
    </row>
    <row r="298" spans="1:7" x14ac:dyDescent="0.3">
      <c r="A298" s="2" t="s">
        <v>377</v>
      </c>
      <c r="B298" s="2" t="s">
        <v>367</v>
      </c>
      <c r="C298" s="6" t="s">
        <v>368</v>
      </c>
      <c r="D298" s="1">
        <v>44990</v>
      </c>
      <c r="E298" s="4">
        <v>320.29000000000002</v>
      </c>
      <c r="F298" s="3">
        <v>3</v>
      </c>
      <c r="G298" s="6" t="s">
        <v>38</v>
      </c>
    </row>
    <row r="299" spans="1:7" x14ac:dyDescent="0.3">
      <c r="A299" s="2" t="s">
        <v>378</v>
      </c>
      <c r="B299" s="2" t="s">
        <v>367</v>
      </c>
      <c r="C299" s="6" t="s">
        <v>368</v>
      </c>
      <c r="D299" s="1">
        <v>45068</v>
      </c>
      <c r="E299" s="4">
        <v>23</v>
      </c>
      <c r="F299" s="3">
        <v>3</v>
      </c>
      <c r="G299" s="6" t="s">
        <v>10</v>
      </c>
    </row>
    <row r="300" spans="1:7" x14ac:dyDescent="0.3">
      <c r="A300" s="2" t="s">
        <v>379</v>
      </c>
      <c r="B300" s="2" t="s">
        <v>367</v>
      </c>
      <c r="C300" s="6" t="s">
        <v>368</v>
      </c>
      <c r="D300" s="1">
        <v>45531</v>
      </c>
      <c r="E300" s="4">
        <v>325.02999999999997</v>
      </c>
      <c r="F300" s="3">
        <v>2</v>
      </c>
      <c r="G300" s="6" t="s">
        <v>26</v>
      </c>
    </row>
    <row r="301" spans="1:7" x14ac:dyDescent="0.3">
      <c r="A301" s="2" t="s">
        <v>380</v>
      </c>
      <c r="B301" s="2" t="s">
        <v>367</v>
      </c>
      <c r="C301" s="6" t="s">
        <v>368</v>
      </c>
      <c r="D301" s="1">
        <v>45506</v>
      </c>
      <c r="E301" s="4">
        <v>137.12</v>
      </c>
      <c r="F301" s="3">
        <v>3</v>
      </c>
      <c r="G301" s="6" t="s">
        <v>26</v>
      </c>
    </row>
    <row r="302" spans="1:7" x14ac:dyDescent="0.3">
      <c r="A302" s="2" t="s">
        <v>381</v>
      </c>
      <c r="B302" s="2" t="s">
        <v>367</v>
      </c>
      <c r="C302" s="6" t="s">
        <v>368</v>
      </c>
      <c r="D302" s="1">
        <v>45454</v>
      </c>
      <c r="E302" s="4">
        <v>26.77</v>
      </c>
      <c r="F302" s="3">
        <v>1</v>
      </c>
      <c r="G302" s="6" t="s">
        <v>15</v>
      </c>
    </row>
    <row r="303" spans="1:7" x14ac:dyDescent="0.3">
      <c r="A303" s="2" t="s">
        <v>382</v>
      </c>
      <c r="B303" s="2" t="s">
        <v>367</v>
      </c>
      <c r="C303" s="6" t="s">
        <v>368</v>
      </c>
      <c r="D303" s="1">
        <v>45239</v>
      </c>
      <c r="E303" s="4">
        <v>280.5</v>
      </c>
      <c r="F303" s="3">
        <v>1</v>
      </c>
      <c r="G303" s="6" t="s">
        <v>26</v>
      </c>
    </row>
    <row r="304" spans="1:7" x14ac:dyDescent="0.3">
      <c r="A304" s="2" t="s">
        <v>383</v>
      </c>
      <c r="B304" s="2" t="s">
        <v>384</v>
      </c>
      <c r="C304" s="6" t="s">
        <v>385</v>
      </c>
      <c r="D304" s="1">
        <v>45633</v>
      </c>
      <c r="E304" s="4">
        <v>384.17</v>
      </c>
      <c r="F304" s="3">
        <v>2</v>
      </c>
      <c r="G304" s="6" t="s">
        <v>38</v>
      </c>
    </row>
    <row r="305" spans="1:7" x14ac:dyDescent="0.3">
      <c r="A305" s="2" t="s">
        <v>386</v>
      </c>
      <c r="B305" s="2" t="s">
        <v>384</v>
      </c>
      <c r="C305" s="6" t="s">
        <v>385</v>
      </c>
      <c r="D305" s="1">
        <v>45285</v>
      </c>
      <c r="E305" s="4">
        <v>248.84</v>
      </c>
      <c r="F305" s="3">
        <v>3</v>
      </c>
      <c r="G305" s="6" t="s">
        <v>18</v>
      </c>
    </row>
    <row r="306" spans="1:7" x14ac:dyDescent="0.3">
      <c r="A306" s="2" t="s">
        <v>387</v>
      </c>
      <c r="B306" s="2" t="s">
        <v>384</v>
      </c>
      <c r="C306" s="6" t="s">
        <v>385</v>
      </c>
      <c r="D306" s="1">
        <v>45255</v>
      </c>
      <c r="E306" s="4">
        <v>99.23</v>
      </c>
      <c r="F306" s="3">
        <v>3</v>
      </c>
      <c r="G306" s="6" t="s">
        <v>26</v>
      </c>
    </row>
    <row r="307" spans="1:7" x14ac:dyDescent="0.3">
      <c r="A307" s="2" t="s">
        <v>388</v>
      </c>
      <c r="B307" s="2" t="s">
        <v>384</v>
      </c>
      <c r="C307" s="6" t="s">
        <v>385</v>
      </c>
      <c r="D307" s="1">
        <v>45336</v>
      </c>
      <c r="E307" s="4">
        <v>141.65</v>
      </c>
      <c r="F307" s="3">
        <v>1</v>
      </c>
      <c r="G307" s="6" t="s">
        <v>26</v>
      </c>
    </row>
    <row r="308" spans="1:7" x14ac:dyDescent="0.3">
      <c r="A308" s="2" t="s">
        <v>389</v>
      </c>
      <c r="B308" s="2" t="s">
        <v>384</v>
      </c>
      <c r="C308" s="6" t="s">
        <v>385</v>
      </c>
      <c r="D308" s="1">
        <v>45408</v>
      </c>
      <c r="E308" s="4">
        <v>136.36000000000001</v>
      </c>
      <c r="F308" s="3">
        <v>2</v>
      </c>
      <c r="G308" s="6" t="s">
        <v>18</v>
      </c>
    </row>
    <row r="309" spans="1:7" x14ac:dyDescent="0.3">
      <c r="A309" s="2" t="s">
        <v>390</v>
      </c>
      <c r="B309" s="2" t="s">
        <v>384</v>
      </c>
      <c r="C309" s="6" t="s">
        <v>385</v>
      </c>
      <c r="D309" s="1">
        <v>45362</v>
      </c>
      <c r="E309" s="4">
        <v>216.63</v>
      </c>
      <c r="F309" s="3">
        <v>2</v>
      </c>
      <c r="G309" s="6" t="s">
        <v>26</v>
      </c>
    </row>
    <row r="310" spans="1:7" x14ac:dyDescent="0.3">
      <c r="A310" s="2" t="s">
        <v>391</v>
      </c>
      <c r="B310" s="2" t="s">
        <v>384</v>
      </c>
      <c r="C310" s="6" t="s">
        <v>385</v>
      </c>
      <c r="D310" s="1">
        <v>45156</v>
      </c>
      <c r="E310" s="4">
        <v>94.12</v>
      </c>
      <c r="F310" s="3">
        <v>3</v>
      </c>
      <c r="G310" s="6" t="s">
        <v>10</v>
      </c>
    </row>
    <row r="311" spans="1:7" x14ac:dyDescent="0.3">
      <c r="A311" s="2" t="s">
        <v>392</v>
      </c>
      <c r="B311" s="2" t="s">
        <v>384</v>
      </c>
      <c r="C311" s="6" t="s">
        <v>385</v>
      </c>
      <c r="D311" s="1">
        <v>45273</v>
      </c>
      <c r="E311" s="4">
        <v>269.52999999999997</v>
      </c>
      <c r="F311" s="3">
        <v>4</v>
      </c>
      <c r="G311" s="6" t="s">
        <v>26</v>
      </c>
    </row>
    <row r="312" spans="1:7" x14ac:dyDescent="0.3">
      <c r="A312" s="2" t="s">
        <v>393</v>
      </c>
      <c r="B312" s="2" t="s">
        <v>384</v>
      </c>
      <c r="C312" s="6" t="s">
        <v>385</v>
      </c>
      <c r="D312" s="1">
        <v>45168</v>
      </c>
      <c r="E312" s="4">
        <v>144.29</v>
      </c>
      <c r="F312" s="3">
        <v>1</v>
      </c>
      <c r="G312" s="6" t="s">
        <v>38</v>
      </c>
    </row>
    <row r="313" spans="1:7" x14ac:dyDescent="0.3">
      <c r="A313" s="2" t="s">
        <v>394</v>
      </c>
      <c r="B313" s="2" t="s">
        <v>384</v>
      </c>
      <c r="C313" s="6" t="s">
        <v>385</v>
      </c>
      <c r="D313" s="1">
        <v>45280</v>
      </c>
      <c r="E313" s="4">
        <v>253.76</v>
      </c>
      <c r="F313" s="3">
        <v>3</v>
      </c>
      <c r="G313" s="6" t="s">
        <v>15</v>
      </c>
    </row>
    <row r="314" spans="1:7" x14ac:dyDescent="0.3">
      <c r="A314" s="2" t="s">
        <v>395</v>
      </c>
      <c r="B314" s="2" t="s">
        <v>384</v>
      </c>
      <c r="C314" s="6" t="s">
        <v>385</v>
      </c>
      <c r="D314" s="1">
        <v>45469</v>
      </c>
      <c r="E314" s="4">
        <v>77.069999999999993</v>
      </c>
      <c r="F314" s="3">
        <v>3</v>
      </c>
      <c r="G314" s="6" t="s">
        <v>38</v>
      </c>
    </row>
    <row r="315" spans="1:7" x14ac:dyDescent="0.3">
      <c r="A315" s="2" t="s">
        <v>396</v>
      </c>
      <c r="B315" s="2" t="s">
        <v>384</v>
      </c>
      <c r="C315" s="6" t="s">
        <v>385</v>
      </c>
      <c r="D315" s="1">
        <v>45295</v>
      </c>
      <c r="E315" s="4">
        <v>132.86000000000001</v>
      </c>
      <c r="F315" s="3">
        <v>1</v>
      </c>
      <c r="G315" s="6" t="s">
        <v>10</v>
      </c>
    </row>
    <row r="316" spans="1:7" x14ac:dyDescent="0.3">
      <c r="A316" s="2" t="s">
        <v>397</v>
      </c>
      <c r="B316" s="2" t="s">
        <v>398</v>
      </c>
      <c r="C316" s="6" t="s">
        <v>399</v>
      </c>
      <c r="D316" s="1">
        <v>45566</v>
      </c>
      <c r="E316" s="4">
        <v>458.06</v>
      </c>
      <c r="F316" s="3">
        <v>1</v>
      </c>
      <c r="G316" s="6" t="s">
        <v>26</v>
      </c>
    </row>
    <row r="317" spans="1:7" x14ac:dyDescent="0.3">
      <c r="A317" s="2" t="s">
        <v>400</v>
      </c>
      <c r="B317" s="2" t="s">
        <v>398</v>
      </c>
      <c r="C317" s="6" t="s">
        <v>399</v>
      </c>
      <c r="D317" s="1">
        <v>45648</v>
      </c>
      <c r="E317" s="4">
        <v>387.75</v>
      </c>
      <c r="F317" s="3">
        <v>4</v>
      </c>
      <c r="G317" s="6" t="s">
        <v>18</v>
      </c>
    </row>
    <row r="318" spans="1:7" x14ac:dyDescent="0.3">
      <c r="A318" s="2" t="s">
        <v>401</v>
      </c>
      <c r="B318" s="2" t="s">
        <v>398</v>
      </c>
      <c r="C318" s="6" t="s">
        <v>399</v>
      </c>
      <c r="D318" s="1">
        <v>45302</v>
      </c>
      <c r="E318" s="4">
        <v>91.48</v>
      </c>
      <c r="F318" s="3">
        <v>1</v>
      </c>
      <c r="G318" s="6" t="s">
        <v>12</v>
      </c>
    </row>
    <row r="319" spans="1:7" x14ac:dyDescent="0.3">
      <c r="A319" s="2" t="s">
        <v>402</v>
      </c>
      <c r="B319" s="2" t="s">
        <v>398</v>
      </c>
      <c r="C319" s="6" t="s">
        <v>399</v>
      </c>
      <c r="D319" s="1">
        <v>45479</v>
      </c>
      <c r="E319" s="4">
        <v>54.27</v>
      </c>
      <c r="F319" s="3">
        <v>2</v>
      </c>
      <c r="G319" s="6" t="s">
        <v>12</v>
      </c>
    </row>
    <row r="320" spans="1:7" x14ac:dyDescent="0.3">
      <c r="A320" s="2" t="s">
        <v>403</v>
      </c>
      <c r="B320" s="2" t="s">
        <v>398</v>
      </c>
      <c r="C320" s="6" t="s">
        <v>399</v>
      </c>
      <c r="D320" s="1">
        <v>45201</v>
      </c>
      <c r="E320" s="4">
        <v>200.75</v>
      </c>
      <c r="F320" s="3">
        <v>4</v>
      </c>
      <c r="G320" s="6" t="s">
        <v>12</v>
      </c>
    </row>
    <row r="321" spans="1:7" x14ac:dyDescent="0.3">
      <c r="A321" s="2" t="s">
        <v>404</v>
      </c>
      <c r="B321" s="2" t="s">
        <v>405</v>
      </c>
      <c r="C321" s="6" t="s">
        <v>406</v>
      </c>
      <c r="D321" s="1">
        <v>45553</v>
      </c>
      <c r="E321" s="4">
        <v>309.10000000000002</v>
      </c>
      <c r="F321" s="3">
        <v>2</v>
      </c>
      <c r="G321" s="6" t="s">
        <v>18</v>
      </c>
    </row>
    <row r="322" spans="1:7" x14ac:dyDescent="0.3">
      <c r="A322" s="2" t="s">
        <v>407</v>
      </c>
      <c r="B322" s="2" t="s">
        <v>405</v>
      </c>
      <c r="C322" s="6" t="s">
        <v>406</v>
      </c>
      <c r="D322" s="1">
        <v>45569</v>
      </c>
      <c r="E322" s="4">
        <v>335.2</v>
      </c>
      <c r="F322" s="3">
        <v>2</v>
      </c>
      <c r="G322" s="6" t="s">
        <v>18</v>
      </c>
    </row>
    <row r="323" spans="1:7" x14ac:dyDescent="0.3">
      <c r="A323" s="2" t="s">
        <v>408</v>
      </c>
      <c r="B323" s="2" t="s">
        <v>405</v>
      </c>
      <c r="C323" s="6" t="s">
        <v>406</v>
      </c>
      <c r="D323" s="1">
        <v>45583</v>
      </c>
      <c r="E323" s="4">
        <v>247.04</v>
      </c>
      <c r="F323" s="3">
        <v>4</v>
      </c>
      <c r="G323" s="6" t="s">
        <v>26</v>
      </c>
    </row>
    <row r="324" spans="1:7" x14ac:dyDescent="0.3">
      <c r="A324" s="2" t="s">
        <v>409</v>
      </c>
      <c r="B324" s="2" t="s">
        <v>405</v>
      </c>
      <c r="C324" s="6" t="s">
        <v>406</v>
      </c>
      <c r="D324" s="1">
        <v>45595</v>
      </c>
      <c r="E324" s="4">
        <v>253.22</v>
      </c>
      <c r="F324" s="3">
        <v>3</v>
      </c>
      <c r="G324" s="6" t="s">
        <v>10</v>
      </c>
    </row>
    <row r="325" spans="1:7" x14ac:dyDescent="0.3">
      <c r="A325" s="2" t="s">
        <v>410</v>
      </c>
      <c r="B325" s="2" t="s">
        <v>411</v>
      </c>
      <c r="C325" s="6" t="s">
        <v>412</v>
      </c>
      <c r="D325" s="1">
        <v>45580</v>
      </c>
      <c r="E325" s="4">
        <v>242.38</v>
      </c>
      <c r="F325" s="3">
        <v>1</v>
      </c>
      <c r="G325" s="6" t="s">
        <v>38</v>
      </c>
    </row>
    <row r="326" spans="1:7" x14ac:dyDescent="0.3">
      <c r="A326" s="2" t="s">
        <v>413</v>
      </c>
      <c r="B326" s="2" t="s">
        <v>411</v>
      </c>
      <c r="C326" s="6" t="s">
        <v>412</v>
      </c>
      <c r="D326" s="1">
        <v>45466</v>
      </c>
      <c r="E326" s="4">
        <v>366.81</v>
      </c>
      <c r="F326" s="3">
        <v>1</v>
      </c>
      <c r="G326" s="6" t="s">
        <v>38</v>
      </c>
    </row>
    <row r="327" spans="1:7" x14ac:dyDescent="0.3">
      <c r="A327" s="2" t="s">
        <v>414</v>
      </c>
      <c r="B327" s="2" t="s">
        <v>415</v>
      </c>
      <c r="C327" s="6" t="s">
        <v>416</v>
      </c>
      <c r="D327" s="1">
        <v>45053</v>
      </c>
      <c r="E327" s="4">
        <v>235.24</v>
      </c>
      <c r="F327" s="3">
        <v>3</v>
      </c>
      <c r="G327" s="6" t="s">
        <v>12</v>
      </c>
    </row>
    <row r="328" spans="1:7" x14ac:dyDescent="0.3">
      <c r="A328" s="2" t="s">
        <v>417</v>
      </c>
      <c r="B328" s="2" t="s">
        <v>415</v>
      </c>
      <c r="C328" s="6" t="s">
        <v>416</v>
      </c>
      <c r="D328" s="1">
        <v>45509</v>
      </c>
      <c r="E328" s="4">
        <v>401.71</v>
      </c>
      <c r="F328" s="3">
        <v>3</v>
      </c>
      <c r="G328" s="6" t="s">
        <v>15</v>
      </c>
    </row>
    <row r="329" spans="1:7" x14ac:dyDescent="0.3">
      <c r="A329" s="2" t="s">
        <v>418</v>
      </c>
      <c r="B329" s="2" t="s">
        <v>415</v>
      </c>
      <c r="C329" s="6" t="s">
        <v>416</v>
      </c>
      <c r="D329" s="1">
        <v>45489</v>
      </c>
      <c r="E329" s="4">
        <v>12.57</v>
      </c>
      <c r="F329" s="3">
        <v>3</v>
      </c>
      <c r="G329" s="6" t="s">
        <v>15</v>
      </c>
    </row>
    <row r="330" spans="1:7" x14ac:dyDescent="0.3">
      <c r="A330" s="2" t="s">
        <v>419</v>
      </c>
      <c r="B330" s="2" t="s">
        <v>415</v>
      </c>
      <c r="C330" s="6" t="s">
        <v>416</v>
      </c>
      <c r="D330" s="1">
        <v>45624</v>
      </c>
      <c r="E330" s="4">
        <v>54.88</v>
      </c>
      <c r="F330" s="3">
        <v>1</v>
      </c>
      <c r="G330" s="6" t="s">
        <v>12</v>
      </c>
    </row>
    <row r="331" spans="1:7" x14ac:dyDescent="0.3">
      <c r="A331" s="2" t="s">
        <v>420</v>
      </c>
      <c r="B331" s="2" t="s">
        <v>415</v>
      </c>
      <c r="C331" s="6" t="s">
        <v>416</v>
      </c>
      <c r="D331" s="1">
        <v>45028</v>
      </c>
      <c r="E331" s="4">
        <v>475.62</v>
      </c>
      <c r="F331" s="3">
        <v>3</v>
      </c>
      <c r="G331" s="6" t="s">
        <v>38</v>
      </c>
    </row>
    <row r="332" spans="1:7" x14ac:dyDescent="0.3">
      <c r="A332" s="2" t="s">
        <v>421</v>
      </c>
      <c r="B332" s="2" t="s">
        <v>415</v>
      </c>
      <c r="C332" s="6" t="s">
        <v>416</v>
      </c>
      <c r="D332" s="1">
        <v>45023</v>
      </c>
      <c r="E332" s="4">
        <v>275.52999999999997</v>
      </c>
      <c r="F332" s="3">
        <v>4</v>
      </c>
      <c r="G332" s="6" t="s">
        <v>12</v>
      </c>
    </row>
    <row r="333" spans="1:7" x14ac:dyDescent="0.3">
      <c r="A333" s="2" t="s">
        <v>422</v>
      </c>
      <c r="B333" s="2" t="s">
        <v>415</v>
      </c>
      <c r="C333" s="6" t="s">
        <v>416</v>
      </c>
      <c r="D333" s="1">
        <v>45092</v>
      </c>
      <c r="E333" s="4">
        <v>332.8</v>
      </c>
      <c r="F333" s="3">
        <v>4</v>
      </c>
      <c r="G333" s="6" t="s">
        <v>18</v>
      </c>
    </row>
    <row r="334" spans="1:7" x14ac:dyDescent="0.3">
      <c r="A334" s="2" t="s">
        <v>423</v>
      </c>
      <c r="B334" s="2" t="s">
        <v>415</v>
      </c>
      <c r="C334" s="6" t="s">
        <v>416</v>
      </c>
      <c r="D334" s="1">
        <v>45211</v>
      </c>
      <c r="E334" s="4">
        <v>132.34</v>
      </c>
      <c r="F334" s="3">
        <v>4</v>
      </c>
      <c r="G334" s="6" t="s">
        <v>38</v>
      </c>
    </row>
    <row r="335" spans="1:7" x14ac:dyDescent="0.3">
      <c r="A335" s="2" t="s">
        <v>424</v>
      </c>
      <c r="B335" s="2" t="s">
        <v>415</v>
      </c>
      <c r="C335" s="6" t="s">
        <v>416</v>
      </c>
      <c r="D335" s="1">
        <v>45582</v>
      </c>
      <c r="E335" s="4">
        <v>493.96</v>
      </c>
      <c r="F335" s="3">
        <v>2</v>
      </c>
      <c r="G335" s="6" t="s">
        <v>10</v>
      </c>
    </row>
    <row r="336" spans="1:7" x14ac:dyDescent="0.3">
      <c r="A336" s="2" t="s">
        <v>425</v>
      </c>
      <c r="B336" s="2" t="s">
        <v>415</v>
      </c>
      <c r="C336" s="6" t="s">
        <v>416</v>
      </c>
      <c r="D336" s="1">
        <v>45058</v>
      </c>
      <c r="E336" s="4">
        <v>31.64</v>
      </c>
      <c r="F336" s="3">
        <v>3</v>
      </c>
      <c r="G336" s="6" t="s">
        <v>38</v>
      </c>
    </row>
    <row r="337" spans="1:7" x14ac:dyDescent="0.3">
      <c r="A337" s="2" t="s">
        <v>426</v>
      </c>
      <c r="B337" s="2" t="s">
        <v>415</v>
      </c>
      <c r="C337" s="6" t="s">
        <v>416</v>
      </c>
      <c r="D337" s="1">
        <v>45097</v>
      </c>
      <c r="E337" s="4">
        <v>458.59</v>
      </c>
      <c r="F337" s="3">
        <v>3</v>
      </c>
      <c r="G337" s="6" t="s">
        <v>18</v>
      </c>
    </row>
    <row r="338" spans="1:7" x14ac:dyDescent="0.3">
      <c r="A338" s="2" t="s">
        <v>427</v>
      </c>
      <c r="B338" s="2" t="s">
        <v>428</v>
      </c>
      <c r="C338" s="6" t="s">
        <v>429</v>
      </c>
      <c r="D338" s="1">
        <v>45245</v>
      </c>
      <c r="E338" s="4">
        <v>104.37</v>
      </c>
      <c r="F338" s="3">
        <v>3</v>
      </c>
      <c r="G338" s="6" t="s">
        <v>26</v>
      </c>
    </row>
    <row r="339" spans="1:7" x14ac:dyDescent="0.3">
      <c r="A339" s="2" t="s">
        <v>430</v>
      </c>
      <c r="B339" s="2" t="s">
        <v>428</v>
      </c>
      <c r="C339" s="6" t="s">
        <v>429</v>
      </c>
      <c r="D339" s="1">
        <v>45585</v>
      </c>
      <c r="E339" s="4">
        <v>242.36</v>
      </c>
      <c r="F339" s="3">
        <v>4</v>
      </c>
      <c r="G339" s="6" t="s">
        <v>18</v>
      </c>
    </row>
    <row r="340" spans="1:7" x14ac:dyDescent="0.3">
      <c r="A340" s="2" t="s">
        <v>431</v>
      </c>
      <c r="B340" s="2" t="s">
        <v>428</v>
      </c>
      <c r="C340" s="6" t="s">
        <v>429</v>
      </c>
      <c r="D340" s="1">
        <v>45510</v>
      </c>
      <c r="E340" s="4">
        <v>265.99</v>
      </c>
      <c r="F340" s="3">
        <v>2</v>
      </c>
      <c r="G340" s="6" t="s">
        <v>38</v>
      </c>
    </row>
    <row r="341" spans="1:7" x14ac:dyDescent="0.3">
      <c r="A341" s="2" t="s">
        <v>432</v>
      </c>
      <c r="B341" s="2" t="s">
        <v>428</v>
      </c>
      <c r="C341" s="6" t="s">
        <v>429</v>
      </c>
      <c r="D341" s="1">
        <v>45267</v>
      </c>
      <c r="E341" s="4">
        <v>188.7</v>
      </c>
      <c r="F341" s="3">
        <v>4</v>
      </c>
      <c r="G341" s="6" t="s">
        <v>15</v>
      </c>
    </row>
    <row r="342" spans="1:7" x14ac:dyDescent="0.3">
      <c r="A342" s="2" t="s">
        <v>433</v>
      </c>
      <c r="B342" s="2" t="s">
        <v>428</v>
      </c>
      <c r="C342" s="6" t="s">
        <v>429</v>
      </c>
      <c r="D342" s="1">
        <v>45206</v>
      </c>
      <c r="E342" s="4">
        <v>443.65</v>
      </c>
      <c r="F342" s="3">
        <v>4</v>
      </c>
      <c r="G342" s="6" t="s">
        <v>12</v>
      </c>
    </row>
    <row r="343" spans="1:7" x14ac:dyDescent="0.3">
      <c r="A343" s="2" t="s">
        <v>434</v>
      </c>
      <c r="B343" s="2" t="s">
        <v>435</v>
      </c>
      <c r="C343" s="6" t="s">
        <v>436</v>
      </c>
      <c r="D343" s="1">
        <v>45552</v>
      </c>
      <c r="E343" s="4">
        <v>290.49</v>
      </c>
      <c r="F343" s="3">
        <v>4</v>
      </c>
      <c r="G343" s="6" t="s">
        <v>38</v>
      </c>
    </row>
    <row r="344" spans="1:7" x14ac:dyDescent="0.3">
      <c r="A344" s="2" t="s">
        <v>437</v>
      </c>
      <c r="B344" s="2" t="s">
        <v>435</v>
      </c>
      <c r="C344" s="6" t="s">
        <v>436</v>
      </c>
      <c r="D344" s="1">
        <v>45537</v>
      </c>
      <c r="E344" s="4">
        <v>334.21</v>
      </c>
      <c r="F344" s="3">
        <v>2</v>
      </c>
      <c r="G344" s="6" t="s">
        <v>10</v>
      </c>
    </row>
    <row r="345" spans="1:7" x14ac:dyDescent="0.3">
      <c r="A345" s="2" t="s">
        <v>438</v>
      </c>
      <c r="B345" s="2" t="s">
        <v>435</v>
      </c>
      <c r="C345" s="6" t="s">
        <v>436</v>
      </c>
      <c r="D345" s="1">
        <v>45605</v>
      </c>
      <c r="E345" s="4">
        <v>444.13</v>
      </c>
      <c r="F345" s="3">
        <v>4</v>
      </c>
      <c r="G345" s="6" t="s">
        <v>26</v>
      </c>
    </row>
    <row r="346" spans="1:7" x14ac:dyDescent="0.3">
      <c r="A346" s="2" t="s">
        <v>439</v>
      </c>
      <c r="B346" s="2" t="s">
        <v>435</v>
      </c>
      <c r="C346" s="6" t="s">
        <v>436</v>
      </c>
      <c r="D346" s="1">
        <v>45570</v>
      </c>
      <c r="E346" s="4">
        <v>214.58</v>
      </c>
      <c r="F346" s="3">
        <v>2</v>
      </c>
      <c r="G346" s="6" t="s">
        <v>12</v>
      </c>
    </row>
    <row r="347" spans="1:7" x14ac:dyDescent="0.3">
      <c r="A347" s="2" t="s">
        <v>440</v>
      </c>
      <c r="B347" s="2" t="s">
        <v>435</v>
      </c>
      <c r="C347" s="6" t="s">
        <v>436</v>
      </c>
      <c r="D347" s="1">
        <v>45478</v>
      </c>
      <c r="E347" s="4">
        <v>20.420000000000002</v>
      </c>
      <c r="F347" s="3">
        <v>1</v>
      </c>
      <c r="G347" s="6" t="s">
        <v>10</v>
      </c>
    </row>
    <row r="348" spans="1:7" x14ac:dyDescent="0.3">
      <c r="A348" s="2" t="s">
        <v>441</v>
      </c>
      <c r="B348" s="2" t="s">
        <v>435</v>
      </c>
      <c r="C348" s="6" t="s">
        <v>436</v>
      </c>
      <c r="D348" s="1">
        <v>45462</v>
      </c>
      <c r="E348" s="4">
        <v>470.14</v>
      </c>
      <c r="F348" s="3">
        <v>3</v>
      </c>
      <c r="G348" s="6" t="s">
        <v>12</v>
      </c>
    </row>
    <row r="349" spans="1:7" x14ac:dyDescent="0.3">
      <c r="A349" s="2" t="s">
        <v>442</v>
      </c>
      <c r="B349" s="2" t="s">
        <v>435</v>
      </c>
      <c r="C349" s="6" t="s">
        <v>436</v>
      </c>
      <c r="D349" s="1">
        <v>45483</v>
      </c>
      <c r="E349" s="4">
        <v>14.65</v>
      </c>
      <c r="F349" s="3">
        <v>2</v>
      </c>
      <c r="G349" s="6" t="s">
        <v>10</v>
      </c>
    </row>
    <row r="350" spans="1:7" x14ac:dyDescent="0.3">
      <c r="A350" s="2" t="s">
        <v>443</v>
      </c>
      <c r="B350" s="2" t="s">
        <v>435</v>
      </c>
      <c r="C350" s="6" t="s">
        <v>436</v>
      </c>
      <c r="D350" s="1">
        <v>45506</v>
      </c>
      <c r="E350" s="4">
        <v>245.14</v>
      </c>
      <c r="F350" s="3">
        <v>4</v>
      </c>
      <c r="G350" s="6" t="s">
        <v>38</v>
      </c>
    </row>
    <row r="351" spans="1:7" x14ac:dyDescent="0.3">
      <c r="A351" s="2" t="s">
        <v>444</v>
      </c>
      <c r="B351" s="2" t="s">
        <v>435</v>
      </c>
      <c r="C351" s="6" t="s">
        <v>436</v>
      </c>
      <c r="D351" s="1">
        <v>45628</v>
      </c>
      <c r="E351" s="4">
        <v>143.13</v>
      </c>
      <c r="F351" s="3">
        <v>2</v>
      </c>
      <c r="G351" s="6" t="s">
        <v>38</v>
      </c>
    </row>
    <row r="352" spans="1:7" x14ac:dyDescent="0.3">
      <c r="A352" s="2" t="s">
        <v>445</v>
      </c>
      <c r="B352" s="2" t="s">
        <v>435</v>
      </c>
      <c r="C352" s="6" t="s">
        <v>436</v>
      </c>
      <c r="D352" s="1">
        <v>45602</v>
      </c>
      <c r="E352" s="4">
        <v>214.71</v>
      </c>
      <c r="F352" s="3">
        <v>1</v>
      </c>
      <c r="G352" s="6" t="s">
        <v>15</v>
      </c>
    </row>
    <row r="353" spans="1:7" x14ac:dyDescent="0.3">
      <c r="A353" s="2" t="s">
        <v>446</v>
      </c>
      <c r="B353" s="2" t="s">
        <v>447</v>
      </c>
      <c r="C353" s="6" t="s">
        <v>448</v>
      </c>
      <c r="D353" s="1">
        <v>44941</v>
      </c>
      <c r="E353" s="4">
        <v>238.98</v>
      </c>
      <c r="F353" s="3">
        <v>2</v>
      </c>
      <c r="G353" s="6" t="s">
        <v>18</v>
      </c>
    </row>
    <row r="354" spans="1:7" x14ac:dyDescent="0.3">
      <c r="A354" s="2" t="s">
        <v>449</v>
      </c>
      <c r="B354" s="2" t="s">
        <v>450</v>
      </c>
      <c r="C354" s="6" t="s">
        <v>451</v>
      </c>
      <c r="D354" s="1">
        <v>45518</v>
      </c>
      <c r="E354" s="4">
        <v>30.63</v>
      </c>
      <c r="F354" s="3">
        <v>1</v>
      </c>
      <c r="G354" s="6" t="s">
        <v>38</v>
      </c>
    </row>
    <row r="355" spans="1:7" x14ac:dyDescent="0.3">
      <c r="A355" s="2" t="s">
        <v>452</v>
      </c>
      <c r="B355" s="2" t="s">
        <v>450</v>
      </c>
      <c r="C355" s="6" t="s">
        <v>451</v>
      </c>
      <c r="D355" s="1">
        <v>45554</v>
      </c>
      <c r="E355" s="4">
        <v>63.64</v>
      </c>
      <c r="F355" s="3">
        <v>4</v>
      </c>
      <c r="G355" s="6" t="s">
        <v>38</v>
      </c>
    </row>
    <row r="356" spans="1:7" x14ac:dyDescent="0.3">
      <c r="A356" s="2" t="s">
        <v>453</v>
      </c>
      <c r="B356" s="2" t="s">
        <v>450</v>
      </c>
      <c r="C356" s="6" t="s">
        <v>451</v>
      </c>
      <c r="D356" s="1">
        <v>45621</v>
      </c>
      <c r="E356" s="4">
        <v>478.64</v>
      </c>
      <c r="F356" s="3">
        <v>1</v>
      </c>
      <c r="G356" s="6" t="s">
        <v>10</v>
      </c>
    </row>
    <row r="357" spans="1:7" x14ac:dyDescent="0.3">
      <c r="A357" s="2" t="s">
        <v>454</v>
      </c>
      <c r="B357" s="2" t="s">
        <v>450</v>
      </c>
      <c r="C357" s="6" t="s">
        <v>451</v>
      </c>
      <c r="D357" s="1">
        <v>45652</v>
      </c>
      <c r="E357" s="4">
        <v>298.39</v>
      </c>
      <c r="F357" s="3">
        <v>4</v>
      </c>
      <c r="G357" s="6" t="s">
        <v>18</v>
      </c>
    </row>
    <row r="358" spans="1:7" x14ac:dyDescent="0.3">
      <c r="A358" s="2" t="s">
        <v>455</v>
      </c>
      <c r="B358" s="2" t="s">
        <v>456</v>
      </c>
      <c r="C358" s="6" t="s">
        <v>457</v>
      </c>
      <c r="D358" s="1">
        <v>45642</v>
      </c>
      <c r="E358" s="4">
        <v>494.7</v>
      </c>
      <c r="F358" s="3">
        <v>4</v>
      </c>
      <c r="G358" s="6" t="s">
        <v>15</v>
      </c>
    </row>
    <row r="359" spans="1:7" x14ac:dyDescent="0.3">
      <c r="A359" s="2" t="s">
        <v>458</v>
      </c>
      <c r="B359" s="2" t="s">
        <v>456</v>
      </c>
      <c r="C359" s="6" t="s">
        <v>457</v>
      </c>
      <c r="D359" s="1">
        <v>45624</v>
      </c>
      <c r="E359" s="4">
        <v>206.77</v>
      </c>
      <c r="F359" s="3">
        <v>3</v>
      </c>
      <c r="G359" s="6" t="s">
        <v>10</v>
      </c>
    </row>
    <row r="360" spans="1:7" x14ac:dyDescent="0.3">
      <c r="A360" s="2" t="s">
        <v>459</v>
      </c>
      <c r="B360" s="2" t="s">
        <v>456</v>
      </c>
      <c r="C360" s="6" t="s">
        <v>457</v>
      </c>
      <c r="D360" s="1">
        <v>45619</v>
      </c>
      <c r="E360" s="4">
        <v>307.79000000000002</v>
      </c>
      <c r="F360" s="3">
        <v>2</v>
      </c>
      <c r="G360" s="6" t="s">
        <v>10</v>
      </c>
    </row>
    <row r="361" spans="1:7" x14ac:dyDescent="0.3">
      <c r="A361" s="2" t="s">
        <v>460</v>
      </c>
      <c r="B361" s="2" t="s">
        <v>456</v>
      </c>
      <c r="C361" s="6" t="s">
        <v>457</v>
      </c>
      <c r="D361" s="1">
        <v>45639</v>
      </c>
      <c r="E361" s="4">
        <v>33</v>
      </c>
      <c r="F361" s="3">
        <v>2</v>
      </c>
      <c r="G361" s="6" t="s">
        <v>38</v>
      </c>
    </row>
    <row r="362" spans="1:7" x14ac:dyDescent="0.3">
      <c r="A362" s="2" t="s">
        <v>461</v>
      </c>
      <c r="B362" s="2" t="s">
        <v>456</v>
      </c>
      <c r="C362" s="6" t="s">
        <v>457</v>
      </c>
      <c r="D362" s="1">
        <v>45606</v>
      </c>
      <c r="E362" s="4">
        <v>101.35</v>
      </c>
      <c r="F362" s="3">
        <v>4</v>
      </c>
      <c r="G362" s="6" t="s">
        <v>12</v>
      </c>
    </row>
    <row r="363" spans="1:7" x14ac:dyDescent="0.3">
      <c r="A363" s="2" t="s">
        <v>462</v>
      </c>
      <c r="B363" s="2" t="s">
        <v>456</v>
      </c>
      <c r="C363" s="6" t="s">
        <v>457</v>
      </c>
      <c r="D363" s="1">
        <v>45571</v>
      </c>
      <c r="E363" s="4">
        <v>402.38</v>
      </c>
      <c r="F363" s="3">
        <v>3</v>
      </c>
      <c r="G363" s="6" t="s">
        <v>18</v>
      </c>
    </row>
    <row r="364" spans="1:7" x14ac:dyDescent="0.3">
      <c r="A364" s="2" t="s">
        <v>463</v>
      </c>
      <c r="B364" s="2" t="s">
        <v>456</v>
      </c>
      <c r="C364" s="6" t="s">
        <v>457</v>
      </c>
      <c r="D364" s="1">
        <v>45652</v>
      </c>
      <c r="E364" s="4">
        <v>443.06</v>
      </c>
      <c r="F364" s="3">
        <v>4</v>
      </c>
      <c r="G364" s="6" t="s">
        <v>12</v>
      </c>
    </row>
    <row r="365" spans="1:7" x14ac:dyDescent="0.3">
      <c r="A365" s="2" t="s">
        <v>464</v>
      </c>
      <c r="B365" s="2" t="s">
        <v>456</v>
      </c>
      <c r="C365" s="6" t="s">
        <v>457</v>
      </c>
      <c r="D365" s="1">
        <v>45626</v>
      </c>
      <c r="E365" s="4">
        <v>137.51</v>
      </c>
      <c r="F365" s="3">
        <v>2</v>
      </c>
      <c r="G365" s="6" t="s">
        <v>12</v>
      </c>
    </row>
    <row r="366" spans="1:7" x14ac:dyDescent="0.3">
      <c r="A366" s="2" t="s">
        <v>465</v>
      </c>
      <c r="B366" s="2" t="s">
        <v>456</v>
      </c>
      <c r="C366" s="6" t="s">
        <v>457</v>
      </c>
      <c r="D366" s="1">
        <v>45647</v>
      </c>
      <c r="E366" s="4">
        <v>351.05</v>
      </c>
      <c r="F366" s="3">
        <v>4</v>
      </c>
      <c r="G366" s="6" t="s">
        <v>12</v>
      </c>
    </row>
    <row r="367" spans="1:7" x14ac:dyDescent="0.3">
      <c r="A367" s="2" t="s">
        <v>466</v>
      </c>
      <c r="B367" s="2" t="s">
        <v>456</v>
      </c>
      <c r="C367" s="6" t="s">
        <v>457</v>
      </c>
      <c r="D367" s="1">
        <v>45578</v>
      </c>
      <c r="E367" s="4">
        <v>119.67</v>
      </c>
      <c r="F367" s="3">
        <v>1</v>
      </c>
      <c r="G367" s="6" t="s">
        <v>38</v>
      </c>
    </row>
    <row r="368" spans="1:7" x14ac:dyDescent="0.3">
      <c r="A368" s="2" t="s">
        <v>467</v>
      </c>
      <c r="B368" s="2" t="s">
        <v>456</v>
      </c>
      <c r="C368" s="6" t="s">
        <v>457</v>
      </c>
      <c r="D368" s="1">
        <v>45633</v>
      </c>
      <c r="E368" s="4">
        <v>294.24</v>
      </c>
      <c r="F368" s="3">
        <v>3</v>
      </c>
      <c r="G368" s="6" t="s">
        <v>26</v>
      </c>
    </row>
    <row r="369" spans="1:7" x14ac:dyDescent="0.3">
      <c r="A369" s="2" t="s">
        <v>468</v>
      </c>
      <c r="B369" s="2" t="s">
        <v>469</v>
      </c>
      <c r="C369" s="6" t="s">
        <v>470</v>
      </c>
      <c r="D369" s="1">
        <v>45427</v>
      </c>
      <c r="E369" s="4">
        <v>73.459999999999994</v>
      </c>
      <c r="F369" s="3">
        <v>3</v>
      </c>
      <c r="G369" s="6" t="s">
        <v>38</v>
      </c>
    </row>
    <row r="370" spans="1:7" x14ac:dyDescent="0.3">
      <c r="A370" s="2" t="s">
        <v>471</v>
      </c>
      <c r="B370" s="2" t="s">
        <v>469</v>
      </c>
      <c r="C370" s="6" t="s">
        <v>470</v>
      </c>
      <c r="D370" s="1">
        <v>45530</v>
      </c>
      <c r="E370" s="4">
        <v>432.44</v>
      </c>
      <c r="F370" s="3">
        <v>3</v>
      </c>
      <c r="G370" s="6" t="s">
        <v>38</v>
      </c>
    </row>
    <row r="371" spans="1:7" x14ac:dyDescent="0.3">
      <c r="A371" s="2" t="s">
        <v>472</v>
      </c>
      <c r="B371" s="2" t="s">
        <v>469</v>
      </c>
      <c r="C371" s="6" t="s">
        <v>470</v>
      </c>
      <c r="D371" s="1">
        <v>45344</v>
      </c>
      <c r="E371" s="4">
        <v>466.48</v>
      </c>
      <c r="F371" s="3">
        <v>3</v>
      </c>
      <c r="G371" s="6" t="s">
        <v>12</v>
      </c>
    </row>
    <row r="372" spans="1:7" x14ac:dyDescent="0.3">
      <c r="A372" s="2" t="s">
        <v>473</v>
      </c>
      <c r="B372" s="2" t="s">
        <v>469</v>
      </c>
      <c r="C372" s="6" t="s">
        <v>470</v>
      </c>
      <c r="D372" s="1">
        <v>45530</v>
      </c>
      <c r="E372" s="4">
        <v>210.14</v>
      </c>
      <c r="F372" s="3">
        <v>4</v>
      </c>
      <c r="G372" s="6" t="s">
        <v>18</v>
      </c>
    </row>
    <row r="373" spans="1:7" x14ac:dyDescent="0.3">
      <c r="A373" s="2" t="s">
        <v>474</v>
      </c>
      <c r="B373" s="2" t="s">
        <v>469</v>
      </c>
      <c r="C373" s="6" t="s">
        <v>470</v>
      </c>
      <c r="D373" s="1">
        <v>45555</v>
      </c>
      <c r="E373" s="4">
        <v>364.48</v>
      </c>
      <c r="F373" s="3">
        <v>2</v>
      </c>
      <c r="G373" s="6" t="s">
        <v>26</v>
      </c>
    </row>
    <row r="374" spans="1:7" x14ac:dyDescent="0.3">
      <c r="A374" s="2" t="s">
        <v>475</v>
      </c>
      <c r="B374" s="2" t="s">
        <v>469</v>
      </c>
      <c r="C374" s="6" t="s">
        <v>470</v>
      </c>
      <c r="D374" s="1">
        <v>45341</v>
      </c>
      <c r="E374" s="4">
        <v>117.89</v>
      </c>
      <c r="F374" s="3">
        <v>4</v>
      </c>
      <c r="G374" s="6" t="s">
        <v>10</v>
      </c>
    </row>
    <row r="375" spans="1:7" x14ac:dyDescent="0.3">
      <c r="A375" s="2" t="s">
        <v>476</v>
      </c>
      <c r="B375" s="2" t="s">
        <v>469</v>
      </c>
      <c r="C375" s="6" t="s">
        <v>470</v>
      </c>
      <c r="D375" s="1">
        <v>45385</v>
      </c>
      <c r="E375" s="4">
        <v>40.14</v>
      </c>
      <c r="F375" s="3">
        <v>4</v>
      </c>
      <c r="G375" s="6" t="s">
        <v>10</v>
      </c>
    </row>
    <row r="376" spans="1:7" x14ac:dyDescent="0.3">
      <c r="A376" s="2" t="s">
        <v>477</v>
      </c>
      <c r="B376" s="2" t="s">
        <v>469</v>
      </c>
      <c r="C376" s="6" t="s">
        <v>470</v>
      </c>
      <c r="D376" s="1">
        <v>45622</v>
      </c>
      <c r="E376" s="4">
        <v>300.27999999999997</v>
      </c>
      <c r="F376" s="3">
        <v>3</v>
      </c>
      <c r="G376" s="6" t="s">
        <v>26</v>
      </c>
    </row>
    <row r="377" spans="1:7" x14ac:dyDescent="0.3">
      <c r="A377" s="2" t="s">
        <v>478</v>
      </c>
      <c r="B377" s="2" t="s">
        <v>469</v>
      </c>
      <c r="C377" s="6" t="s">
        <v>470</v>
      </c>
      <c r="D377" s="1">
        <v>45360</v>
      </c>
      <c r="E377" s="4">
        <v>334.43</v>
      </c>
      <c r="F377" s="3">
        <v>1</v>
      </c>
      <c r="G377" s="6" t="s">
        <v>12</v>
      </c>
    </row>
    <row r="378" spans="1:7" x14ac:dyDescent="0.3">
      <c r="A378" s="2" t="s">
        <v>479</v>
      </c>
      <c r="B378" s="2" t="s">
        <v>480</v>
      </c>
      <c r="C378" s="6" t="s">
        <v>481</v>
      </c>
      <c r="D378" s="1">
        <v>45600</v>
      </c>
      <c r="E378" s="4">
        <v>265.42</v>
      </c>
      <c r="F378" s="3">
        <v>1</v>
      </c>
      <c r="G378" s="6" t="s">
        <v>15</v>
      </c>
    </row>
    <row r="379" spans="1:7" x14ac:dyDescent="0.3">
      <c r="A379" s="2" t="s">
        <v>482</v>
      </c>
      <c r="B379" s="2" t="s">
        <v>480</v>
      </c>
      <c r="C379" s="6" t="s">
        <v>481</v>
      </c>
      <c r="D379" s="1">
        <v>45397</v>
      </c>
      <c r="E379" s="4">
        <v>434.97</v>
      </c>
      <c r="F379" s="3">
        <v>1</v>
      </c>
      <c r="G379" s="6" t="s">
        <v>38</v>
      </c>
    </row>
    <row r="380" spans="1:7" x14ac:dyDescent="0.3">
      <c r="A380" s="2" t="s">
        <v>483</v>
      </c>
      <c r="B380" s="2" t="s">
        <v>480</v>
      </c>
      <c r="C380" s="6" t="s">
        <v>481</v>
      </c>
      <c r="D380" s="1">
        <v>45383</v>
      </c>
      <c r="E380" s="4">
        <v>351.76</v>
      </c>
      <c r="F380" s="3">
        <v>4</v>
      </c>
      <c r="G380" s="6" t="s">
        <v>26</v>
      </c>
    </row>
    <row r="381" spans="1:7" x14ac:dyDescent="0.3">
      <c r="A381" s="2" t="s">
        <v>484</v>
      </c>
      <c r="B381" s="2" t="s">
        <v>480</v>
      </c>
      <c r="C381" s="6" t="s">
        <v>481</v>
      </c>
      <c r="D381" s="1">
        <v>45529</v>
      </c>
      <c r="E381" s="4">
        <v>352.51</v>
      </c>
      <c r="F381" s="3">
        <v>3</v>
      </c>
      <c r="G381" s="6" t="s">
        <v>15</v>
      </c>
    </row>
    <row r="382" spans="1:7" x14ac:dyDescent="0.3">
      <c r="A382" s="2" t="s">
        <v>485</v>
      </c>
      <c r="B382" s="2" t="s">
        <v>480</v>
      </c>
      <c r="C382" s="6" t="s">
        <v>481</v>
      </c>
      <c r="D382" s="1">
        <v>45471</v>
      </c>
      <c r="E382" s="4">
        <v>441.63</v>
      </c>
      <c r="F382" s="3">
        <v>1</v>
      </c>
      <c r="G382" s="6" t="s">
        <v>26</v>
      </c>
    </row>
    <row r="383" spans="1:7" x14ac:dyDescent="0.3">
      <c r="A383" s="2" t="s">
        <v>486</v>
      </c>
      <c r="B383" s="2" t="s">
        <v>480</v>
      </c>
      <c r="C383" s="6" t="s">
        <v>481</v>
      </c>
      <c r="D383" s="1">
        <v>45369</v>
      </c>
      <c r="E383" s="4">
        <v>414.65</v>
      </c>
      <c r="F383" s="3">
        <v>4</v>
      </c>
      <c r="G383" s="6" t="s">
        <v>26</v>
      </c>
    </row>
    <row r="384" spans="1:7" x14ac:dyDescent="0.3">
      <c r="A384" s="2" t="s">
        <v>487</v>
      </c>
      <c r="B384" s="2" t="s">
        <v>480</v>
      </c>
      <c r="C384" s="6" t="s">
        <v>481</v>
      </c>
      <c r="D384" s="1">
        <v>45496</v>
      </c>
      <c r="E384" s="4">
        <v>455.26</v>
      </c>
      <c r="F384" s="3">
        <v>4</v>
      </c>
      <c r="G384" s="6" t="s">
        <v>26</v>
      </c>
    </row>
    <row r="385" spans="1:7" x14ac:dyDescent="0.3">
      <c r="A385" s="2" t="s">
        <v>488</v>
      </c>
      <c r="B385" s="2" t="s">
        <v>480</v>
      </c>
      <c r="C385" s="6" t="s">
        <v>481</v>
      </c>
      <c r="D385" s="1">
        <v>45596</v>
      </c>
      <c r="E385" s="4">
        <v>417.75</v>
      </c>
      <c r="F385" s="3">
        <v>4</v>
      </c>
      <c r="G385" s="6" t="s">
        <v>10</v>
      </c>
    </row>
    <row r="386" spans="1:7" x14ac:dyDescent="0.3">
      <c r="A386" s="2" t="s">
        <v>489</v>
      </c>
      <c r="B386" s="2" t="s">
        <v>480</v>
      </c>
      <c r="C386" s="6" t="s">
        <v>481</v>
      </c>
      <c r="D386" s="1">
        <v>45633</v>
      </c>
      <c r="E386" s="4">
        <v>104.64</v>
      </c>
      <c r="F386" s="3">
        <v>2</v>
      </c>
      <c r="G386" s="6" t="s">
        <v>10</v>
      </c>
    </row>
    <row r="387" spans="1:7" x14ac:dyDescent="0.3">
      <c r="A387" s="2" t="s">
        <v>490</v>
      </c>
      <c r="B387" s="2" t="s">
        <v>480</v>
      </c>
      <c r="C387" s="6" t="s">
        <v>481</v>
      </c>
      <c r="D387" s="1">
        <v>45493</v>
      </c>
      <c r="E387" s="4">
        <v>490.78</v>
      </c>
      <c r="F387" s="3">
        <v>4</v>
      </c>
      <c r="G387" s="6" t="s">
        <v>38</v>
      </c>
    </row>
    <row r="388" spans="1:7" x14ac:dyDescent="0.3">
      <c r="A388" s="2" t="s">
        <v>491</v>
      </c>
      <c r="B388" s="2" t="s">
        <v>480</v>
      </c>
      <c r="C388" s="6" t="s">
        <v>481</v>
      </c>
      <c r="D388" s="1">
        <v>45561</v>
      </c>
      <c r="E388" s="4">
        <v>194.58</v>
      </c>
      <c r="F388" s="3">
        <v>3</v>
      </c>
      <c r="G388" s="6" t="s">
        <v>10</v>
      </c>
    </row>
    <row r="389" spans="1:7" x14ac:dyDescent="0.3">
      <c r="A389" s="2" t="s">
        <v>492</v>
      </c>
      <c r="B389" s="2" t="s">
        <v>480</v>
      </c>
      <c r="C389" s="6" t="s">
        <v>481</v>
      </c>
      <c r="D389" s="1">
        <v>45412</v>
      </c>
      <c r="E389" s="4">
        <v>221.8</v>
      </c>
      <c r="F389" s="3">
        <v>3</v>
      </c>
      <c r="G389" s="6" t="s">
        <v>26</v>
      </c>
    </row>
    <row r="390" spans="1:7" x14ac:dyDescent="0.3">
      <c r="A390" s="2" t="s">
        <v>493</v>
      </c>
      <c r="B390" s="2" t="s">
        <v>480</v>
      </c>
      <c r="C390" s="6" t="s">
        <v>481</v>
      </c>
      <c r="D390" s="1">
        <v>45398</v>
      </c>
      <c r="E390" s="4">
        <v>97.95</v>
      </c>
      <c r="F390" s="3">
        <v>1</v>
      </c>
      <c r="G390" s="6" t="s">
        <v>10</v>
      </c>
    </row>
    <row r="391" spans="1:7" x14ac:dyDescent="0.3">
      <c r="A391" s="2" t="s">
        <v>494</v>
      </c>
      <c r="B391" s="2" t="s">
        <v>495</v>
      </c>
      <c r="C391" s="6" t="s">
        <v>496</v>
      </c>
      <c r="D391" s="1">
        <v>45579</v>
      </c>
      <c r="E391" s="4">
        <v>347.06</v>
      </c>
      <c r="F391" s="3">
        <v>4</v>
      </c>
      <c r="G391" s="6" t="s">
        <v>26</v>
      </c>
    </row>
    <row r="392" spans="1:7" x14ac:dyDescent="0.3">
      <c r="A392" s="2" t="s">
        <v>497</v>
      </c>
      <c r="B392" s="2" t="s">
        <v>495</v>
      </c>
      <c r="C392" s="6" t="s">
        <v>496</v>
      </c>
      <c r="D392" s="1">
        <v>45650</v>
      </c>
      <c r="E392" s="4">
        <v>91.53</v>
      </c>
      <c r="F392" s="3">
        <v>2</v>
      </c>
      <c r="G392" s="6" t="s">
        <v>15</v>
      </c>
    </row>
    <row r="393" spans="1:7" x14ac:dyDescent="0.3">
      <c r="A393" s="2" t="s">
        <v>498</v>
      </c>
      <c r="B393" s="2" t="s">
        <v>495</v>
      </c>
      <c r="C393" s="6" t="s">
        <v>496</v>
      </c>
      <c r="D393" s="1">
        <v>45576</v>
      </c>
      <c r="E393" s="4">
        <v>295.26</v>
      </c>
      <c r="F393" s="3">
        <v>2</v>
      </c>
      <c r="G393" s="6" t="s">
        <v>38</v>
      </c>
    </row>
    <row r="394" spans="1:7" x14ac:dyDescent="0.3">
      <c r="A394" s="2" t="s">
        <v>499</v>
      </c>
      <c r="B394" s="2" t="s">
        <v>495</v>
      </c>
      <c r="C394" s="6" t="s">
        <v>496</v>
      </c>
      <c r="D394" s="1">
        <v>45649</v>
      </c>
      <c r="E394" s="4">
        <v>46.6</v>
      </c>
      <c r="F394" s="3">
        <v>2</v>
      </c>
      <c r="G394" s="6" t="s">
        <v>26</v>
      </c>
    </row>
    <row r="395" spans="1:7" x14ac:dyDescent="0.3">
      <c r="A395" s="2" t="s">
        <v>500</v>
      </c>
      <c r="B395" s="2" t="s">
        <v>495</v>
      </c>
      <c r="C395" s="6" t="s">
        <v>496</v>
      </c>
      <c r="D395" s="1">
        <v>45445</v>
      </c>
      <c r="E395" s="4">
        <v>487.01</v>
      </c>
      <c r="F395" s="3">
        <v>4</v>
      </c>
      <c r="G395" s="6" t="s">
        <v>10</v>
      </c>
    </row>
    <row r="396" spans="1:7" x14ac:dyDescent="0.3">
      <c r="A396" s="2" t="s">
        <v>501</v>
      </c>
      <c r="B396" s="2" t="s">
        <v>495</v>
      </c>
      <c r="C396" s="6" t="s">
        <v>496</v>
      </c>
      <c r="D396" s="1">
        <v>45595</v>
      </c>
      <c r="E396" s="4">
        <v>327.31</v>
      </c>
      <c r="F396" s="3">
        <v>1</v>
      </c>
      <c r="G396" s="6" t="s">
        <v>15</v>
      </c>
    </row>
    <row r="397" spans="1:7" x14ac:dyDescent="0.3">
      <c r="A397" s="2" t="s">
        <v>502</v>
      </c>
      <c r="B397" s="2" t="s">
        <v>503</v>
      </c>
      <c r="C397" s="6" t="s">
        <v>504</v>
      </c>
      <c r="D397" s="1">
        <v>45649</v>
      </c>
      <c r="E397" s="4">
        <v>20.84</v>
      </c>
      <c r="F397" s="3">
        <v>3</v>
      </c>
      <c r="G397" s="6" t="s">
        <v>18</v>
      </c>
    </row>
    <row r="398" spans="1:7" x14ac:dyDescent="0.3">
      <c r="A398" s="2" t="s">
        <v>505</v>
      </c>
      <c r="B398" s="2" t="s">
        <v>503</v>
      </c>
      <c r="C398" s="6" t="s">
        <v>504</v>
      </c>
      <c r="D398" s="1">
        <v>45635</v>
      </c>
      <c r="E398" s="4">
        <v>411.2</v>
      </c>
      <c r="F398" s="3">
        <v>2</v>
      </c>
      <c r="G398" s="6" t="s">
        <v>12</v>
      </c>
    </row>
    <row r="399" spans="1:7" x14ac:dyDescent="0.3">
      <c r="A399" s="2" t="s">
        <v>506</v>
      </c>
      <c r="B399" s="2" t="s">
        <v>503</v>
      </c>
      <c r="C399" s="6" t="s">
        <v>504</v>
      </c>
      <c r="D399" s="1">
        <v>45643</v>
      </c>
      <c r="E399" s="4">
        <v>228.49</v>
      </c>
      <c r="F399" s="3">
        <v>2</v>
      </c>
      <c r="G399" s="6" t="s">
        <v>18</v>
      </c>
    </row>
    <row r="400" spans="1:7" x14ac:dyDescent="0.3">
      <c r="A400" s="2" t="s">
        <v>507</v>
      </c>
      <c r="B400" s="2" t="s">
        <v>503</v>
      </c>
      <c r="C400" s="6" t="s">
        <v>504</v>
      </c>
      <c r="D400" s="1">
        <v>45649</v>
      </c>
      <c r="E400" s="4">
        <v>472.71</v>
      </c>
      <c r="F400" s="3">
        <v>1</v>
      </c>
      <c r="G400" s="6" t="s">
        <v>12</v>
      </c>
    </row>
    <row r="401" spans="1:7" x14ac:dyDescent="0.3">
      <c r="A401" s="2" t="s">
        <v>508</v>
      </c>
      <c r="B401" s="2" t="s">
        <v>503</v>
      </c>
      <c r="C401" s="6" t="s">
        <v>504</v>
      </c>
      <c r="D401" s="1">
        <v>45635</v>
      </c>
      <c r="E401" s="4">
        <v>399.46</v>
      </c>
      <c r="F401" s="3">
        <v>3</v>
      </c>
      <c r="G401" s="6" t="s">
        <v>10</v>
      </c>
    </row>
    <row r="402" spans="1:7" x14ac:dyDescent="0.3">
      <c r="A402" s="2" t="s">
        <v>509</v>
      </c>
      <c r="B402" s="2" t="s">
        <v>503</v>
      </c>
      <c r="C402" s="6" t="s">
        <v>504</v>
      </c>
      <c r="D402" s="1">
        <v>45652</v>
      </c>
      <c r="E402" s="4">
        <v>50.37</v>
      </c>
      <c r="F402" s="3">
        <v>4</v>
      </c>
      <c r="G402" s="6" t="s">
        <v>18</v>
      </c>
    </row>
    <row r="403" spans="1:7" x14ac:dyDescent="0.3">
      <c r="A403" s="2" t="s">
        <v>510</v>
      </c>
      <c r="B403" s="2" t="s">
        <v>503</v>
      </c>
      <c r="C403" s="6" t="s">
        <v>504</v>
      </c>
      <c r="D403" s="1">
        <v>45642</v>
      </c>
      <c r="E403" s="4">
        <v>74.349999999999994</v>
      </c>
      <c r="F403" s="3">
        <v>1</v>
      </c>
      <c r="G403" s="6" t="s">
        <v>12</v>
      </c>
    </row>
    <row r="404" spans="1:7" x14ac:dyDescent="0.3">
      <c r="A404" s="2" t="s">
        <v>511</v>
      </c>
      <c r="B404" s="2" t="s">
        <v>503</v>
      </c>
      <c r="C404" s="6" t="s">
        <v>504</v>
      </c>
      <c r="D404" s="1">
        <v>45648</v>
      </c>
      <c r="E404" s="4">
        <v>368.32</v>
      </c>
      <c r="F404" s="3">
        <v>3</v>
      </c>
      <c r="G404" s="6" t="s">
        <v>10</v>
      </c>
    </row>
    <row r="405" spans="1:7" x14ac:dyDescent="0.3">
      <c r="A405" s="2" t="s">
        <v>512</v>
      </c>
      <c r="B405" s="2" t="s">
        <v>503</v>
      </c>
      <c r="C405" s="6" t="s">
        <v>504</v>
      </c>
      <c r="D405" s="1">
        <v>45640</v>
      </c>
      <c r="E405" s="4">
        <v>204.82</v>
      </c>
      <c r="F405" s="3">
        <v>1</v>
      </c>
      <c r="G405" s="6" t="s">
        <v>38</v>
      </c>
    </row>
    <row r="406" spans="1:7" x14ac:dyDescent="0.3">
      <c r="A406" s="2" t="s">
        <v>513</v>
      </c>
      <c r="B406" s="2" t="s">
        <v>503</v>
      </c>
      <c r="C406" s="6" t="s">
        <v>504</v>
      </c>
      <c r="D406" s="1">
        <v>45623</v>
      </c>
      <c r="E406" s="4">
        <v>162.86000000000001</v>
      </c>
      <c r="F406" s="3">
        <v>4</v>
      </c>
      <c r="G406" s="6" t="s">
        <v>26</v>
      </c>
    </row>
    <row r="407" spans="1:7" x14ac:dyDescent="0.3">
      <c r="A407" s="2" t="s">
        <v>514</v>
      </c>
      <c r="B407" s="2" t="s">
        <v>503</v>
      </c>
      <c r="C407" s="6" t="s">
        <v>504</v>
      </c>
      <c r="D407" s="1">
        <v>45635</v>
      </c>
      <c r="E407" s="4">
        <v>375.46</v>
      </c>
      <c r="F407" s="3">
        <v>4</v>
      </c>
      <c r="G407" s="6" t="s">
        <v>12</v>
      </c>
    </row>
    <row r="408" spans="1:7" x14ac:dyDescent="0.3">
      <c r="A408" s="2" t="s">
        <v>515</v>
      </c>
      <c r="B408" s="2" t="s">
        <v>503</v>
      </c>
      <c r="C408" s="6" t="s">
        <v>504</v>
      </c>
      <c r="D408" s="1">
        <v>45645</v>
      </c>
      <c r="E408" s="4">
        <v>360.31</v>
      </c>
      <c r="F408" s="3">
        <v>3</v>
      </c>
      <c r="G408" s="6" t="s">
        <v>26</v>
      </c>
    </row>
    <row r="409" spans="1:7" x14ac:dyDescent="0.3">
      <c r="A409" s="2" t="s">
        <v>516</v>
      </c>
      <c r="B409" s="2" t="s">
        <v>517</v>
      </c>
      <c r="C409" s="6" t="s">
        <v>518</v>
      </c>
      <c r="D409" s="1">
        <v>45446</v>
      </c>
      <c r="E409" s="4">
        <v>484.41</v>
      </c>
      <c r="F409" s="3">
        <v>1</v>
      </c>
      <c r="G409" s="6" t="s">
        <v>18</v>
      </c>
    </row>
    <row r="410" spans="1:7" x14ac:dyDescent="0.3">
      <c r="A410" s="2" t="s">
        <v>519</v>
      </c>
      <c r="B410" s="2" t="s">
        <v>517</v>
      </c>
      <c r="C410" s="6" t="s">
        <v>518</v>
      </c>
      <c r="D410" s="1">
        <v>45564</v>
      </c>
      <c r="E410" s="4">
        <v>54.67</v>
      </c>
      <c r="F410" s="3">
        <v>2</v>
      </c>
      <c r="G410" s="6" t="s">
        <v>12</v>
      </c>
    </row>
    <row r="411" spans="1:7" x14ac:dyDescent="0.3">
      <c r="A411" s="2" t="s">
        <v>520</v>
      </c>
      <c r="B411" s="2" t="s">
        <v>517</v>
      </c>
      <c r="C411" s="6" t="s">
        <v>518</v>
      </c>
      <c r="D411" s="1">
        <v>45469</v>
      </c>
      <c r="E411" s="4">
        <v>382.9</v>
      </c>
      <c r="F411" s="3">
        <v>1</v>
      </c>
      <c r="G411" s="6" t="s">
        <v>12</v>
      </c>
    </row>
    <row r="412" spans="1:7" x14ac:dyDescent="0.3">
      <c r="A412" s="2" t="s">
        <v>521</v>
      </c>
      <c r="B412" s="2" t="s">
        <v>517</v>
      </c>
      <c r="C412" s="6" t="s">
        <v>518</v>
      </c>
      <c r="D412" s="1">
        <v>45611</v>
      </c>
      <c r="E412" s="4">
        <v>154.13999999999999</v>
      </c>
      <c r="F412" s="3">
        <v>2</v>
      </c>
      <c r="G412" s="6" t="s">
        <v>15</v>
      </c>
    </row>
    <row r="413" spans="1:7" x14ac:dyDescent="0.3">
      <c r="A413" s="2" t="s">
        <v>522</v>
      </c>
      <c r="B413" s="2" t="s">
        <v>517</v>
      </c>
      <c r="C413" s="6" t="s">
        <v>518</v>
      </c>
      <c r="D413" s="1">
        <v>45550</v>
      </c>
      <c r="E413" s="4">
        <v>100.87</v>
      </c>
      <c r="F413" s="3">
        <v>2</v>
      </c>
      <c r="G413" s="6" t="s">
        <v>38</v>
      </c>
    </row>
    <row r="414" spans="1:7" x14ac:dyDescent="0.3">
      <c r="A414" s="2" t="s">
        <v>523</v>
      </c>
      <c r="B414" s="2" t="s">
        <v>517</v>
      </c>
      <c r="C414" s="6" t="s">
        <v>518</v>
      </c>
      <c r="D414" s="1">
        <v>45625</v>
      </c>
      <c r="E414" s="4">
        <v>303.18</v>
      </c>
      <c r="F414" s="3">
        <v>4</v>
      </c>
      <c r="G414" s="6" t="s">
        <v>18</v>
      </c>
    </row>
    <row r="415" spans="1:7" x14ac:dyDescent="0.3">
      <c r="A415" s="2" t="s">
        <v>524</v>
      </c>
      <c r="B415" s="2" t="s">
        <v>517</v>
      </c>
      <c r="C415" s="6" t="s">
        <v>518</v>
      </c>
      <c r="D415" s="1">
        <v>45503</v>
      </c>
      <c r="E415" s="4">
        <v>220.85</v>
      </c>
      <c r="F415" s="3">
        <v>4</v>
      </c>
      <c r="G415" s="6" t="s">
        <v>18</v>
      </c>
    </row>
    <row r="416" spans="1:7" x14ac:dyDescent="0.3">
      <c r="A416" s="2" t="s">
        <v>525</v>
      </c>
      <c r="B416" s="2" t="s">
        <v>517</v>
      </c>
      <c r="C416" s="6" t="s">
        <v>518</v>
      </c>
      <c r="D416" s="1">
        <v>45607</v>
      </c>
      <c r="E416" s="4">
        <v>41.46</v>
      </c>
      <c r="F416" s="3">
        <v>1</v>
      </c>
      <c r="G416" s="6" t="s">
        <v>18</v>
      </c>
    </row>
    <row r="417" spans="1:7" x14ac:dyDescent="0.3">
      <c r="A417" s="2" t="s">
        <v>526</v>
      </c>
      <c r="B417" s="2" t="s">
        <v>517</v>
      </c>
      <c r="C417" s="6" t="s">
        <v>518</v>
      </c>
      <c r="D417" s="1">
        <v>45536</v>
      </c>
      <c r="E417" s="4">
        <v>299.23</v>
      </c>
      <c r="F417" s="3">
        <v>4</v>
      </c>
      <c r="G417" s="6" t="s">
        <v>12</v>
      </c>
    </row>
    <row r="418" spans="1:7" x14ac:dyDescent="0.3">
      <c r="A418" s="2" t="s">
        <v>527</v>
      </c>
      <c r="B418" s="2" t="s">
        <v>517</v>
      </c>
      <c r="C418" s="6" t="s">
        <v>518</v>
      </c>
      <c r="D418" s="1">
        <v>45624</v>
      </c>
      <c r="E418" s="4">
        <v>83.29</v>
      </c>
      <c r="F418" s="3">
        <v>2</v>
      </c>
      <c r="G418" s="6" t="s">
        <v>10</v>
      </c>
    </row>
    <row r="419" spans="1:7" x14ac:dyDescent="0.3">
      <c r="A419" s="2" t="s">
        <v>528</v>
      </c>
      <c r="B419" s="2" t="s">
        <v>517</v>
      </c>
      <c r="C419" s="6" t="s">
        <v>518</v>
      </c>
      <c r="D419" s="1">
        <v>45641</v>
      </c>
      <c r="E419" s="4">
        <v>202.32</v>
      </c>
      <c r="F419" s="3">
        <v>3</v>
      </c>
      <c r="G419" s="6" t="s">
        <v>18</v>
      </c>
    </row>
    <row r="420" spans="1:7" x14ac:dyDescent="0.3">
      <c r="A420" s="2" t="s">
        <v>529</v>
      </c>
      <c r="B420" s="2" t="s">
        <v>517</v>
      </c>
      <c r="C420" s="6" t="s">
        <v>518</v>
      </c>
      <c r="D420" s="1">
        <v>45514</v>
      </c>
      <c r="E420" s="4">
        <v>363.72</v>
      </c>
      <c r="F420" s="3">
        <v>1</v>
      </c>
      <c r="G420" s="6" t="s">
        <v>12</v>
      </c>
    </row>
    <row r="421" spans="1:7" x14ac:dyDescent="0.3">
      <c r="A421" s="2" t="s">
        <v>530</v>
      </c>
      <c r="B421" s="2" t="s">
        <v>531</v>
      </c>
      <c r="C421" s="6" t="s">
        <v>532</v>
      </c>
      <c r="D421" s="1">
        <v>45536</v>
      </c>
      <c r="E421" s="4">
        <v>245.45</v>
      </c>
      <c r="F421" s="3">
        <v>1</v>
      </c>
      <c r="G421" s="6" t="s">
        <v>38</v>
      </c>
    </row>
    <row r="422" spans="1:7" x14ac:dyDescent="0.3">
      <c r="A422" s="2" t="s">
        <v>533</v>
      </c>
      <c r="B422" s="2" t="s">
        <v>531</v>
      </c>
      <c r="C422" s="6" t="s">
        <v>532</v>
      </c>
      <c r="D422" s="1">
        <v>45601</v>
      </c>
      <c r="E422" s="4">
        <v>493.46</v>
      </c>
      <c r="F422" s="3">
        <v>2</v>
      </c>
      <c r="G422" s="6" t="s">
        <v>18</v>
      </c>
    </row>
    <row r="423" spans="1:7" x14ac:dyDescent="0.3">
      <c r="A423" s="2" t="s">
        <v>534</v>
      </c>
      <c r="B423" s="2" t="s">
        <v>531</v>
      </c>
      <c r="C423" s="6" t="s">
        <v>532</v>
      </c>
      <c r="D423" s="1">
        <v>45617</v>
      </c>
      <c r="E423" s="4">
        <v>354.21</v>
      </c>
      <c r="F423" s="3">
        <v>4</v>
      </c>
      <c r="G423" s="6" t="s">
        <v>26</v>
      </c>
    </row>
    <row r="424" spans="1:7" x14ac:dyDescent="0.3">
      <c r="A424" s="2" t="s">
        <v>535</v>
      </c>
      <c r="B424" s="2" t="s">
        <v>531</v>
      </c>
      <c r="C424" s="6" t="s">
        <v>532</v>
      </c>
      <c r="D424" s="1">
        <v>45622</v>
      </c>
      <c r="E424" s="4">
        <v>263.68</v>
      </c>
      <c r="F424" s="3">
        <v>1</v>
      </c>
      <c r="G424" s="6" t="s">
        <v>38</v>
      </c>
    </row>
    <row r="425" spans="1:7" x14ac:dyDescent="0.3">
      <c r="A425" s="2" t="s">
        <v>536</v>
      </c>
      <c r="B425" s="2" t="s">
        <v>531</v>
      </c>
      <c r="C425" s="6" t="s">
        <v>532</v>
      </c>
      <c r="D425" s="1">
        <v>45602</v>
      </c>
      <c r="E425" s="4">
        <v>48.5</v>
      </c>
      <c r="F425" s="3">
        <v>3</v>
      </c>
      <c r="G425" s="6" t="s">
        <v>18</v>
      </c>
    </row>
    <row r="426" spans="1:7" x14ac:dyDescent="0.3">
      <c r="A426" s="2" t="s">
        <v>537</v>
      </c>
      <c r="B426" s="2" t="s">
        <v>531</v>
      </c>
      <c r="C426" s="6" t="s">
        <v>532</v>
      </c>
      <c r="D426" s="1">
        <v>45628</v>
      </c>
      <c r="E426" s="4">
        <v>108.42</v>
      </c>
      <c r="F426" s="3">
        <v>2</v>
      </c>
      <c r="G426" s="6" t="s">
        <v>26</v>
      </c>
    </row>
    <row r="427" spans="1:7" x14ac:dyDescent="0.3">
      <c r="A427" s="2" t="s">
        <v>538</v>
      </c>
      <c r="B427" s="2" t="s">
        <v>531</v>
      </c>
      <c r="C427" s="6" t="s">
        <v>532</v>
      </c>
      <c r="D427" s="1">
        <v>45631</v>
      </c>
      <c r="E427" s="4">
        <v>92.07</v>
      </c>
      <c r="F427" s="3">
        <v>4</v>
      </c>
      <c r="G427" s="6" t="s">
        <v>38</v>
      </c>
    </row>
    <row r="428" spans="1:7" x14ac:dyDescent="0.3">
      <c r="A428" s="2" t="s">
        <v>539</v>
      </c>
      <c r="B428" s="2" t="s">
        <v>531</v>
      </c>
      <c r="C428" s="6" t="s">
        <v>532</v>
      </c>
      <c r="D428" s="1">
        <v>45586</v>
      </c>
      <c r="E428" s="4">
        <v>356.17</v>
      </c>
      <c r="F428" s="3">
        <v>1</v>
      </c>
      <c r="G428" s="6" t="s">
        <v>18</v>
      </c>
    </row>
    <row r="429" spans="1:7" x14ac:dyDescent="0.3">
      <c r="A429" s="2" t="s">
        <v>540</v>
      </c>
      <c r="B429" s="2" t="s">
        <v>531</v>
      </c>
      <c r="C429" s="6" t="s">
        <v>532</v>
      </c>
      <c r="D429" s="1">
        <v>45531</v>
      </c>
      <c r="E429" s="4">
        <v>312.14</v>
      </c>
      <c r="F429" s="3">
        <v>2</v>
      </c>
      <c r="G429" s="6" t="s">
        <v>38</v>
      </c>
    </row>
    <row r="430" spans="1:7" x14ac:dyDescent="0.3">
      <c r="A430" s="2" t="s">
        <v>541</v>
      </c>
      <c r="B430" s="2" t="s">
        <v>542</v>
      </c>
      <c r="C430" s="6" t="s">
        <v>543</v>
      </c>
      <c r="D430" s="1">
        <v>45541</v>
      </c>
      <c r="E430" s="4">
        <v>316.39999999999998</v>
      </c>
      <c r="F430" s="3">
        <v>2</v>
      </c>
      <c r="G430" s="6" t="s">
        <v>15</v>
      </c>
    </row>
    <row r="431" spans="1:7" x14ac:dyDescent="0.3">
      <c r="A431" s="2" t="s">
        <v>544</v>
      </c>
      <c r="B431" s="2" t="s">
        <v>542</v>
      </c>
      <c r="C431" s="6" t="s">
        <v>543</v>
      </c>
      <c r="D431" s="1">
        <v>45474</v>
      </c>
      <c r="E431" s="4">
        <v>409.26</v>
      </c>
      <c r="F431" s="3">
        <v>4</v>
      </c>
      <c r="G431" s="6" t="s">
        <v>12</v>
      </c>
    </row>
    <row r="432" spans="1:7" x14ac:dyDescent="0.3">
      <c r="A432" s="2" t="s">
        <v>545</v>
      </c>
      <c r="B432" s="2" t="s">
        <v>542</v>
      </c>
      <c r="C432" s="6" t="s">
        <v>543</v>
      </c>
      <c r="D432" s="1">
        <v>45571</v>
      </c>
      <c r="E432" s="4">
        <v>278.32</v>
      </c>
      <c r="F432" s="3">
        <v>2</v>
      </c>
      <c r="G432" s="6" t="s">
        <v>26</v>
      </c>
    </row>
    <row r="433" spans="1:7" x14ac:dyDescent="0.3">
      <c r="A433" s="2" t="s">
        <v>546</v>
      </c>
      <c r="B433" s="2" t="s">
        <v>542</v>
      </c>
      <c r="C433" s="6" t="s">
        <v>543</v>
      </c>
      <c r="D433" s="1">
        <v>45366</v>
      </c>
      <c r="E433" s="4">
        <v>29.97</v>
      </c>
      <c r="F433" s="3">
        <v>2</v>
      </c>
      <c r="G433" s="6" t="s">
        <v>15</v>
      </c>
    </row>
    <row r="434" spans="1:7" x14ac:dyDescent="0.3">
      <c r="A434" s="2" t="s">
        <v>547</v>
      </c>
      <c r="B434" s="2" t="s">
        <v>542</v>
      </c>
      <c r="C434" s="6" t="s">
        <v>543</v>
      </c>
      <c r="D434" s="1">
        <v>45377</v>
      </c>
      <c r="E434" s="4">
        <v>50</v>
      </c>
      <c r="F434" s="3">
        <v>4</v>
      </c>
      <c r="G434" s="6" t="s">
        <v>18</v>
      </c>
    </row>
    <row r="435" spans="1:7" x14ac:dyDescent="0.3">
      <c r="A435" s="2" t="s">
        <v>548</v>
      </c>
      <c r="B435" s="2" t="s">
        <v>542</v>
      </c>
      <c r="C435" s="6" t="s">
        <v>543</v>
      </c>
      <c r="D435" s="1">
        <v>45450</v>
      </c>
      <c r="E435" s="4">
        <v>328.64</v>
      </c>
      <c r="F435" s="3">
        <v>1</v>
      </c>
      <c r="G435" s="6" t="s">
        <v>38</v>
      </c>
    </row>
    <row r="436" spans="1:7" x14ac:dyDescent="0.3">
      <c r="A436" s="2" t="s">
        <v>549</v>
      </c>
      <c r="B436" s="2" t="s">
        <v>542</v>
      </c>
      <c r="C436" s="6" t="s">
        <v>543</v>
      </c>
      <c r="D436" s="1">
        <v>45606</v>
      </c>
      <c r="E436" s="4">
        <v>117.41</v>
      </c>
      <c r="F436" s="3">
        <v>4</v>
      </c>
      <c r="G436" s="6" t="s">
        <v>18</v>
      </c>
    </row>
    <row r="437" spans="1:7" x14ac:dyDescent="0.3">
      <c r="A437" s="2" t="s">
        <v>550</v>
      </c>
      <c r="B437" s="2" t="s">
        <v>542</v>
      </c>
      <c r="C437" s="6" t="s">
        <v>543</v>
      </c>
      <c r="D437" s="1">
        <v>45536</v>
      </c>
      <c r="E437" s="4">
        <v>99.24</v>
      </c>
      <c r="F437" s="3">
        <v>3</v>
      </c>
      <c r="G437" s="6" t="s">
        <v>10</v>
      </c>
    </row>
    <row r="438" spans="1:7" x14ac:dyDescent="0.3">
      <c r="A438" s="2" t="s">
        <v>551</v>
      </c>
      <c r="B438" s="2" t="s">
        <v>542</v>
      </c>
      <c r="C438" s="6" t="s">
        <v>543</v>
      </c>
      <c r="D438" s="1">
        <v>45651</v>
      </c>
      <c r="E438" s="4">
        <v>254.12</v>
      </c>
      <c r="F438" s="3">
        <v>2</v>
      </c>
      <c r="G438" s="6" t="s">
        <v>26</v>
      </c>
    </row>
    <row r="439" spans="1:7" x14ac:dyDescent="0.3">
      <c r="A439" s="2" t="s">
        <v>552</v>
      </c>
      <c r="B439" s="2" t="s">
        <v>542</v>
      </c>
      <c r="C439" s="6" t="s">
        <v>543</v>
      </c>
      <c r="D439" s="1">
        <v>45574</v>
      </c>
      <c r="E439" s="4">
        <v>121.94</v>
      </c>
      <c r="F439" s="3">
        <v>3</v>
      </c>
      <c r="G439" s="6" t="s">
        <v>38</v>
      </c>
    </row>
    <row r="440" spans="1:7" x14ac:dyDescent="0.3">
      <c r="A440" s="2" t="s">
        <v>553</v>
      </c>
      <c r="B440" s="2" t="s">
        <v>542</v>
      </c>
      <c r="C440" s="6" t="s">
        <v>543</v>
      </c>
      <c r="D440" s="1">
        <v>45494</v>
      </c>
      <c r="E440" s="4">
        <v>49.95</v>
      </c>
      <c r="F440" s="3">
        <v>3</v>
      </c>
      <c r="G440" s="6" t="s">
        <v>12</v>
      </c>
    </row>
    <row r="441" spans="1:7" x14ac:dyDescent="0.3">
      <c r="A441" s="2" t="s">
        <v>554</v>
      </c>
      <c r="B441" s="2" t="s">
        <v>542</v>
      </c>
      <c r="C441" s="6" t="s">
        <v>543</v>
      </c>
      <c r="D441" s="1">
        <v>45456</v>
      </c>
      <c r="E441" s="4">
        <v>215.02</v>
      </c>
      <c r="F441" s="3">
        <v>3</v>
      </c>
      <c r="G441" s="6" t="s">
        <v>38</v>
      </c>
    </row>
    <row r="442" spans="1:7" x14ac:dyDescent="0.3">
      <c r="A442" s="2" t="s">
        <v>555</v>
      </c>
      <c r="B442" s="2" t="s">
        <v>556</v>
      </c>
      <c r="C442" s="6" t="s">
        <v>557</v>
      </c>
      <c r="D442" s="1">
        <v>45654</v>
      </c>
      <c r="E442" s="4">
        <v>373.93</v>
      </c>
      <c r="F442" s="3">
        <v>1</v>
      </c>
      <c r="G442" s="6" t="s">
        <v>15</v>
      </c>
    </row>
    <row r="443" spans="1:7" x14ac:dyDescent="0.3">
      <c r="A443" s="2" t="s">
        <v>558</v>
      </c>
      <c r="B443" s="2" t="s">
        <v>556</v>
      </c>
      <c r="C443" s="6" t="s">
        <v>557</v>
      </c>
      <c r="D443" s="1">
        <v>45472</v>
      </c>
      <c r="E443" s="4">
        <v>370.32</v>
      </c>
      <c r="F443" s="3">
        <v>4</v>
      </c>
      <c r="G443" s="6" t="s">
        <v>18</v>
      </c>
    </row>
    <row r="444" spans="1:7" x14ac:dyDescent="0.3">
      <c r="A444" s="2" t="s">
        <v>559</v>
      </c>
      <c r="B444" s="2" t="s">
        <v>556</v>
      </c>
      <c r="C444" s="6" t="s">
        <v>557</v>
      </c>
      <c r="D444" s="1">
        <v>45656</v>
      </c>
      <c r="E444" s="4">
        <v>29.65</v>
      </c>
      <c r="F444" s="3">
        <v>3</v>
      </c>
      <c r="G444" s="6" t="s">
        <v>38</v>
      </c>
    </row>
    <row r="445" spans="1:7" x14ac:dyDescent="0.3">
      <c r="A445" s="2" t="s">
        <v>560</v>
      </c>
      <c r="B445" s="2" t="s">
        <v>556</v>
      </c>
      <c r="C445" s="6" t="s">
        <v>557</v>
      </c>
      <c r="D445" s="1">
        <v>45564</v>
      </c>
      <c r="E445" s="4">
        <v>298.14999999999998</v>
      </c>
      <c r="F445" s="3">
        <v>1</v>
      </c>
      <c r="G445" s="6" t="s">
        <v>26</v>
      </c>
    </row>
    <row r="446" spans="1:7" x14ac:dyDescent="0.3">
      <c r="A446" s="2" t="s">
        <v>561</v>
      </c>
      <c r="B446" s="2" t="s">
        <v>556</v>
      </c>
      <c r="C446" s="6" t="s">
        <v>557</v>
      </c>
      <c r="D446" s="1">
        <v>45566</v>
      </c>
      <c r="E446" s="4">
        <v>248.47</v>
      </c>
      <c r="F446" s="3">
        <v>3</v>
      </c>
      <c r="G446" s="6" t="s">
        <v>26</v>
      </c>
    </row>
    <row r="447" spans="1:7" x14ac:dyDescent="0.3">
      <c r="A447" s="2" t="s">
        <v>562</v>
      </c>
      <c r="B447" s="2" t="s">
        <v>556</v>
      </c>
      <c r="C447" s="6" t="s">
        <v>557</v>
      </c>
      <c r="D447" s="1">
        <v>45630</v>
      </c>
      <c r="E447" s="4">
        <v>398.55</v>
      </c>
      <c r="F447" s="3">
        <v>3</v>
      </c>
      <c r="G447" s="6" t="s">
        <v>26</v>
      </c>
    </row>
    <row r="448" spans="1:7" x14ac:dyDescent="0.3">
      <c r="A448" s="2" t="s">
        <v>563</v>
      </c>
      <c r="B448" s="2" t="s">
        <v>556</v>
      </c>
      <c r="C448" s="6" t="s">
        <v>557</v>
      </c>
      <c r="D448" s="1">
        <v>45583</v>
      </c>
      <c r="E448" s="4">
        <v>149.09</v>
      </c>
      <c r="F448" s="3">
        <v>4</v>
      </c>
      <c r="G448" s="6" t="s">
        <v>10</v>
      </c>
    </row>
    <row r="449" spans="1:7" x14ac:dyDescent="0.3">
      <c r="A449" s="2" t="s">
        <v>564</v>
      </c>
      <c r="B449" s="2" t="s">
        <v>556</v>
      </c>
      <c r="C449" s="6" t="s">
        <v>557</v>
      </c>
      <c r="D449" s="1">
        <v>45599</v>
      </c>
      <c r="E449" s="4">
        <v>315.25</v>
      </c>
      <c r="F449" s="3">
        <v>3</v>
      </c>
      <c r="G449" s="6" t="s">
        <v>10</v>
      </c>
    </row>
    <row r="450" spans="1:7" x14ac:dyDescent="0.3">
      <c r="A450" s="2" t="s">
        <v>565</v>
      </c>
      <c r="B450" s="2" t="s">
        <v>556</v>
      </c>
      <c r="C450" s="6" t="s">
        <v>557</v>
      </c>
      <c r="D450" s="1">
        <v>45567</v>
      </c>
      <c r="E450" s="4">
        <v>390.24</v>
      </c>
      <c r="F450" s="3">
        <v>4</v>
      </c>
      <c r="G450" s="6" t="s">
        <v>15</v>
      </c>
    </row>
    <row r="451" spans="1:7" x14ac:dyDescent="0.3">
      <c r="A451" s="2" t="s">
        <v>566</v>
      </c>
      <c r="B451" s="2" t="s">
        <v>556</v>
      </c>
      <c r="C451" s="6" t="s">
        <v>557</v>
      </c>
      <c r="D451" s="1">
        <v>45555</v>
      </c>
      <c r="E451" s="4">
        <v>319.94</v>
      </c>
      <c r="F451" s="3">
        <v>2</v>
      </c>
      <c r="G451" s="6" t="s">
        <v>18</v>
      </c>
    </row>
    <row r="452" spans="1:7" x14ac:dyDescent="0.3">
      <c r="A452" s="2" t="s">
        <v>567</v>
      </c>
      <c r="B452" s="2" t="s">
        <v>556</v>
      </c>
      <c r="C452" s="6" t="s">
        <v>557</v>
      </c>
      <c r="D452" s="1">
        <v>45470</v>
      </c>
      <c r="E452" s="4">
        <v>98.68</v>
      </c>
      <c r="F452" s="3">
        <v>2</v>
      </c>
      <c r="G452" s="6" t="s">
        <v>10</v>
      </c>
    </row>
    <row r="453" spans="1:7" x14ac:dyDescent="0.3">
      <c r="A453" s="2" t="s">
        <v>568</v>
      </c>
      <c r="B453" s="2" t="s">
        <v>556</v>
      </c>
      <c r="C453" s="6" t="s">
        <v>557</v>
      </c>
      <c r="D453" s="1">
        <v>45509</v>
      </c>
      <c r="E453" s="4">
        <v>131.13999999999999</v>
      </c>
      <c r="F453" s="3">
        <v>1</v>
      </c>
      <c r="G453" s="6" t="s">
        <v>15</v>
      </c>
    </row>
    <row r="454" spans="1:7" x14ac:dyDescent="0.3">
      <c r="A454" s="2" t="s">
        <v>569</v>
      </c>
      <c r="B454" s="2" t="s">
        <v>570</v>
      </c>
      <c r="C454" s="6" t="s">
        <v>571</v>
      </c>
      <c r="D454" s="1">
        <v>45652</v>
      </c>
      <c r="E454" s="4">
        <v>186.02</v>
      </c>
      <c r="F454" s="3">
        <v>3</v>
      </c>
      <c r="G454" s="6" t="s">
        <v>26</v>
      </c>
    </row>
    <row r="455" spans="1:7" x14ac:dyDescent="0.3">
      <c r="A455" s="2" t="s">
        <v>572</v>
      </c>
      <c r="B455" s="2" t="s">
        <v>570</v>
      </c>
      <c r="C455" s="6" t="s">
        <v>571</v>
      </c>
      <c r="D455" s="1">
        <v>45619</v>
      </c>
      <c r="E455" s="4">
        <v>329.54</v>
      </c>
      <c r="F455" s="3">
        <v>1</v>
      </c>
      <c r="G455" s="6" t="s">
        <v>38</v>
      </c>
    </row>
    <row r="456" spans="1:7" x14ac:dyDescent="0.3">
      <c r="A456" s="2" t="s">
        <v>573</v>
      </c>
      <c r="B456" s="2" t="s">
        <v>570</v>
      </c>
      <c r="C456" s="6" t="s">
        <v>571</v>
      </c>
      <c r="D456" s="1">
        <v>45641</v>
      </c>
      <c r="E456" s="4">
        <v>136.49</v>
      </c>
      <c r="F456" s="3">
        <v>1</v>
      </c>
      <c r="G456" s="6" t="s">
        <v>10</v>
      </c>
    </row>
    <row r="457" spans="1:7" x14ac:dyDescent="0.3">
      <c r="A457" s="2" t="s">
        <v>574</v>
      </c>
      <c r="B457" s="2" t="s">
        <v>570</v>
      </c>
      <c r="C457" s="6" t="s">
        <v>571</v>
      </c>
      <c r="D457" s="1">
        <v>45614</v>
      </c>
      <c r="E457" s="4">
        <v>389</v>
      </c>
      <c r="F457" s="3">
        <v>1</v>
      </c>
      <c r="G457" s="6" t="s">
        <v>15</v>
      </c>
    </row>
    <row r="458" spans="1:7" x14ac:dyDescent="0.3">
      <c r="A458" s="2" t="s">
        <v>575</v>
      </c>
      <c r="B458" s="2" t="s">
        <v>570</v>
      </c>
      <c r="C458" s="6" t="s">
        <v>571</v>
      </c>
      <c r="D458" s="1">
        <v>45636</v>
      </c>
      <c r="E458" s="4">
        <v>232.36</v>
      </c>
      <c r="F458" s="3">
        <v>2</v>
      </c>
      <c r="G458" s="6" t="s">
        <v>12</v>
      </c>
    </row>
    <row r="459" spans="1:7" x14ac:dyDescent="0.3">
      <c r="A459" s="2" t="s">
        <v>576</v>
      </c>
      <c r="B459" s="2" t="s">
        <v>570</v>
      </c>
      <c r="C459" s="6" t="s">
        <v>571</v>
      </c>
      <c r="D459" s="1">
        <v>45616</v>
      </c>
      <c r="E459" s="4">
        <v>226.59</v>
      </c>
      <c r="F459" s="3">
        <v>1</v>
      </c>
      <c r="G459" s="6" t="s">
        <v>26</v>
      </c>
    </row>
    <row r="460" spans="1:7" x14ac:dyDescent="0.3">
      <c r="A460" s="2" t="s">
        <v>577</v>
      </c>
      <c r="B460" s="2" t="s">
        <v>570</v>
      </c>
      <c r="C460" s="6" t="s">
        <v>571</v>
      </c>
      <c r="D460" s="1">
        <v>45623</v>
      </c>
      <c r="E460" s="4">
        <v>338</v>
      </c>
      <c r="F460" s="3">
        <v>1</v>
      </c>
      <c r="G460" s="6" t="s">
        <v>38</v>
      </c>
    </row>
    <row r="461" spans="1:7" x14ac:dyDescent="0.3">
      <c r="A461" s="2" t="s">
        <v>578</v>
      </c>
      <c r="B461" s="2" t="s">
        <v>570</v>
      </c>
      <c r="C461" s="6" t="s">
        <v>571</v>
      </c>
      <c r="D461" s="1">
        <v>45618</v>
      </c>
      <c r="E461" s="4">
        <v>131.87</v>
      </c>
      <c r="F461" s="3">
        <v>4</v>
      </c>
      <c r="G461" s="6" t="s">
        <v>12</v>
      </c>
    </row>
    <row r="462" spans="1:7" x14ac:dyDescent="0.3">
      <c r="A462" s="2" t="s">
        <v>579</v>
      </c>
      <c r="B462" s="2" t="s">
        <v>570</v>
      </c>
      <c r="C462" s="6" t="s">
        <v>571</v>
      </c>
      <c r="D462" s="1">
        <v>45614</v>
      </c>
      <c r="E462" s="4">
        <v>133.74</v>
      </c>
      <c r="F462" s="3">
        <v>4</v>
      </c>
      <c r="G462" s="6" t="s">
        <v>18</v>
      </c>
    </row>
    <row r="463" spans="1:7" x14ac:dyDescent="0.3">
      <c r="A463" s="2" t="s">
        <v>580</v>
      </c>
      <c r="B463" s="2" t="s">
        <v>570</v>
      </c>
      <c r="C463" s="6" t="s">
        <v>571</v>
      </c>
      <c r="D463" s="1">
        <v>45641</v>
      </c>
      <c r="E463" s="4">
        <v>27.97</v>
      </c>
      <c r="F463" s="3">
        <v>3</v>
      </c>
      <c r="G463" s="6" t="s">
        <v>10</v>
      </c>
    </row>
    <row r="464" spans="1:7" x14ac:dyDescent="0.3">
      <c r="A464" s="2" t="s">
        <v>581</v>
      </c>
      <c r="B464" s="2" t="s">
        <v>570</v>
      </c>
      <c r="C464" s="6" t="s">
        <v>571</v>
      </c>
      <c r="D464" s="1">
        <v>45650</v>
      </c>
      <c r="E464" s="4">
        <v>271.42</v>
      </c>
      <c r="F464" s="3">
        <v>1</v>
      </c>
      <c r="G464" s="6" t="s">
        <v>38</v>
      </c>
    </row>
    <row r="465" spans="1:7" x14ac:dyDescent="0.3">
      <c r="A465" s="2" t="s">
        <v>582</v>
      </c>
      <c r="B465" s="2" t="s">
        <v>570</v>
      </c>
      <c r="C465" s="6" t="s">
        <v>571</v>
      </c>
      <c r="D465" s="1">
        <v>45641</v>
      </c>
      <c r="E465" s="4">
        <v>433.47</v>
      </c>
      <c r="F465" s="3">
        <v>4</v>
      </c>
      <c r="G465" s="6" t="s">
        <v>18</v>
      </c>
    </row>
    <row r="466" spans="1:7" x14ac:dyDescent="0.3">
      <c r="A466" s="2" t="s">
        <v>583</v>
      </c>
      <c r="B466" s="2" t="s">
        <v>570</v>
      </c>
      <c r="C466" s="6" t="s">
        <v>571</v>
      </c>
      <c r="D466" s="1">
        <v>45633</v>
      </c>
      <c r="E466" s="4">
        <v>142.18</v>
      </c>
      <c r="F466" s="3">
        <v>1</v>
      </c>
      <c r="G466" s="6" t="s">
        <v>26</v>
      </c>
    </row>
    <row r="467" spans="1:7" x14ac:dyDescent="0.3">
      <c r="A467" s="2" t="s">
        <v>584</v>
      </c>
      <c r="B467" s="2" t="s">
        <v>570</v>
      </c>
      <c r="C467" s="6" t="s">
        <v>571</v>
      </c>
      <c r="D467" s="1">
        <v>45650</v>
      </c>
      <c r="E467" s="4">
        <v>468.94</v>
      </c>
      <c r="F467" s="3">
        <v>1</v>
      </c>
      <c r="G467" s="6" t="s">
        <v>10</v>
      </c>
    </row>
    <row r="468" spans="1:7" x14ac:dyDescent="0.3">
      <c r="A468" s="2" t="s">
        <v>585</v>
      </c>
      <c r="B468" s="2" t="s">
        <v>570</v>
      </c>
      <c r="C468" s="6" t="s">
        <v>571</v>
      </c>
      <c r="D468" s="1">
        <v>45648</v>
      </c>
      <c r="E468" s="4">
        <v>231.58</v>
      </c>
      <c r="F468" s="3">
        <v>3</v>
      </c>
      <c r="G468" s="6" t="s">
        <v>10</v>
      </c>
    </row>
    <row r="469" spans="1:7" x14ac:dyDescent="0.3">
      <c r="A469" s="2" t="s">
        <v>586</v>
      </c>
      <c r="B469" s="2" t="s">
        <v>587</v>
      </c>
      <c r="C469" s="6" t="s">
        <v>588</v>
      </c>
      <c r="D469" s="1">
        <v>45645</v>
      </c>
      <c r="E469" s="4">
        <v>30.37</v>
      </c>
      <c r="F469" s="3">
        <v>4</v>
      </c>
      <c r="G469" s="6" t="s">
        <v>26</v>
      </c>
    </row>
    <row r="470" spans="1:7" x14ac:dyDescent="0.3">
      <c r="A470" s="2" t="s">
        <v>589</v>
      </c>
      <c r="B470" s="2" t="s">
        <v>587</v>
      </c>
      <c r="C470" s="6" t="s">
        <v>588</v>
      </c>
      <c r="D470" s="1">
        <v>45647</v>
      </c>
      <c r="E470" s="4">
        <v>245.15</v>
      </c>
      <c r="F470" s="3">
        <v>3</v>
      </c>
      <c r="G470" s="6" t="s">
        <v>12</v>
      </c>
    </row>
    <row r="471" spans="1:7" x14ac:dyDescent="0.3">
      <c r="A471" s="2" t="s">
        <v>590</v>
      </c>
      <c r="B471" s="2" t="s">
        <v>587</v>
      </c>
      <c r="C471" s="6" t="s">
        <v>588</v>
      </c>
      <c r="D471" s="1">
        <v>45592</v>
      </c>
      <c r="E471" s="4">
        <v>476.39</v>
      </c>
      <c r="F471" s="3">
        <v>1</v>
      </c>
      <c r="G471" s="6" t="s">
        <v>26</v>
      </c>
    </row>
    <row r="472" spans="1:7" x14ac:dyDescent="0.3">
      <c r="A472" s="2" t="s">
        <v>591</v>
      </c>
      <c r="B472" s="2" t="s">
        <v>587</v>
      </c>
      <c r="C472" s="6" t="s">
        <v>588</v>
      </c>
      <c r="D472" s="1">
        <v>45651</v>
      </c>
      <c r="E472" s="4">
        <v>294.25</v>
      </c>
      <c r="F472" s="3">
        <v>2</v>
      </c>
      <c r="G472" s="6" t="s">
        <v>12</v>
      </c>
    </row>
    <row r="473" spans="1:7" x14ac:dyDescent="0.3">
      <c r="A473" s="2" t="s">
        <v>592</v>
      </c>
      <c r="B473" s="2" t="s">
        <v>587</v>
      </c>
      <c r="C473" s="6" t="s">
        <v>588</v>
      </c>
      <c r="D473" s="1">
        <v>45617</v>
      </c>
      <c r="E473" s="4">
        <v>336.76</v>
      </c>
      <c r="F473" s="3">
        <v>3</v>
      </c>
      <c r="G473" s="6" t="s">
        <v>15</v>
      </c>
    </row>
    <row r="474" spans="1:7" x14ac:dyDescent="0.3">
      <c r="A474" s="2" t="s">
        <v>593</v>
      </c>
      <c r="B474" s="2" t="s">
        <v>594</v>
      </c>
      <c r="C474" s="6" t="s">
        <v>595</v>
      </c>
      <c r="D474" s="1">
        <v>45655</v>
      </c>
      <c r="E474" s="4">
        <v>470.51</v>
      </c>
      <c r="F474" s="3">
        <v>3</v>
      </c>
      <c r="G474" s="6" t="s">
        <v>15</v>
      </c>
    </row>
    <row r="475" spans="1:7" x14ac:dyDescent="0.3">
      <c r="A475" s="2" t="s">
        <v>596</v>
      </c>
      <c r="B475" s="2" t="s">
        <v>594</v>
      </c>
      <c r="C475" s="6" t="s">
        <v>595</v>
      </c>
      <c r="D475" s="1">
        <v>45327</v>
      </c>
      <c r="E475" s="4">
        <v>485.26</v>
      </c>
      <c r="F475" s="3">
        <v>3</v>
      </c>
      <c r="G475" s="6" t="s">
        <v>38</v>
      </c>
    </row>
    <row r="476" spans="1:7" x14ac:dyDescent="0.3">
      <c r="A476" s="2" t="s">
        <v>597</v>
      </c>
      <c r="B476" s="2" t="s">
        <v>594</v>
      </c>
      <c r="C476" s="6" t="s">
        <v>595</v>
      </c>
      <c r="D476" s="1">
        <v>45583</v>
      </c>
      <c r="E476" s="4">
        <v>86.52</v>
      </c>
      <c r="F476" s="3">
        <v>1</v>
      </c>
      <c r="G476" s="6" t="s">
        <v>18</v>
      </c>
    </row>
    <row r="477" spans="1:7" x14ac:dyDescent="0.3">
      <c r="A477" s="2" t="s">
        <v>598</v>
      </c>
      <c r="B477" s="2" t="s">
        <v>594</v>
      </c>
      <c r="C477" s="6" t="s">
        <v>595</v>
      </c>
      <c r="D477" s="1">
        <v>45405</v>
      </c>
      <c r="E477" s="4">
        <v>135.1</v>
      </c>
      <c r="F477" s="3">
        <v>3</v>
      </c>
      <c r="G477" s="6" t="s">
        <v>38</v>
      </c>
    </row>
    <row r="478" spans="1:7" x14ac:dyDescent="0.3">
      <c r="A478" s="2" t="s">
        <v>599</v>
      </c>
      <c r="B478" s="2" t="s">
        <v>594</v>
      </c>
      <c r="C478" s="6" t="s">
        <v>595</v>
      </c>
      <c r="D478" s="1">
        <v>45438</v>
      </c>
      <c r="E478" s="4">
        <v>472.86</v>
      </c>
      <c r="F478" s="3">
        <v>2</v>
      </c>
      <c r="G478" s="6" t="s">
        <v>26</v>
      </c>
    </row>
    <row r="479" spans="1:7" x14ac:dyDescent="0.3">
      <c r="A479" s="2" t="s">
        <v>600</v>
      </c>
      <c r="B479" s="2" t="s">
        <v>594</v>
      </c>
      <c r="C479" s="6" t="s">
        <v>595</v>
      </c>
      <c r="D479" s="1">
        <v>45433</v>
      </c>
      <c r="E479" s="4">
        <v>129.63</v>
      </c>
      <c r="F479" s="3">
        <v>4</v>
      </c>
      <c r="G479" s="6" t="s">
        <v>26</v>
      </c>
    </row>
    <row r="480" spans="1:7" x14ac:dyDescent="0.3">
      <c r="A480" s="2" t="s">
        <v>601</v>
      </c>
      <c r="B480" s="2" t="s">
        <v>594</v>
      </c>
      <c r="C480" s="6" t="s">
        <v>595</v>
      </c>
      <c r="D480" s="1">
        <v>45622</v>
      </c>
      <c r="E480" s="4">
        <v>289.60000000000002</v>
      </c>
      <c r="F480" s="3">
        <v>3</v>
      </c>
      <c r="G480" s="6" t="s">
        <v>15</v>
      </c>
    </row>
    <row r="481" spans="1:7" x14ac:dyDescent="0.3">
      <c r="A481" s="2" t="s">
        <v>602</v>
      </c>
      <c r="B481" s="2" t="s">
        <v>594</v>
      </c>
      <c r="C481" s="6" t="s">
        <v>595</v>
      </c>
      <c r="D481" s="1">
        <v>45647</v>
      </c>
      <c r="E481" s="4">
        <v>399.8</v>
      </c>
      <c r="F481" s="3">
        <v>1</v>
      </c>
      <c r="G481" s="6" t="s">
        <v>15</v>
      </c>
    </row>
    <row r="482" spans="1:7" x14ac:dyDescent="0.3">
      <c r="A482" s="2" t="s">
        <v>603</v>
      </c>
      <c r="B482" s="2" t="s">
        <v>594</v>
      </c>
      <c r="C482" s="6" t="s">
        <v>595</v>
      </c>
      <c r="D482" s="1">
        <v>45320</v>
      </c>
      <c r="E482" s="4">
        <v>115.68</v>
      </c>
      <c r="F482" s="3">
        <v>1</v>
      </c>
      <c r="G482" s="6" t="s">
        <v>18</v>
      </c>
    </row>
    <row r="483" spans="1:7" x14ac:dyDescent="0.3">
      <c r="A483" s="2" t="s">
        <v>604</v>
      </c>
      <c r="B483" s="2" t="s">
        <v>594</v>
      </c>
      <c r="C483" s="6" t="s">
        <v>595</v>
      </c>
      <c r="D483" s="1">
        <v>45623</v>
      </c>
      <c r="E483" s="4">
        <v>329.1</v>
      </c>
      <c r="F483" s="3">
        <v>2</v>
      </c>
      <c r="G483" s="6" t="s">
        <v>26</v>
      </c>
    </row>
    <row r="484" spans="1:7" x14ac:dyDescent="0.3">
      <c r="A484" s="2" t="s">
        <v>605</v>
      </c>
      <c r="B484" s="2" t="s">
        <v>594</v>
      </c>
      <c r="C484" s="6" t="s">
        <v>595</v>
      </c>
      <c r="D484" s="1">
        <v>45539</v>
      </c>
      <c r="E484" s="4">
        <v>88.05</v>
      </c>
      <c r="F484" s="3">
        <v>3</v>
      </c>
      <c r="G484" s="6" t="s">
        <v>18</v>
      </c>
    </row>
    <row r="485" spans="1:7" x14ac:dyDescent="0.3">
      <c r="A485" s="2" t="s">
        <v>606</v>
      </c>
      <c r="B485" s="2" t="s">
        <v>594</v>
      </c>
      <c r="C485" s="6" t="s">
        <v>595</v>
      </c>
      <c r="D485" s="1">
        <v>45392</v>
      </c>
      <c r="E485" s="4">
        <v>434.55</v>
      </c>
      <c r="F485" s="3">
        <v>4</v>
      </c>
      <c r="G485" s="6" t="s">
        <v>38</v>
      </c>
    </row>
    <row r="486" spans="1:7" x14ac:dyDescent="0.3">
      <c r="A486" s="2" t="s">
        <v>607</v>
      </c>
      <c r="B486" s="2" t="s">
        <v>594</v>
      </c>
      <c r="C486" s="6" t="s">
        <v>595</v>
      </c>
      <c r="D486" s="1">
        <v>45588</v>
      </c>
      <c r="E486" s="4">
        <v>393.37</v>
      </c>
      <c r="F486" s="3">
        <v>3</v>
      </c>
      <c r="G486" s="6" t="s">
        <v>10</v>
      </c>
    </row>
    <row r="487" spans="1:7" x14ac:dyDescent="0.3">
      <c r="A487" s="2" t="s">
        <v>608</v>
      </c>
      <c r="B487" s="2" t="s">
        <v>594</v>
      </c>
      <c r="C487" s="6" t="s">
        <v>595</v>
      </c>
      <c r="D487" s="1">
        <v>45643</v>
      </c>
      <c r="E487" s="4">
        <v>328.75</v>
      </c>
      <c r="F487" s="3">
        <v>2</v>
      </c>
      <c r="G487" s="6" t="s">
        <v>18</v>
      </c>
    </row>
    <row r="488" spans="1:7" x14ac:dyDescent="0.3">
      <c r="A488" s="2" t="s">
        <v>609</v>
      </c>
      <c r="B488" s="2" t="s">
        <v>610</v>
      </c>
      <c r="C488" s="6" t="s">
        <v>611</v>
      </c>
      <c r="D488" s="1">
        <v>45032</v>
      </c>
      <c r="E488" s="4">
        <v>405.84</v>
      </c>
      <c r="F488" s="3">
        <v>1</v>
      </c>
      <c r="G488" s="6" t="s">
        <v>26</v>
      </c>
    </row>
    <row r="489" spans="1:7" x14ac:dyDescent="0.3">
      <c r="A489" s="2" t="s">
        <v>612</v>
      </c>
      <c r="B489" s="2" t="s">
        <v>610</v>
      </c>
      <c r="C489" s="6" t="s">
        <v>611</v>
      </c>
      <c r="D489" s="1">
        <v>45292</v>
      </c>
      <c r="E489" s="4">
        <v>223.44</v>
      </c>
      <c r="F489" s="3">
        <v>1</v>
      </c>
      <c r="G489" s="6" t="s">
        <v>12</v>
      </c>
    </row>
    <row r="490" spans="1:7" x14ac:dyDescent="0.3">
      <c r="A490" s="2" t="s">
        <v>613</v>
      </c>
      <c r="B490" s="2" t="s">
        <v>610</v>
      </c>
      <c r="C490" s="6" t="s">
        <v>611</v>
      </c>
      <c r="D490" s="1">
        <v>45357</v>
      </c>
      <c r="E490" s="4">
        <v>155.47</v>
      </c>
      <c r="F490" s="3">
        <v>1</v>
      </c>
      <c r="G490" s="6" t="s">
        <v>38</v>
      </c>
    </row>
    <row r="491" spans="1:7" x14ac:dyDescent="0.3">
      <c r="A491" s="2" t="s">
        <v>614</v>
      </c>
      <c r="B491" s="2" t="s">
        <v>610</v>
      </c>
      <c r="C491" s="6" t="s">
        <v>611</v>
      </c>
      <c r="D491" s="1">
        <v>45078</v>
      </c>
      <c r="E491" s="4">
        <v>189.57</v>
      </c>
      <c r="F491" s="3">
        <v>3</v>
      </c>
      <c r="G491" s="6" t="s">
        <v>10</v>
      </c>
    </row>
    <row r="492" spans="1:7" x14ac:dyDescent="0.3">
      <c r="A492" s="2" t="s">
        <v>615</v>
      </c>
      <c r="B492" s="2" t="s">
        <v>616</v>
      </c>
      <c r="C492" s="6" t="s">
        <v>617</v>
      </c>
      <c r="D492" s="1">
        <v>45495</v>
      </c>
      <c r="E492" s="4">
        <v>302.27999999999997</v>
      </c>
      <c r="F492" s="3">
        <v>3</v>
      </c>
      <c r="G492" s="6" t="s">
        <v>38</v>
      </c>
    </row>
    <row r="493" spans="1:7" x14ac:dyDescent="0.3">
      <c r="A493" s="2" t="s">
        <v>618</v>
      </c>
      <c r="B493" s="2" t="s">
        <v>616</v>
      </c>
      <c r="C493" s="6" t="s">
        <v>617</v>
      </c>
      <c r="D493" s="1">
        <v>45124</v>
      </c>
      <c r="E493" s="4">
        <v>45.87</v>
      </c>
      <c r="F493" s="3">
        <v>4</v>
      </c>
      <c r="G493" s="6" t="s">
        <v>12</v>
      </c>
    </row>
    <row r="494" spans="1:7" x14ac:dyDescent="0.3">
      <c r="A494" s="2" t="s">
        <v>619</v>
      </c>
      <c r="B494" s="2" t="s">
        <v>616</v>
      </c>
      <c r="C494" s="6" t="s">
        <v>617</v>
      </c>
      <c r="D494" s="1">
        <v>45644</v>
      </c>
      <c r="E494" s="4">
        <v>324.86</v>
      </c>
      <c r="F494" s="3">
        <v>2</v>
      </c>
      <c r="G494" s="6" t="s">
        <v>26</v>
      </c>
    </row>
    <row r="495" spans="1:7" x14ac:dyDescent="0.3">
      <c r="A495" s="2" t="s">
        <v>620</v>
      </c>
      <c r="B495" s="2" t="s">
        <v>616</v>
      </c>
      <c r="C495" s="6" t="s">
        <v>617</v>
      </c>
      <c r="D495" s="1">
        <v>45025</v>
      </c>
      <c r="E495" s="4">
        <v>275.76</v>
      </c>
      <c r="F495" s="3">
        <v>2</v>
      </c>
      <c r="G495" s="6" t="s">
        <v>26</v>
      </c>
    </row>
    <row r="496" spans="1:7" x14ac:dyDescent="0.3">
      <c r="A496" s="2" t="s">
        <v>621</v>
      </c>
      <c r="B496" s="2" t="s">
        <v>616</v>
      </c>
      <c r="C496" s="6" t="s">
        <v>617</v>
      </c>
      <c r="D496" s="1">
        <v>45651</v>
      </c>
      <c r="E496" s="4">
        <v>408.75</v>
      </c>
      <c r="F496" s="3">
        <v>4</v>
      </c>
      <c r="G496" s="6" t="s">
        <v>38</v>
      </c>
    </row>
    <row r="497" spans="1:7" x14ac:dyDescent="0.3">
      <c r="A497" s="2" t="s">
        <v>622</v>
      </c>
      <c r="B497" s="2" t="s">
        <v>616</v>
      </c>
      <c r="C497" s="6" t="s">
        <v>617</v>
      </c>
      <c r="D497" s="1">
        <v>45155</v>
      </c>
      <c r="E497" s="4">
        <v>205.42</v>
      </c>
      <c r="F497" s="3">
        <v>3</v>
      </c>
      <c r="G497" s="6" t="s">
        <v>10</v>
      </c>
    </row>
    <row r="498" spans="1:7" x14ac:dyDescent="0.3">
      <c r="A498" s="2" t="s">
        <v>623</v>
      </c>
      <c r="B498" s="2" t="s">
        <v>616</v>
      </c>
      <c r="C498" s="6" t="s">
        <v>617</v>
      </c>
      <c r="D498" s="1">
        <v>45322</v>
      </c>
      <c r="E498" s="4">
        <v>243.58</v>
      </c>
      <c r="F498" s="3">
        <v>4</v>
      </c>
      <c r="G498" s="6" t="s">
        <v>12</v>
      </c>
    </row>
    <row r="499" spans="1:7" x14ac:dyDescent="0.3">
      <c r="A499" s="2" t="s">
        <v>624</v>
      </c>
      <c r="B499" s="2" t="s">
        <v>616</v>
      </c>
      <c r="C499" s="6" t="s">
        <v>617</v>
      </c>
      <c r="D499" s="1">
        <v>45365</v>
      </c>
      <c r="E499" s="4">
        <v>408.36</v>
      </c>
      <c r="F499" s="3">
        <v>4</v>
      </c>
      <c r="G499" s="6" t="s">
        <v>26</v>
      </c>
    </row>
    <row r="500" spans="1:7" x14ac:dyDescent="0.3">
      <c r="A500" s="2" t="s">
        <v>625</v>
      </c>
      <c r="B500" s="2" t="s">
        <v>616</v>
      </c>
      <c r="C500" s="6" t="s">
        <v>617</v>
      </c>
      <c r="D500" s="1">
        <v>45449</v>
      </c>
      <c r="E500" s="4">
        <v>18.93</v>
      </c>
      <c r="F500" s="3">
        <v>3</v>
      </c>
      <c r="G500" s="6" t="s">
        <v>12</v>
      </c>
    </row>
    <row r="501" spans="1:7" x14ac:dyDescent="0.3">
      <c r="A501" s="2" t="s">
        <v>626</v>
      </c>
      <c r="B501" s="2" t="s">
        <v>616</v>
      </c>
      <c r="C501" s="6" t="s">
        <v>617</v>
      </c>
      <c r="D501" s="1">
        <v>45358</v>
      </c>
      <c r="E501" s="4">
        <v>327.26</v>
      </c>
      <c r="F501" s="3">
        <v>3</v>
      </c>
      <c r="G501" s="6" t="s">
        <v>15</v>
      </c>
    </row>
    <row r="502" spans="1:7" x14ac:dyDescent="0.3">
      <c r="A502" s="2" t="s">
        <v>627</v>
      </c>
      <c r="B502" s="2" t="s">
        <v>616</v>
      </c>
      <c r="C502" s="6" t="s">
        <v>617</v>
      </c>
      <c r="D502" s="1">
        <v>45073</v>
      </c>
      <c r="E502" s="4">
        <v>39.53</v>
      </c>
      <c r="F502" s="3">
        <v>1</v>
      </c>
      <c r="G502" s="6" t="s">
        <v>10</v>
      </c>
    </row>
    <row r="503" spans="1:7" x14ac:dyDescent="0.3">
      <c r="A503" s="2" t="s">
        <v>628</v>
      </c>
      <c r="B503" s="2" t="s">
        <v>616</v>
      </c>
      <c r="C503" s="6" t="s">
        <v>617</v>
      </c>
      <c r="D503" s="1">
        <v>45492</v>
      </c>
      <c r="E503" s="4">
        <v>105.33</v>
      </c>
      <c r="F503" s="3">
        <v>1</v>
      </c>
      <c r="G503" s="6" t="s">
        <v>18</v>
      </c>
    </row>
    <row r="504" spans="1:7" x14ac:dyDescent="0.3">
      <c r="A504" s="2" t="s">
        <v>629</v>
      </c>
      <c r="B504" s="2" t="s">
        <v>630</v>
      </c>
      <c r="C504" s="6" t="s">
        <v>631</v>
      </c>
      <c r="D504" s="1">
        <v>45306</v>
      </c>
      <c r="E504" s="4">
        <v>338.35</v>
      </c>
      <c r="F504" s="3">
        <v>3</v>
      </c>
      <c r="G504" s="6" t="s">
        <v>10</v>
      </c>
    </row>
    <row r="505" spans="1:7" x14ac:dyDescent="0.3">
      <c r="A505" s="2" t="s">
        <v>632</v>
      </c>
      <c r="B505" s="2" t="s">
        <v>630</v>
      </c>
      <c r="C505" s="6" t="s">
        <v>631</v>
      </c>
      <c r="D505" s="1">
        <v>45410</v>
      </c>
      <c r="E505" s="4">
        <v>274.19</v>
      </c>
      <c r="F505" s="3">
        <v>4</v>
      </c>
      <c r="G505" s="6" t="s">
        <v>26</v>
      </c>
    </row>
    <row r="506" spans="1:7" x14ac:dyDescent="0.3">
      <c r="A506" s="2" t="s">
        <v>633</v>
      </c>
      <c r="B506" s="2" t="s">
        <v>630</v>
      </c>
      <c r="C506" s="6" t="s">
        <v>631</v>
      </c>
      <c r="D506" s="1">
        <v>45412</v>
      </c>
      <c r="E506" s="4">
        <v>360.91</v>
      </c>
      <c r="F506" s="3">
        <v>1</v>
      </c>
      <c r="G506" s="6" t="s">
        <v>38</v>
      </c>
    </row>
    <row r="507" spans="1:7" x14ac:dyDescent="0.3">
      <c r="A507" s="2" t="s">
        <v>634</v>
      </c>
      <c r="B507" s="2" t="s">
        <v>630</v>
      </c>
      <c r="C507" s="6" t="s">
        <v>631</v>
      </c>
      <c r="D507" s="1">
        <v>45386</v>
      </c>
      <c r="E507" s="4">
        <v>413.36</v>
      </c>
      <c r="F507" s="3">
        <v>3</v>
      </c>
      <c r="G507" s="6" t="s">
        <v>18</v>
      </c>
    </row>
    <row r="508" spans="1:7" x14ac:dyDescent="0.3">
      <c r="A508" s="2" t="s">
        <v>635</v>
      </c>
      <c r="B508" s="2" t="s">
        <v>636</v>
      </c>
      <c r="C508" s="6" t="s">
        <v>637</v>
      </c>
      <c r="D508" s="1">
        <v>45384</v>
      </c>
      <c r="E508" s="4">
        <v>98.9</v>
      </c>
      <c r="F508" s="3">
        <v>3</v>
      </c>
      <c r="G508" s="6" t="s">
        <v>10</v>
      </c>
    </row>
    <row r="509" spans="1:7" x14ac:dyDescent="0.3">
      <c r="A509" s="2" t="s">
        <v>638</v>
      </c>
      <c r="B509" s="2" t="s">
        <v>636</v>
      </c>
      <c r="C509" s="6" t="s">
        <v>637</v>
      </c>
      <c r="D509" s="1">
        <v>45347</v>
      </c>
      <c r="E509" s="4">
        <v>154.69</v>
      </c>
      <c r="F509" s="3">
        <v>2</v>
      </c>
      <c r="G509" s="6" t="s">
        <v>38</v>
      </c>
    </row>
    <row r="510" spans="1:7" x14ac:dyDescent="0.3">
      <c r="A510" s="2" t="s">
        <v>639</v>
      </c>
      <c r="B510" s="2" t="s">
        <v>636</v>
      </c>
      <c r="C510" s="6" t="s">
        <v>637</v>
      </c>
      <c r="D510" s="1">
        <v>45574</v>
      </c>
      <c r="E510" s="4">
        <v>459.7</v>
      </c>
      <c r="F510" s="3">
        <v>4</v>
      </c>
      <c r="G510" s="6" t="s">
        <v>15</v>
      </c>
    </row>
    <row r="511" spans="1:7" x14ac:dyDescent="0.3">
      <c r="A511" s="2" t="s">
        <v>640</v>
      </c>
      <c r="B511" s="2" t="s">
        <v>636</v>
      </c>
      <c r="C511" s="6" t="s">
        <v>637</v>
      </c>
      <c r="D511" s="1">
        <v>45650</v>
      </c>
      <c r="E511" s="4">
        <v>404.94</v>
      </c>
      <c r="F511" s="3">
        <v>4</v>
      </c>
      <c r="G511" s="6" t="s">
        <v>38</v>
      </c>
    </row>
    <row r="512" spans="1:7" x14ac:dyDescent="0.3">
      <c r="A512" s="2" t="s">
        <v>641</v>
      </c>
      <c r="B512" s="2" t="s">
        <v>636</v>
      </c>
      <c r="C512" s="6" t="s">
        <v>637</v>
      </c>
      <c r="D512" s="1">
        <v>45652</v>
      </c>
      <c r="E512" s="4">
        <v>267.98</v>
      </c>
      <c r="F512" s="3">
        <v>1</v>
      </c>
      <c r="G512" s="6" t="s">
        <v>12</v>
      </c>
    </row>
    <row r="513" spans="1:7" x14ac:dyDescent="0.3">
      <c r="A513" s="2" t="s">
        <v>642</v>
      </c>
      <c r="B513" s="2" t="s">
        <v>636</v>
      </c>
      <c r="C513" s="6" t="s">
        <v>637</v>
      </c>
      <c r="D513" s="1">
        <v>45651</v>
      </c>
      <c r="E513" s="4">
        <v>322.61</v>
      </c>
      <c r="F513" s="3">
        <v>2</v>
      </c>
      <c r="G513" s="6" t="s">
        <v>10</v>
      </c>
    </row>
    <row r="514" spans="1:7" x14ac:dyDescent="0.3">
      <c r="A514" s="2" t="s">
        <v>643</v>
      </c>
      <c r="B514" s="2" t="s">
        <v>636</v>
      </c>
      <c r="C514" s="6" t="s">
        <v>637</v>
      </c>
      <c r="D514" s="1">
        <v>45496</v>
      </c>
      <c r="E514" s="4">
        <v>121.76</v>
      </c>
      <c r="F514" s="3">
        <v>3</v>
      </c>
      <c r="G514" s="6" t="s">
        <v>38</v>
      </c>
    </row>
    <row r="515" spans="1:7" x14ac:dyDescent="0.3">
      <c r="A515" s="2" t="s">
        <v>644</v>
      </c>
      <c r="B515" s="2" t="s">
        <v>645</v>
      </c>
      <c r="C515" s="6" t="s">
        <v>646</v>
      </c>
      <c r="D515" s="1">
        <v>45370</v>
      </c>
      <c r="E515" s="4">
        <v>421.53</v>
      </c>
      <c r="F515" s="3">
        <v>2</v>
      </c>
      <c r="G515" s="6" t="s">
        <v>38</v>
      </c>
    </row>
    <row r="516" spans="1:7" x14ac:dyDescent="0.3">
      <c r="A516" s="2" t="s">
        <v>647</v>
      </c>
      <c r="B516" s="2" t="s">
        <v>645</v>
      </c>
      <c r="C516" s="6" t="s">
        <v>646</v>
      </c>
      <c r="D516" s="1">
        <v>45596</v>
      </c>
      <c r="E516" s="4">
        <v>392.46</v>
      </c>
      <c r="F516" s="3">
        <v>4</v>
      </c>
      <c r="G516" s="6" t="s">
        <v>26</v>
      </c>
    </row>
    <row r="517" spans="1:7" x14ac:dyDescent="0.3">
      <c r="A517" s="2" t="s">
        <v>648</v>
      </c>
      <c r="B517" s="2" t="s">
        <v>645</v>
      </c>
      <c r="C517" s="6" t="s">
        <v>646</v>
      </c>
      <c r="D517" s="1">
        <v>45268</v>
      </c>
      <c r="E517" s="4">
        <v>427.08</v>
      </c>
      <c r="F517" s="3">
        <v>1</v>
      </c>
      <c r="G517" s="6" t="s">
        <v>26</v>
      </c>
    </row>
    <row r="518" spans="1:7" x14ac:dyDescent="0.3">
      <c r="A518" s="2" t="s">
        <v>649</v>
      </c>
      <c r="B518" s="2" t="s">
        <v>645</v>
      </c>
      <c r="C518" s="6" t="s">
        <v>646</v>
      </c>
      <c r="D518" s="1">
        <v>45395</v>
      </c>
      <c r="E518" s="4">
        <v>385.66</v>
      </c>
      <c r="F518" s="3">
        <v>1</v>
      </c>
      <c r="G518" s="6" t="s">
        <v>26</v>
      </c>
    </row>
    <row r="519" spans="1:7" x14ac:dyDescent="0.3">
      <c r="A519" s="2" t="s">
        <v>650</v>
      </c>
      <c r="B519" s="2" t="s">
        <v>645</v>
      </c>
      <c r="C519" s="6" t="s">
        <v>646</v>
      </c>
      <c r="D519" s="1">
        <v>45491</v>
      </c>
      <c r="E519" s="4">
        <v>84.96</v>
      </c>
      <c r="F519" s="3">
        <v>3</v>
      </c>
      <c r="G519" s="6" t="s">
        <v>38</v>
      </c>
    </row>
    <row r="520" spans="1:7" x14ac:dyDescent="0.3">
      <c r="A520" s="2" t="s">
        <v>651</v>
      </c>
      <c r="B520" s="2" t="s">
        <v>645</v>
      </c>
      <c r="C520" s="6" t="s">
        <v>646</v>
      </c>
      <c r="D520" s="1">
        <v>45357</v>
      </c>
      <c r="E520" s="4">
        <v>432.77</v>
      </c>
      <c r="F520" s="3">
        <v>1</v>
      </c>
      <c r="G520" s="6" t="s">
        <v>10</v>
      </c>
    </row>
    <row r="521" spans="1:7" x14ac:dyDescent="0.3">
      <c r="A521" s="2" t="s">
        <v>652</v>
      </c>
      <c r="B521" s="2" t="s">
        <v>645</v>
      </c>
      <c r="C521" s="6" t="s">
        <v>646</v>
      </c>
      <c r="D521" s="1">
        <v>45399</v>
      </c>
      <c r="E521" s="4">
        <v>21.58</v>
      </c>
      <c r="F521" s="3">
        <v>4</v>
      </c>
      <c r="G521" s="6" t="s">
        <v>12</v>
      </c>
    </row>
    <row r="522" spans="1:7" x14ac:dyDescent="0.3">
      <c r="A522" s="2" t="s">
        <v>653</v>
      </c>
      <c r="B522" s="2" t="s">
        <v>645</v>
      </c>
      <c r="C522" s="6" t="s">
        <v>646</v>
      </c>
      <c r="D522" s="1">
        <v>45409</v>
      </c>
      <c r="E522" s="4">
        <v>322.60000000000002</v>
      </c>
      <c r="F522" s="3">
        <v>2</v>
      </c>
      <c r="G522" s="6" t="s">
        <v>38</v>
      </c>
    </row>
    <row r="523" spans="1:7" x14ac:dyDescent="0.3">
      <c r="A523" s="2" t="s">
        <v>654</v>
      </c>
      <c r="B523" s="2" t="s">
        <v>645</v>
      </c>
      <c r="C523" s="6" t="s">
        <v>646</v>
      </c>
      <c r="D523" s="1">
        <v>45326</v>
      </c>
      <c r="E523" s="4">
        <v>301.29000000000002</v>
      </c>
      <c r="F523" s="3">
        <v>1</v>
      </c>
      <c r="G523" s="6" t="s">
        <v>18</v>
      </c>
    </row>
    <row r="524" spans="1:7" x14ac:dyDescent="0.3">
      <c r="A524" s="2" t="s">
        <v>655</v>
      </c>
      <c r="B524" s="2" t="s">
        <v>645</v>
      </c>
      <c r="C524" s="6" t="s">
        <v>646</v>
      </c>
      <c r="D524" s="1">
        <v>45507</v>
      </c>
      <c r="E524" s="4">
        <v>144.52000000000001</v>
      </c>
      <c r="F524" s="3">
        <v>2</v>
      </c>
      <c r="G524" s="6" t="s">
        <v>10</v>
      </c>
    </row>
    <row r="525" spans="1:7" x14ac:dyDescent="0.3">
      <c r="A525" s="2" t="s">
        <v>656</v>
      </c>
      <c r="B525" s="2" t="s">
        <v>657</v>
      </c>
      <c r="C525" s="6" t="s">
        <v>658</v>
      </c>
      <c r="D525" s="1">
        <v>45447</v>
      </c>
      <c r="E525" s="4">
        <v>228.44</v>
      </c>
      <c r="F525" s="3">
        <v>1</v>
      </c>
      <c r="G525" s="6" t="s">
        <v>38</v>
      </c>
    </row>
    <row r="526" spans="1:7" x14ac:dyDescent="0.3">
      <c r="A526" s="2" t="s">
        <v>659</v>
      </c>
      <c r="B526" s="2" t="s">
        <v>657</v>
      </c>
      <c r="C526" s="6" t="s">
        <v>658</v>
      </c>
      <c r="D526" s="1">
        <v>45532</v>
      </c>
      <c r="E526" s="4">
        <v>495.72</v>
      </c>
      <c r="F526" s="3">
        <v>2</v>
      </c>
      <c r="G526" s="6" t="s">
        <v>15</v>
      </c>
    </row>
    <row r="527" spans="1:7" x14ac:dyDescent="0.3">
      <c r="A527" s="2" t="s">
        <v>660</v>
      </c>
      <c r="B527" s="2" t="s">
        <v>657</v>
      </c>
      <c r="C527" s="6" t="s">
        <v>658</v>
      </c>
      <c r="D527" s="1">
        <v>45604</v>
      </c>
      <c r="E527" s="4">
        <v>305.58</v>
      </c>
      <c r="F527" s="3">
        <v>2</v>
      </c>
      <c r="G527" s="6" t="s">
        <v>18</v>
      </c>
    </row>
    <row r="528" spans="1:7" x14ac:dyDescent="0.3">
      <c r="A528" s="2" t="s">
        <v>661</v>
      </c>
      <c r="B528" s="2" t="s">
        <v>662</v>
      </c>
      <c r="C528" s="6" t="s">
        <v>663</v>
      </c>
      <c r="D528" s="1">
        <v>45042</v>
      </c>
      <c r="E528" s="4">
        <v>51.97</v>
      </c>
      <c r="F528" s="3">
        <v>4</v>
      </c>
      <c r="G528" s="6" t="s">
        <v>38</v>
      </c>
    </row>
    <row r="529" spans="1:7" x14ac:dyDescent="0.3">
      <c r="A529" s="2" t="s">
        <v>664</v>
      </c>
      <c r="B529" s="2" t="s">
        <v>662</v>
      </c>
      <c r="C529" s="6" t="s">
        <v>663</v>
      </c>
      <c r="D529" s="1">
        <v>45079</v>
      </c>
      <c r="E529" s="4">
        <v>168.45</v>
      </c>
      <c r="F529" s="3">
        <v>2</v>
      </c>
      <c r="G529" s="6" t="s">
        <v>12</v>
      </c>
    </row>
    <row r="530" spans="1:7" x14ac:dyDescent="0.3">
      <c r="A530" s="2" t="s">
        <v>665</v>
      </c>
      <c r="B530" s="2" t="s">
        <v>662</v>
      </c>
      <c r="C530" s="6" t="s">
        <v>663</v>
      </c>
      <c r="D530" s="1">
        <v>45431</v>
      </c>
      <c r="E530" s="4">
        <v>312.41000000000003</v>
      </c>
      <c r="F530" s="3">
        <v>1</v>
      </c>
      <c r="G530" s="6" t="s">
        <v>10</v>
      </c>
    </row>
    <row r="531" spans="1:7" x14ac:dyDescent="0.3">
      <c r="A531" s="2" t="s">
        <v>666</v>
      </c>
      <c r="B531" s="2" t="s">
        <v>662</v>
      </c>
      <c r="C531" s="6" t="s">
        <v>663</v>
      </c>
      <c r="D531" s="1">
        <v>45648</v>
      </c>
      <c r="E531" s="4">
        <v>338.11</v>
      </c>
      <c r="F531" s="3">
        <v>3</v>
      </c>
      <c r="G531" s="6" t="s">
        <v>15</v>
      </c>
    </row>
    <row r="532" spans="1:7" x14ac:dyDescent="0.3">
      <c r="A532" s="2" t="s">
        <v>667</v>
      </c>
      <c r="B532" s="2" t="s">
        <v>662</v>
      </c>
      <c r="C532" s="6" t="s">
        <v>663</v>
      </c>
      <c r="D532" s="1">
        <v>45166</v>
      </c>
      <c r="E532" s="4">
        <v>274.61</v>
      </c>
      <c r="F532" s="3">
        <v>4</v>
      </c>
      <c r="G532" s="6" t="s">
        <v>18</v>
      </c>
    </row>
    <row r="533" spans="1:7" x14ac:dyDescent="0.3">
      <c r="A533" s="2" t="s">
        <v>668</v>
      </c>
      <c r="B533" s="2" t="s">
        <v>662</v>
      </c>
      <c r="C533" s="6" t="s">
        <v>663</v>
      </c>
      <c r="D533" s="1">
        <v>45568</v>
      </c>
      <c r="E533" s="4">
        <v>343.26</v>
      </c>
      <c r="F533" s="3">
        <v>1</v>
      </c>
      <c r="G533" s="6" t="s">
        <v>15</v>
      </c>
    </row>
    <row r="534" spans="1:7" x14ac:dyDescent="0.3">
      <c r="A534" s="2" t="s">
        <v>669</v>
      </c>
      <c r="B534" s="2" t="s">
        <v>662</v>
      </c>
      <c r="C534" s="6" t="s">
        <v>663</v>
      </c>
      <c r="D534" s="1">
        <v>45064</v>
      </c>
      <c r="E534" s="4">
        <v>173.17</v>
      </c>
      <c r="F534" s="3">
        <v>2</v>
      </c>
      <c r="G534" s="6" t="s">
        <v>18</v>
      </c>
    </row>
    <row r="535" spans="1:7" x14ac:dyDescent="0.3">
      <c r="A535" s="2" t="s">
        <v>670</v>
      </c>
      <c r="B535" s="2" t="s">
        <v>671</v>
      </c>
      <c r="C535" s="6" t="s">
        <v>672</v>
      </c>
      <c r="D535" s="1">
        <v>45457</v>
      </c>
      <c r="E535" s="4">
        <v>187.84</v>
      </c>
      <c r="F535" s="3">
        <v>2</v>
      </c>
      <c r="G535" s="6" t="s">
        <v>12</v>
      </c>
    </row>
    <row r="536" spans="1:7" x14ac:dyDescent="0.3">
      <c r="A536" s="2" t="s">
        <v>673</v>
      </c>
      <c r="B536" s="2" t="s">
        <v>671</v>
      </c>
      <c r="C536" s="6" t="s">
        <v>672</v>
      </c>
      <c r="D536" s="1">
        <v>45485</v>
      </c>
      <c r="E536" s="4">
        <v>173.45</v>
      </c>
      <c r="F536" s="3">
        <v>4</v>
      </c>
      <c r="G536" s="6" t="s">
        <v>18</v>
      </c>
    </row>
    <row r="537" spans="1:7" x14ac:dyDescent="0.3">
      <c r="A537" s="2" t="s">
        <v>674</v>
      </c>
      <c r="B537" s="2" t="s">
        <v>671</v>
      </c>
      <c r="C537" s="6" t="s">
        <v>672</v>
      </c>
      <c r="D537" s="1">
        <v>45641</v>
      </c>
      <c r="E537" s="4">
        <v>479.24</v>
      </c>
      <c r="F537" s="3">
        <v>1</v>
      </c>
      <c r="G537" s="6" t="s">
        <v>10</v>
      </c>
    </row>
    <row r="538" spans="1:7" x14ac:dyDescent="0.3">
      <c r="A538" s="2" t="s">
        <v>675</v>
      </c>
      <c r="B538" s="2" t="s">
        <v>671</v>
      </c>
      <c r="C538" s="6" t="s">
        <v>672</v>
      </c>
      <c r="D538" s="1">
        <v>45486</v>
      </c>
      <c r="E538" s="4">
        <v>379.87</v>
      </c>
      <c r="F538" s="3">
        <v>2</v>
      </c>
      <c r="G538" s="6" t="s">
        <v>26</v>
      </c>
    </row>
    <row r="539" spans="1:7" x14ac:dyDescent="0.3">
      <c r="A539" s="2" t="s">
        <v>676</v>
      </c>
      <c r="B539" s="2" t="s">
        <v>671</v>
      </c>
      <c r="C539" s="6" t="s">
        <v>672</v>
      </c>
      <c r="D539" s="1">
        <v>45613</v>
      </c>
      <c r="E539" s="4">
        <v>230.68</v>
      </c>
      <c r="F539" s="3">
        <v>1</v>
      </c>
      <c r="G539" s="6" t="s">
        <v>15</v>
      </c>
    </row>
    <row r="540" spans="1:7" x14ac:dyDescent="0.3">
      <c r="A540" s="2" t="s">
        <v>677</v>
      </c>
      <c r="B540" s="2" t="s">
        <v>671</v>
      </c>
      <c r="C540" s="6" t="s">
        <v>672</v>
      </c>
      <c r="D540" s="1">
        <v>45599</v>
      </c>
      <c r="E540" s="4">
        <v>335.81</v>
      </c>
      <c r="F540" s="3">
        <v>3</v>
      </c>
      <c r="G540" s="6" t="s">
        <v>15</v>
      </c>
    </row>
    <row r="541" spans="1:7" x14ac:dyDescent="0.3">
      <c r="A541" s="2" t="s">
        <v>678</v>
      </c>
      <c r="B541" s="2" t="s">
        <v>671</v>
      </c>
      <c r="C541" s="6" t="s">
        <v>672</v>
      </c>
      <c r="D541" s="1">
        <v>45599</v>
      </c>
      <c r="E541" s="4">
        <v>197.44</v>
      </c>
      <c r="F541" s="3">
        <v>3</v>
      </c>
      <c r="G541" s="6" t="s">
        <v>15</v>
      </c>
    </row>
    <row r="542" spans="1:7" x14ac:dyDescent="0.3">
      <c r="A542" s="2" t="s">
        <v>679</v>
      </c>
      <c r="B542" s="2" t="s">
        <v>680</v>
      </c>
      <c r="C542" s="6" t="s">
        <v>681</v>
      </c>
      <c r="D542" s="1">
        <v>45514</v>
      </c>
      <c r="E542" s="4">
        <v>371.22</v>
      </c>
      <c r="F542" s="3">
        <v>1</v>
      </c>
      <c r="G542" s="6" t="s">
        <v>15</v>
      </c>
    </row>
    <row r="543" spans="1:7" x14ac:dyDescent="0.3">
      <c r="A543" s="2" t="s">
        <v>682</v>
      </c>
      <c r="B543" s="2" t="s">
        <v>680</v>
      </c>
      <c r="C543" s="6" t="s">
        <v>681</v>
      </c>
      <c r="D543" s="1">
        <v>45630</v>
      </c>
      <c r="E543" s="4">
        <v>339.06</v>
      </c>
      <c r="F543" s="3">
        <v>2</v>
      </c>
      <c r="G543" s="6" t="s">
        <v>15</v>
      </c>
    </row>
    <row r="544" spans="1:7" x14ac:dyDescent="0.3">
      <c r="A544" s="2" t="s">
        <v>683</v>
      </c>
      <c r="B544" s="2" t="s">
        <v>680</v>
      </c>
      <c r="C544" s="6" t="s">
        <v>681</v>
      </c>
      <c r="D544" s="1">
        <v>45403</v>
      </c>
      <c r="E544" s="4">
        <v>53.67</v>
      </c>
      <c r="F544" s="3">
        <v>1</v>
      </c>
      <c r="G544" s="6" t="s">
        <v>38</v>
      </c>
    </row>
    <row r="545" spans="1:7" x14ac:dyDescent="0.3">
      <c r="A545" s="2" t="s">
        <v>684</v>
      </c>
      <c r="B545" s="2" t="s">
        <v>680</v>
      </c>
      <c r="C545" s="6" t="s">
        <v>681</v>
      </c>
      <c r="D545" s="1">
        <v>45457</v>
      </c>
      <c r="E545" s="4">
        <v>393.19</v>
      </c>
      <c r="F545" s="3">
        <v>1</v>
      </c>
      <c r="G545" s="6" t="s">
        <v>26</v>
      </c>
    </row>
    <row r="546" spans="1:7" x14ac:dyDescent="0.3">
      <c r="A546" s="2" t="s">
        <v>685</v>
      </c>
      <c r="B546" s="2" t="s">
        <v>680</v>
      </c>
      <c r="C546" s="6" t="s">
        <v>681</v>
      </c>
      <c r="D546" s="1">
        <v>45651</v>
      </c>
      <c r="E546" s="4">
        <v>67.650000000000006</v>
      </c>
      <c r="F546" s="3">
        <v>1</v>
      </c>
      <c r="G546" s="6" t="s">
        <v>26</v>
      </c>
    </row>
    <row r="547" spans="1:7" x14ac:dyDescent="0.3">
      <c r="A547" s="2" t="s">
        <v>686</v>
      </c>
      <c r="B547" s="2" t="s">
        <v>680</v>
      </c>
      <c r="C547" s="6" t="s">
        <v>681</v>
      </c>
      <c r="D547" s="1">
        <v>45575</v>
      </c>
      <c r="E547" s="4">
        <v>196.65</v>
      </c>
      <c r="F547" s="3">
        <v>3</v>
      </c>
      <c r="G547" s="6" t="s">
        <v>26</v>
      </c>
    </row>
    <row r="548" spans="1:7" x14ac:dyDescent="0.3">
      <c r="A548" s="2" t="s">
        <v>687</v>
      </c>
      <c r="B548" s="2" t="s">
        <v>680</v>
      </c>
      <c r="C548" s="6" t="s">
        <v>681</v>
      </c>
      <c r="D548" s="1">
        <v>45446</v>
      </c>
      <c r="E548" s="4">
        <v>159.71</v>
      </c>
      <c r="F548" s="3">
        <v>2</v>
      </c>
      <c r="G548" s="6" t="s">
        <v>15</v>
      </c>
    </row>
    <row r="549" spans="1:7" x14ac:dyDescent="0.3">
      <c r="A549" s="2" t="s">
        <v>688</v>
      </c>
      <c r="B549" s="2" t="s">
        <v>680</v>
      </c>
      <c r="C549" s="6" t="s">
        <v>681</v>
      </c>
      <c r="D549" s="1">
        <v>45404</v>
      </c>
      <c r="E549" s="4">
        <v>471.77</v>
      </c>
      <c r="F549" s="3">
        <v>3</v>
      </c>
      <c r="G549" s="6" t="s">
        <v>26</v>
      </c>
    </row>
    <row r="550" spans="1:7" x14ac:dyDescent="0.3">
      <c r="A550" s="2" t="s">
        <v>689</v>
      </c>
      <c r="B550" s="2" t="s">
        <v>690</v>
      </c>
      <c r="C550" s="6" t="s">
        <v>691</v>
      </c>
      <c r="D550" s="1">
        <v>45614</v>
      </c>
      <c r="E550" s="4">
        <v>253.51</v>
      </c>
      <c r="F550" s="3">
        <v>4</v>
      </c>
      <c r="G550" s="6" t="s">
        <v>18</v>
      </c>
    </row>
    <row r="551" spans="1:7" x14ac:dyDescent="0.3">
      <c r="A551" s="2" t="s">
        <v>692</v>
      </c>
      <c r="B551" s="2" t="s">
        <v>690</v>
      </c>
      <c r="C551" s="6" t="s">
        <v>691</v>
      </c>
      <c r="D551" s="1">
        <v>45309</v>
      </c>
      <c r="E551" s="4">
        <v>201.61</v>
      </c>
      <c r="F551" s="3">
        <v>3</v>
      </c>
      <c r="G551" s="6" t="s">
        <v>15</v>
      </c>
    </row>
    <row r="552" spans="1:7" x14ac:dyDescent="0.3">
      <c r="A552" s="2" t="s">
        <v>693</v>
      </c>
      <c r="B552" s="2" t="s">
        <v>690</v>
      </c>
      <c r="C552" s="6" t="s">
        <v>691</v>
      </c>
      <c r="D552" s="1">
        <v>45257</v>
      </c>
      <c r="E552" s="4">
        <v>67.02</v>
      </c>
      <c r="F552" s="3">
        <v>1</v>
      </c>
      <c r="G552" s="6" t="s">
        <v>26</v>
      </c>
    </row>
    <row r="553" spans="1:7" x14ac:dyDescent="0.3">
      <c r="A553" s="2" t="s">
        <v>694</v>
      </c>
      <c r="B553" s="2" t="s">
        <v>690</v>
      </c>
      <c r="C553" s="6" t="s">
        <v>691</v>
      </c>
      <c r="D553" s="1">
        <v>45499</v>
      </c>
      <c r="E553" s="4">
        <v>340.41</v>
      </c>
      <c r="F553" s="3">
        <v>2</v>
      </c>
      <c r="G553" s="6" t="s">
        <v>26</v>
      </c>
    </row>
    <row r="554" spans="1:7" x14ac:dyDescent="0.3">
      <c r="A554" s="2" t="s">
        <v>695</v>
      </c>
      <c r="B554" s="2" t="s">
        <v>690</v>
      </c>
      <c r="C554" s="6" t="s">
        <v>691</v>
      </c>
      <c r="D554" s="1">
        <v>45342</v>
      </c>
      <c r="E554" s="4">
        <v>79.23</v>
      </c>
      <c r="F554" s="3">
        <v>2</v>
      </c>
      <c r="G554" s="6" t="s">
        <v>15</v>
      </c>
    </row>
    <row r="555" spans="1:7" x14ac:dyDescent="0.3">
      <c r="A555" s="2" t="s">
        <v>696</v>
      </c>
      <c r="B555" s="2" t="s">
        <v>690</v>
      </c>
      <c r="C555" s="6" t="s">
        <v>691</v>
      </c>
      <c r="D555" s="1">
        <v>45281</v>
      </c>
      <c r="E555" s="4">
        <v>168.04</v>
      </c>
      <c r="F555" s="3">
        <v>2</v>
      </c>
      <c r="G555" s="6" t="s">
        <v>12</v>
      </c>
    </row>
    <row r="556" spans="1:7" x14ac:dyDescent="0.3">
      <c r="A556" s="2" t="s">
        <v>697</v>
      </c>
      <c r="B556" s="2" t="s">
        <v>698</v>
      </c>
      <c r="C556" s="6" t="s">
        <v>699</v>
      </c>
      <c r="D556" s="1">
        <v>45517</v>
      </c>
      <c r="E556" s="4">
        <v>290.79000000000002</v>
      </c>
      <c r="F556" s="3">
        <v>1</v>
      </c>
      <c r="G556" s="6" t="s">
        <v>26</v>
      </c>
    </row>
    <row r="557" spans="1:7" x14ac:dyDescent="0.3">
      <c r="A557" s="2" t="s">
        <v>700</v>
      </c>
      <c r="B557" s="2" t="s">
        <v>698</v>
      </c>
      <c r="C557" s="6" t="s">
        <v>699</v>
      </c>
      <c r="D557" s="1">
        <v>45522</v>
      </c>
      <c r="E557" s="4">
        <v>244.88</v>
      </c>
      <c r="F557" s="3">
        <v>4</v>
      </c>
      <c r="G557" s="6" t="s">
        <v>38</v>
      </c>
    </row>
    <row r="558" spans="1:7" x14ac:dyDescent="0.3">
      <c r="A558" s="2" t="s">
        <v>701</v>
      </c>
      <c r="B558" s="2" t="s">
        <v>698</v>
      </c>
      <c r="C558" s="6" t="s">
        <v>699</v>
      </c>
      <c r="D558" s="1">
        <v>45592</v>
      </c>
      <c r="E558" s="4">
        <v>248.66</v>
      </c>
      <c r="F558" s="3">
        <v>4</v>
      </c>
      <c r="G558" s="6" t="s">
        <v>18</v>
      </c>
    </row>
    <row r="559" spans="1:7" x14ac:dyDescent="0.3">
      <c r="A559" s="2" t="s">
        <v>702</v>
      </c>
      <c r="B559" s="2" t="s">
        <v>698</v>
      </c>
      <c r="C559" s="6" t="s">
        <v>699</v>
      </c>
      <c r="D559" s="1">
        <v>45551</v>
      </c>
      <c r="E559" s="4">
        <v>416.37</v>
      </c>
      <c r="F559" s="3">
        <v>3</v>
      </c>
      <c r="G559" s="6" t="s">
        <v>15</v>
      </c>
    </row>
    <row r="560" spans="1:7" x14ac:dyDescent="0.3">
      <c r="A560" s="2" t="s">
        <v>703</v>
      </c>
      <c r="B560" s="2" t="s">
        <v>698</v>
      </c>
      <c r="C560" s="6" t="s">
        <v>699</v>
      </c>
      <c r="D560" s="1">
        <v>45631</v>
      </c>
      <c r="E560" s="4">
        <v>81.72</v>
      </c>
      <c r="F560" s="3">
        <v>2</v>
      </c>
      <c r="G560" s="6" t="s">
        <v>10</v>
      </c>
    </row>
    <row r="561" spans="1:7" x14ac:dyDescent="0.3">
      <c r="A561" s="2" t="s">
        <v>704</v>
      </c>
      <c r="B561" s="2" t="s">
        <v>698</v>
      </c>
      <c r="C561" s="6" t="s">
        <v>699</v>
      </c>
      <c r="D561" s="1">
        <v>45633</v>
      </c>
      <c r="E561" s="4">
        <v>244.33</v>
      </c>
      <c r="F561" s="3">
        <v>1</v>
      </c>
      <c r="G561" s="6" t="s">
        <v>15</v>
      </c>
    </row>
    <row r="562" spans="1:7" x14ac:dyDescent="0.3">
      <c r="A562" s="2" t="s">
        <v>705</v>
      </c>
      <c r="B562" s="2" t="s">
        <v>698</v>
      </c>
      <c r="C562" s="6" t="s">
        <v>699</v>
      </c>
      <c r="D562" s="1">
        <v>45576</v>
      </c>
      <c r="E562" s="4">
        <v>481.93</v>
      </c>
      <c r="F562" s="3">
        <v>4</v>
      </c>
      <c r="G562" s="6" t="s">
        <v>15</v>
      </c>
    </row>
    <row r="563" spans="1:7" x14ac:dyDescent="0.3">
      <c r="A563" s="2" t="s">
        <v>706</v>
      </c>
      <c r="B563" s="2" t="s">
        <v>698</v>
      </c>
      <c r="C563" s="6" t="s">
        <v>699</v>
      </c>
      <c r="D563" s="1">
        <v>45529</v>
      </c>
      <c r="E563" s="4">
        <v>69.8</v>
      </c>
      <c r="F563" s="3">
        <v>1</v>
      </c>
      <c r="G563" s="6" t="s">
        <v>15</v>
      </c>
    </row>
    <row r="564" spans="1:7" x14ac:dyDescent="0.3">
      <c r="A564" s="2" t="s">
        <v>707</v>
      </c>
      <c r="B564" s="2" t="s">
        <v>698</v>
      </c>
      <c r="C564" s="6" t="s">
        <v>699</v>
      </c>
      <c r="D564" s="1">
        <v>45528</v>
      </c>
      <c r="E564" s="4">
        <v>258.01</v>
      </c>
      <c r="F564" s="3">
        <v>1</v>
      </c>
      <c r="G564" s="6" t="s">
        <v>26</v>
      </c>
    </row>
    <row r="565" spans="1:7" x14ac:dyDescent="0.3">
      <c r="A565" s="2" t="s">
        <v>708</v>
      </c>
      <c r="B565" s="2" t="s">
        <v>698</v>
      </c>
      <c r="C565" s="6" t="s">
        <v>699</v>
      </c>
      <c r="D565" s="1">
        <v>45557</v>
      </c>
      <c r="E565" s="4">
        <v>427.21</v>
      </c>
      <c r="F565" s="3">
        <v>3</v>
      </c>
      <c r="G565" s="6" t="s">
        <v>10</v>
      </c>
    </row>
    <row r="566" spans="1:7" x14ac:dyDescent="0.3">
      <c r="A566" s="2" t="s">
        <v>709</v>
      </c>
      <c r="B566" s="2" t="s">
        <v>698</v>
      </c>
      <c r="C566" s="6" t="s">
        <v>699</v>
      </c>
      <c r="D566" s="1">
        <v>45627</v>
      </c>
      <c r="E566" s="4">
        <v>328.6</v>
      </c>
      <c r="F566" s="3">
        <v>3</v>
      </c>
      <c r="G566" s="6" t="s">
        <v>12</v>
      </c>
    </row>
    <row r="567" spans="1:7" x14ac:dyDescent="0.3">
      <c r="A567" s="2" t="s">
        <v>710</v>
      </c>
      <c r="B567" s="2" t="s">
        <v>711</v>
      </c>
      <c r="C567" s="6" t="s">
        <v>712</v>
      </c>
      <c r="D567" s="1">
        <v>45577</v>
      </c>
      <c r="E567" s="4">
        <v>103.97</v>
      </c>
      <c r="F567" s="3">
        <v>2</v>
      </c>
      <c r="G567" s="6" t="s">
        <v>38</v>
      </c>
    </row>
    <row r="568" spans="1:7" x14ac:dyDescent="0.3">
      <c r="A568" s="2" t="s">
        <v>713</v>
      </c>
      <c r="B568" s="2" t="s">
        <v>711</v>
      </c>
      <c r="C568" s="6" t="s">
        <v>712</v>
      </c>
      <c r="D568" s="1">
        <v>45492</v>
      </c>
      <c r="E568" s="4">
        <v>497.48</v>
      </c>
      <c r="F568" s="3">
        <v>3</v>
      </c>
      <c r="G568" s="6" t="s">
        <v>10</v>
      </c>
    </row>
    <row r="569" spans="1:7" x14ac:dyDescent="0.3">
      <c r="A569" s="2" t="s">
        <v>714</v>
      </c>
      <c r="B569" s="2" t="s">
        <v>711</v>
      </c>
      <c r="C569" s="6" t="s">
        <v>712</v>
      </c>
      <c r="D569" s="1">
        <v>45166</v>
      </c>
      <c r="E569" s="4">
        <v>155.69999999999999</v>
      </c>
      <c r="F569" s="3">
        <v>1</v>
      </c>
      <c r="G569" s="6" t="s">
        <v>12</v>
      </c>
    </row>
    <row r="570" spans="1:7" x14ac:dyDescent="0.3">
      <c r="A570" s="2" t="s">
        <v>715</v>
      </c>
      <c r="B570" s="2" t="s">
        <v>716</v>
      </c>
      <c r="C570" s="6" t="s">
        <v>717</v>
      </c>
      <c r="D570" s="1">
        <v>45551</v>
      </c>
      <c r="E570" s="4">
        <v>393.52</v>
      </c>
      <c r="F570" s="3">
        <v>3</v>
      </c>
      <c r="G570" s="6" t="s">
        <v>18</v>
      </c>
    </row>
    <row r="571" spans="1:7" x14ac:dyDescent="0.3">
      <c r="A571" s="2" t="s">
        <v>718</v>
      </c>
      <c r="B571" s="2" t="s">
        <v>716</v>
      </c>
      <c r="C571" s="6" t="s">
        <v>717</v>
      </c>
      <c r="D571" s="1">
        <v>45485</v>
      </c>
      <c r="E571" s="4">
        <v>349.16</v>
      </c>
      <c r="F571" s="3">
        <v>1</v>
      </c>
      <c r="G571" s="6" t="s">
        <v>15</v>
      </c>
    </row>
    <row r="572" spans="1:7" x14ac:dyDescent="0.3">
      <c r="A572" s="2" t="s">
        <v>719</v>
      </c>
      <c r="B572" s="2" t="s">
        <v>716</v>
      </c>
      <c r="C572" s="6" t="s">
        <v>717</v>
      </c>
      <c r="D572" s="1">
        <v>45482</v>
      </c>
      <c r="E572" s="4">
        <v>320.26</v>
      </c>
      <c r="F572" s="3">
        <v>1</v>
      </c>
      <c r="G572" s="6" t="s">
        <v>38</v>
      </c>
    </row>
    <row r="573" spans="1:7" x14ac:dyDescent="0.3">
      <c r="A573" s="2" t="s">
        <v>720</v>
      </c>
      <c r="B573" s="2" t="s">
        <v>721</v>
      </c>
      <c r="C573" s="6" t="s">
        <v>722</v>
      </c>
      <c r="D573" s="1">
        <v>45555</v>
      </c>
      <c r="E573" s="4">
        <v>95.14</v>
      </c>
      <c r="F573" s="3">
        <v>4</v>
      </c>
      <c r="G573" s="6" t="s">
        <v>15</v>
      </c>
    </row>
    <row r="574" spans="1:7" x14ac:dyDescent="0.3">
      <c r="A574" s="2" t="s">
        <v>723</v>
      </c>
      <c r="B574" s="2" t="s">
        <v>721</v>
      </c>
      <c r="C574" s="6" t="s">
        <v>722</v>
      </c>
      <c r="D574" s="1">
        <v>45478</v>
      </c>
      <c r="E574" s="4">
        <v>364.92</v>
      </c>
      <c r="F574" s="3">
        <v>4</v>
      </c>
      <c r="G574" s="6" t="s">
        <v>10</v>
      </c>
    </row>
    <row r="575" spans="1:7" x14ac:dyDescent="0.3">
      <c r="A575" s="2" t="s">
        <v>724</v>
      </c>
      <c r="B575" s="2" t="s">
        <v>721</v>
      </c>
      <c r="C575" s="6" t="s">
        <v>722</v>
      </c>
      <c r="D575" s="1">
        <v>45438</v>
      </c>
      <c r="E575" s="4">
        <v>230.39</v>
      </c>
      <c r="F575" s="3">
        <v>3</v>
      </c>
      <c r="G575" s="6" t="s">
        <v>10</v>
      </c>
    </row>
    <row r="576" spans="1:7" x14ac:dyDescent="0.3">
      <c r="A576" s="2" t="s">
        <v>725</v>
      </c>
      <c r="B576" s="2" t="s">
        <v>721</v>
      </c>
      <c r="C576" s="6" t="s">
        <v>722</v>
      </c>
      <c r="D576" s="1">
        <v>45254</v>
      </c>
      <c r="E576" s="4">
        <v>267.5</v>
      </c>
      <c r="F576" s="3">
        <v>2</v>
      </c>
      <c r="G576" s="6" t="s">
        <v>18</v>
      </c>
    </row>
    <row r="577" spans="1:7" x14ac:dyDescent="0.3">
      <c r="A577" s="2" t="s">
        <v>726</v>
      </c>
      <c r="B577" s="2" t="s">
        <v>721</v>
      </c>
      <c r="C577" s="6" t="s">
        <v>722</v>
      </c>
      <c r="D577" s="1">
        <v>45476</v>
      </c>
      <c r="E577" s="4">
        <v>199.67</v>
      </c>
      <c r="F577" s="3">
        <v>2</v>
      </c>
      <c r="G577" s="6" t="s">
        <v>10</v>
      </c>
    </row>
    <row r="578" spans="1:7" x14ac:dyDescent="0.3">
      <c r="A578" s="2" t="s">
        <v>727</v>
      </c>
      <c r="B578" s="2" t="s">
        <v>721</v>
      </c>
      <c r="C578" s="6" t="s">
        <v>722</v>
      </c>
      <c r="D578" s="1">
        <v>45430</v>
      </c>
      <c r="E578" s="4">
        <v>213.92</v>
      </c>
      <c r="F578" s="3">
        <v>1</v>
      </c>
      <c r="G578" s="6" t="s">
        <v>12</v>
      </c>
    </row>
    <row r="579" spans="1:7" x14ac:dyDescent="0.3">
      <c r="A579" s="2" t="s">
        <v>728</v>
      </c>
      <c r="B579" s="2" t="s">
        <v>721</v>
      </c>
      <c r="C579" s="6" t="s">
        <v>722</v>
      </c>
      <c r="D579" s="1">
        <v>45493</v>
      </c>
      <c r="E579" s="4">
        <v>397.27</v>
      </c>
      <c r="F579" s="3">
        <v>2</v>
      </c>
      <c r="G579" s="6" t="s">
        <v>10</v>
      </c>
    </row>
    <row r="580" spans="1:7" x14ac:dyDescent="0.3">
      <c r="A580" s="2" t="s">
        <v>729</v>
      </c>
      <c r="B580" s="2" t="s">
        <v>730</v>
      </c>
      <c r="C580" s="6" t="s">
        <v>731</v>
      </c>
      <c r="D580" s="1">
        <v>45593</v>
      </c>
      <c r="E580" s="4">
        <v>115.45</v>
      </c>
      <c r="F580" s="3">
        <v>2</v>
      </c>
      <c r="G580" s="6" t="s">
        <v>10</v>
      </c>
    </row>
    <row r="581" spans="1:7" x14ac:dyDescent="0.3">
      <c r="A581" s="2" t="s">
        <v>732</v>
      </c>
      <c r="B581" s="2" t="s">
        <v>730</v>
      </c>
      <c r="C581" s="6" t="s">
        <v>731</v>
      </c>
      <c r="D581" s="1">
        <v>45446</v>
      </c>
      <c r="E581" s="4">
        <v>318.36</v>
      </c>
      <c r="F581" s="3">
        <v>2</v>
      </c>
      <c r="G581" s="6" t="s">
        <v>10</v>
      </c>
    </row>
    <row r="582" spans="1:7" x14ac:dyDescent="0.3">
      <c r="A582" s="2" t="s">
        <v>733</v>
      </c>
      <c r="B582" s="2" t="s">
        <v>730</v>
      </c>
      <c r="C582" s="6" t="s">
        <v>731</v>
      </c>
      <c r="D582" s="1">
        <v>45377</v>
      </c>
      <c r="E582" s="4">
        <v>30.89</v>
      </c>
      <c r="F582" s="3">
        <v>3</v>
      </c>
      <c r="G582" s="6" t="s">
        <v>38</v>
      </c>
    </row>
    <row r="583" spans="1:7" x14ac:dyDescent="0.3">
      <c r="A583" s="2" t="s">
        <v>734</v>
      </c>
      <c r="B583" s="2" t="s">
        <v>730</v>
      </c>
      <c r="C583" s="6" t="s">
        <v>731</v>
      </c>
      <c r="D583" s="1">
        <v>45392</v>
      </c>
      <c r="E583" s="4">
        <v>326.58</v>
      </c>
      <c r="F583" s="3">
        <v>4</v>
      </c>
      <c r="G583" s="6" t="s">
        <v>10</v>
      </c>
    </row>
    <row r="584" spans="1:7" x14ac:dyDescent="0.3">
      <c r="A584" s="2" t="s">
        <v>735</v>
      </c>
      <c r="B584" s="2" t="s">
        <v>730</v>
      </c>
      <c r="C584" s="6" t="s">
        <v>731</v>
      </c>
      <c r="D584" s="1">
        <v>45460</v>
      </c>
      <c r="E584" s="4">
        <v>58.06</v>
      </c>
      <c r="F584" s="3">
        <v>2</v>
      </c>
      <c r="G584" s="6" t="s">
        <v>26</v>
      </c>
    </row>
    <row r="585" spans="1:7" x14ac:dyDescent="0.3">
      <c r="A585" s="2" t="s">
        <v>736</v>
      </c>
      <c r="B585" s="2" t="s">
        <v>730</v>
      </c>
      <c r="C585" s="6" t="s">
        <v>731</v>
      </c>
      <c r="D585" s="1">
        <v>45400</v>
      </c>
      <c r="E585" s="4">
        <v>433.68</v>
      </c>
      <c r="F585" s="3">
        <v>2</v>
      </c>
      <c r="G585" s="6" t="s">
        <v>15</v>
      </c>
    </row>
    <row r="586" spans="1:7" x14ac:dyDescent="0.3">
      <c r="A586" s="2" t="s">
        <v>737</v>
      </c>
      <c r="B586" s="2" t="s">
        <v>730</v>
      </c>
      <c r="C586" s="6" t="s">
        <v>731</v>
      </c>
      <c r="D586" s="1">
        <v>45436</v>
      </c>
      <c r="E586" s="4">
        <v>407.24</v>
      </c>
      <c r="F586" s="3">
        <v>4</v>
      </c>
      <c r="G586" s="6" t="s">
        <v>10</v>
      </c>
    </row>
    <row r="587" spans="1:7" x14ac:dyDescent="0.3">
      <c r="A587" s="2" t="s">
        <v>738</v>
      </c>
      <c r="B587" s="2" t="s">
        <v>739</v>
      </c>
      <c r="C587" s="6" t="s">
        <v>740</v>
      </c>
      <c r="D587" s="1">
        <v>45247</v>
      </c>
      <c r="E587" s="4">
        <v>394.66</v>
      </c>
      <c r="F587" s="3">
        <v>1</v>
      </c>
      <c r="G587" s="6" t="s">
        <v>10</v>
      </c>
    </row>
    <row r="588" spans="1:7" x14ac:dyDescent="0.3">
      <c r="A588" s="2" t="s">
        <v>741</v>
      </c>
      <c r="B588" s="2" t="s">
        <v>739</v>
      </c>
      <c r="C588" s="6" t="s">
        <v>740</v>
      </c>
      <c r="D588" s="1">
        <v>45310</v>
      </c>
      <c r="E588" s="4">
        <v>60.05</v>
      </c>
      <c r="F588" s="3">
        <v>1</v>
      </c>
      <c r="G588" s="6" t="s">
        <v>38</v>
      </c>
    </row>
    <row r="589" spans="1:7" x14ac:dyDescent="0.3">
      <c r="A589" s="2" t="s">
        <v>742</v>
      </c>
      <c r="B589" s="2" t="s">
        <v>739</v>
      </c>
      <c r="C589" s="6" t="s">
        <v>740</v>
      </c>
      <c r="D589" s="1">
        <v>45334</v>
      </c>
      <c r="E589" s="4">
        <v>406.35</v>
      </c>
      <c r="F589" s="3">
        <v>1</v>
      </c>
      <c r="G589" s="6" t="s">
        <v>10</v>
      </c>
    </row>
    <row r="590" spans="1:7" x14ac:dyDescent="0.3">
      <c r="A590" s="2" t="s">
        <v>743</v>
      </c>
      <c r="B590" s="2" t="s">
        <v>739</v>
      </c>
      <c r="C590" s="6" t="s">
        <v>740</v>
      </c>
      <c r="D590" s="1">
        <v>45215</v>
      </c>
      <c r="E590" s="4">
        <v>465.86</v>
      </c>
      <c r="F590" s="3">
        <v>4</v>
      </c>
      <c r="G590" s="6" t="s">
        <v>15</v>
      </c>
    </row>
    <row r="591" spans="1:7" x14ac:dyDescent="0.3">
      <c r="A591" s="2" t="s">
        <v>744</v>
      </c>
      <c r="B591" s="2" t="s">
        <v>739</v>
      </c>
      <c r="C591" s="6" t="s">
        <v>740</v>
      </c>
      <c r="D591" s="1">
        <v>45482</v>
      </c>
      <c r="E591" s="4">
        <v>414.31</v>
      </c>
      <c r="F591" s="3">
        <v>4</v>
      </c>
      <c r="G591" s="6" t="s">
        <v>26</v>
      </c>
    </row>
    <row r="592" spans="1:7" x14ac:dyDescent="0.3">
      <c r="A592" s="2" t="s">
        <v>745</v>
      </c>
      <c r="B592" s="2" t="s">
        <v>739</v>
      </c>
      <c r="C592" s="6" t="s">
        <v>740</v>
      </c>
      <c r="D592" s="1">
        <v>45648</v>
      </c>
      <c r="E592" s="4">
        <v>230.56</v>
      </c>
      <c r="F592" s="3">
        <v>3</v>
      </c>
      <c r="G592" s="6" t="s">
        <v>38</v>
      </c>
    </row>
    <row r="593" spans="1:7" x14ac:dyDescent="0.3">
      <c r="A593" s="2" t="s">
        <v>746</v>
      </c>
      <c r="B593" s="2" t="s">
        <v>739</v>
      </c>
      <c r="C593" s="6" t="s">
        <v>740</v>
      </c>
      <c r="D593" s="1">
        <v>45606</v>
      </c>
      <c r="E593" s="4">
        <v>42.66</v>
      </c>
      <c r="F593" s="3">
        <v>3</v>
      </c>
      <c r="G593" s="6" t="s">
        <v>10</v>
      </c>
    </row>
    <row r="594" spans="1:7" x14ac:dyDescent="0.3">
      <c r="A594" s="2" t="s">
        <v>747</v>
      </c>
      <c r="B594" s="2" t="s">
        <v>739</v>
      </c>
      <c r="C594" s="6" t="s">
        <v>740</v>
      </c>
      <c r="D594" s="1">
        <v>45274</v>
      </c>
      <c r="E594" s="4">
        <v>371.34</v>
      </c>
      <c r="F594" s="3">
        <v>3</v>
      </c>
      <c r="G594" s="6" t="s">
        <v>38</v>
      </c>
    </row>
    <row r="595" spans="1:7" x14ac:dyDescent="0.3">
      <c r="A595" s="2" t="s">
        <v>748</v>
      </c>
      <c r="B595" s="2" t="s">
        <v>739</v>
      </c>
      <c r="C595" s="6" t="s">
        <v>740</v>
      </c>
      <c r="D595" s="1">
        <v>45306</v>
      </c>
      <c r="E595" s="4">
        <v>33.44</v>
      </c>
      <c r="F595" s="3">
        <v>3</v>
      </c>
      <c r="G595" s="6" t="s">
        <v>38</v>
      </c>
    </row>
    <row r="596" spans="1:7" x14ac:dyDescent="0.3">
      <c r="A596" s="2" t="s">
        <v>749</v>
      </c>
      <c r="B596" s="2" t="s">
        <v>739</v>
      </c>
      <c r="C596" s="6" t="s">
        <v>740</v>
      </c>
      <c r="D596" s="1">
        <v>45248</v>
      </c>
      <c r="E596" s="4">
        <v>332.93</v>
      </c>
      <c r="F596" s="3">
        <v>4</v>
      </c>
      <c r="G596" s="6" t="s">
        <v>12</v>
      </c>
    </row>
    <row r="597" spans="1:7" x14ac:dyDescent="0.3">
      <c r="A597" s="2" t="s">
        <v>750</v>
      </c>
      <c r="B597" s="2" t="s">
        <v>739</v>
      </c>
      <c r="C597" s="6" t="s">
        <v>740</v>
      </c>
      <c r="D597" s="1">
        <v>45357</v>
      </c>
      <c r="E597" s="4">
        <v>27.43</v>
      </c>
      <c r="F597" s="3">
        <v>1</v>
      </c>
      <c r="G597" s="6" t="s">
        <v>15</v>
      </c>
    </row>
    <row r="598" spans="1:7" x14ac:dyDescent="0.3">
      <c r="A598" s="2" t="s">
        <v>751</v>
      </c>
      <c r="B598" s="2" t="s">
        <v>739</v>
      </c>
      <c r="C598" s="6" t="s">
        <v>740</v>
      </c>
      <c r="D598" s="1">
        <v>45437</v>
      </c>
      <c r="E598" s="4">
        <v>183.09</v>
      </c>
      <c r="F598" s="3">
        <v>4</v>
      </c>
      <c r="G598" s="6" t="s">
        <v>18</v>
      </c>
    </row>
    <row r="599" spans="1:7" x14ac:dyDescent="0.3">
      <c r="A599" s="2" t="s">
        <v>752</v>
      </c>
      <c r="B599" s="2" t="s">
        <v>739</v>
      </c>
      <c r="C599" s="6" t="s">
        <v>740</v>
      </c>
      <c r="D599" s="1">
        <v>45344</v>
      </c>
      <c r="E599" s="4">
        <v>485.67</v>
      </c>
      <c r="F599" s="3">
        <v>3</v>
      </c>
      <c r="G599" s="6" t="s">
        <v>12</v>
      </c>
    </row>
    <row r="600" spans="1:7" x14ac:dyDescent="0.3">
      <c r="A600" s="2" t="s">
        <v>753</v>
      </c>
      <c r="B600" s="2" t="s">
        <v>754</v>
      </c>
      <c r="C600" s="6" t="s">
        <v>755</v>
      </c>
      <c r="D600" s="1">
        <v>45650</v>
      </c>
      <c r="E600" s="4">
        <v>95.31</v>
      </c>
      <c r="F600" s="3">
        <v>1</v>
      </c>
      <c r="G600" s="6" t="s">
        <v>10</v>
      </c>
    </row>
    <row r="601" spans="1:7" x14ac:dyDescent="0.3">
      <c r="A601" s="2" t="s">
        <v>756</v>
      </c>
      <c r="B601" s="2" t="s">
        <v>754</v>
      </c>
      <c r="C601" s="6" t="s">
        <v>755</v>
      </c>
      <c r="D601" s="1">
        <v>45437</v>
      </c>
      <c r="E601" s="4">
        <v>416.96</v>
      </c>
      <c r="F601" s="3">
        <v>2</v>
      </c>
      <c r="G601" s="6" t="s">
        <v>26</v>
      </c>
    </row>
    <row r="602" spans="1:7" x14ac:dyDescent="0.3">
      <c r="A602" s="2" t="s">
        <v>757</v>
      </c>
      <c r="B602" s="2" t="s">
        <v>754</v>
      </c>
      <c r="C602" s="6" t="s">
        <v>755</v>
      </c>
      <c r="D602" s="1">
        <v>45455</v>
      </c>
      <c r="E602" s="4">
        <v>484.25</v>
      </c>
      <c r="F602" s="3">
        <v>1</v>
      </c>
      <c r="G602" s="6" t="s">
        <v>38</v>
      </c>
    </row>
    <row r="603" spans="1:7" x14ac:dyDescent="0.3">
      <c r="A603" s="2" t="s">
        <v>758</v>
      </c>
      <c r="B603" s="2" t="s">
        <v>759</v>
      </c>
      <c r="C603" s="6" t="s">
        <v>760</v>
      </c>
      <c r="D603" s="1">
        <v>45598</v>
      </c>
      <c r="E603" s="4">
        <v>15.11</v>
      </c>
      <c r="F603" s="3">
        <v>2</v>
      </c>
      <c r="G603" s="6" t="s">
        <v>15</v>
      </c>
    </row>
    <row r="604" spans="1:7" x14ac:dyDescent="0.3">
      <c r="A604" s="2" t="s">
        <v>761</v>
      </c>
      <c r="B604" s="2" t="s">
        <v>759</v>
      </c>
      <c r="C604" s="6" t="s">
        <v>760</v>
      </c>
      <c r="D604" s="1">
        <v>45488</v>
      </c>
      <c r="E604" s="4">
        <v>389.57</v>
      </c>
      <c r="F604" s="3">
        <v>1</v>
      </c>
      <c r="G604" s="6" t="s">
        <v>38</v>
      </c>
    </row>
    <row r="605" spans="1:7" x14ac:dyDescent="0.3">
      <c r="A605" s="2" t="s">
        <v>762</v>
      </c>
      <c r="B605" s="2" t="s">
        <v>763</v>
      </c>
      <c r="C605" s="6" t="s">
        <v>764</v>
      </c>
      <c r="D605" s="1">
        <v>45622</v>
      </c>
      <c r="E605" s="4">
        <v>167.89</v>
      </c>
      <c r="F605" s="3">
        <v>4</v>
      </c>
      <c r="G605" s="6" t="s">
        <v>15</v>
      </c>
    </row>
    <row r="606" spans="1:7" x14ac:dyDescent="0.3">
      <c r="A606" s="2" t="s">
        <v>765</v>
      </c>
      <c r="B606" s="2" t="s">
        <v>763</v>
      </c>
      <c r="C606" s="6" t="s">
        <v>764</v>
      </c>
      <c r="D606" s="1">
        <v>45599</v>
      </c>
      <c r="E606" s="4">
        <v>490.19</v>
      </c>
      <c r="F606" s="3">
        <v>1</v>
      </c>
      <c r="G606" s="6" t="s">
        <v>18</v>
      </c>
    </row>
    <row r="607" spans="1:7" x14ac:dyDescent="0.3">
      <c r="A607" s="2" t="s">
        <v>766</v>
      </c>
      <c r="B607" s="2" t="s">
        <v>763</v>
      </c>
      <c r="C607" s="6" t="s">
        <v>764</v>
      </c>
      <c r="D607" s="1">
        <v>45603</v>
      </c>
      <c r="E607" s="4">
        <v>265.18</v>
      </c>
      <c r="F607" s="3">
        <v>2</v>
      </c>
      <c r="G607" s="6" t="s">
        <v>15</v>
      </c>
    </row>
    <row r="608" spans="1:7" x14ac:dyDescent="0.3">
      <c r="A608" s="2" t="s">
        <v>767</v>
      </c>
      <c r="B608" s="2" t="s">
        <v>763</v>
      </c>
      <c r="C608" s="6" t="s">
        <v>764</v>
      </c>
      <c r="D608" s="1">
        <v>45519</v>
      </c>
      <c r="E608" s="4">
        <v>31.43</v>
      </c>
      <c r="F608" s="3">
        <v>4</v>
      </c>
      <c r="G608" s="6" t="s">
        <v>38</v>
      </c>
    </row>
    <row r="609" spans="1:7" x14ac:dyDescent="0.3">
      <c r="A609" s="2" t="s">
        <v>768</v>
      </c>
      <c r="B609" s="2" t="s">
        <v>763</v>
      </c>
      <c r="C609" s="6" t="s">
        <v>764</v>
      </c>
      <c r="D609" s="1">
        <v>45654</v>
      </c>
      <c r="E609" s="4">
        <v>120.06</v>
      </c>
      <c r="F609" s="3">
        <v>4</v>
      </c>
      <c r="G609" s="6" t="s">
        <v>38</v>
      </c>
    </row>
    <row r="610" spans="1:7" x14ac:dyDescent="0.3">
      <c r="A610" s="2" t="s">
        <v>769</v>
      </c>
      <c r="B610" s="2" t="s">
        <v>763</v>
      </c>
      <c r="C610" s="6" t="s">
        <v>764</v>
      </c>
      <c r="D610" s="1">
        <v>45567</v>
      </c>
      <c r="E610" s="4">
        <v>279.55</v>
      </c>
      <c r="F610" s="3">
        <v>1</v>
      </c>
      <c r="G610" s="6" t="s">
        <v>26</v>
      </c>
    </row>
    <row r="611" spans="1:7" x14ac:dyDescent="0.3">
      <c r="A611" s="2" t="s">
        <v>770</v>
      </c>
      <c r="B611" s="2" t="s">
        <v>763</v>
      </c>
      <c r="C611" s="6" t="s">
        <v>764</v>
      </c>
      <c r="D611" s="1">
        <v>45622</v>
      </c>
      <c r="E611" s="4">
        <v>472.11</v>
      </c>
      <c r="F611" s="3">
        <v>4</v>
      </c>
      <c r="G611" s="6" t="s">
        <v>18</v>
      </c>
    </row>
    <row r="612" spans="1:7" x14ac:dyDescent="0.3">
      <c r="A612" s="2" t="s">
        <v>771</v>
      </c>
      <c r="B612" s="2" t="s">
        <v>763</v>
      </c>
      <c r="C612" s="6" t="s">
        <v>764</v>
      </c>
      <c r="D612" s="1">
        <v>45540</v>
      </c>
      <c r="E612" s="4">
        <v>253.06</v>
      </c>
      <c r="F612" s="3">
        <v>4</v>
      </c>
      <c r="G612" s="6" t="s">
        <v>38</v>
      </c>
    </row>
    <row r="613" spans="1:7" x14ac:dyDescent="0.3">
      <c r="A613" s="2" t="s">
        <v>772</v>
      </c>
      <c r="B613" s="2" t="s">
        <v>763</v>
      </c>
      <c r="C613" s="6" t="s">
        <v>764</v>
      </c>
      <c r="D613" s="1">
        <v>45630</v>
      </c>
      <c r="E613" s="4">
        <v>409.81</v>
      </c>
      <c r="F613" s="3">
        <v>4</v>
      </c>
      <c r="G613" s="6" t="s">
        <v>38</v>
      </c>
    </row>
    <row r="614" spans="1:7" x14ac:dyDescent="0.3">
      <c r="A614" s="2" t="s">
        <v>773</v>
      </c>
      <c r="B614" s="2" t="s">
        <v>763</v>
      </c>
      <c r="C614" s="6" t="s">
        <v>764</v>
      </c>
      <c r="D614" s="1">
        <v>45526</v>
      </c>
      <c r="E614" s="4">
        <v>321.67</v>
      </c>
      <c r="F614" s="3">
        <v>1</v>
      </c>
      <c r="G614" s="6" t="s">
        <v>18</v>
      </c>
    </row>
    <row r="615" spans="1:7" x14ac:dyDescent="0.3">
      <c r="A615" s="2" t="s">
        <v>774</v>
      </c>
      <c r="B615" s="2" t="s">
        <v>775</v>
      </c>
      <c r="C615" s="6" t="s">
        <v>776</v>
      </c>
      <c r="D615" s="1">
        <v>45563</v>
      </c>
      <c r="E615" s="4">
        <v>390.46</v>
      </c>
      <c r="F615" s="3">
        <v>4</v>
      </c>
      <c r="G615" s="6" t="s">
        <v>15</v>
      </c>
    </row>
    <row r="616" spans="1:7" x14ac:dyDescent="0.3">
      <c r="A616" s="2" t="s">
        <v>777</v>
      </c>
      <c r="B616" s="2" t="s">
        <v>775</v>
      </c>
      <c r="C616" s="6" t="s">
        <v>776</v>
      </c>
      <c r="D616" s="1">
        <v>45528</v>
      </c>
      <c r="E616" s="4">
        <v>166.83</v>
      </c>
      <c r="F616" s="3">
        <v>3</v>
      </c>
      <c r="G616" s="6" t="s">
        <v>18</v>
      </c>
    </row>
    <row r="617" spans="1:7" x14ac:dyDescent="0.3">
      <c r="A617" s="2" t="s">
        <v>778</v>
      </c>
      <c r="B617" s="2" t="s">
        <v>775</v>
      </c>
      <c r="C617" s="6" t="s">
        <v>776</v>
      </c>
      <c r="D617" s="1">
        <v>45347</v>
      </c>
      <c r="E617" s="4">
        <v>274.38</v>
      </c>
      <c r="F617" s="3">
        <v>2</v>
      </c>
      <c r="G617" s="6" t="s">
        <v>10</v>
      </c>
    </row>
    <row r="618" spans="1:7" x14ac:dyDescent="0.3">
      <c r="A618" s="2" t="s">
        <v>779</v>
      </c>
      <c r="B618" s="2" t="s">
        <v>775</v>
      </c>
      <c r="C618" s="6" t="s">
        <v>776</v>
      </c>
      <c r="D618" s="1">
        <v>45583</v>
      </c>
      <c r="E618" s="4">
        <v>74.55</v>
      </c>
      <c r="F618" s="3">
        <v>3</v>
      </c>
      <c r="G618" s="6" t="s">
        <v>15</v>
      </c>
    </row>
    <row r="619" spans="1:7" x14ac:dyDescent="0.3">
      <c r="A619" s="2" t="s">
        <v>780</v>
      </c>
      <c r="B619" s="2" t="s">
        <v>775</v>
      </c>
      <c r="C619" s="6" t="s">
        <v>776</v>
      </c>
      <c r="D619" s="1">
        <v>45375</v>
      </c>
      <c r="E619" s="4">
        <v>114.62</v>
      </c>
      <c r="F619" s="3">
        <v>3</v>
      </c>
      <c r="G619" s="6" t="s">
        <v>12</v>
      </c>
    </row>
    <row r="620" spans="1:7" x14ac:dyDescent="0.3">
      <c r="A620" s="2" t="s">
        <v>781</v>
      </c>
      <c r="B620" s="2" t="s">
        <v>775</v>
      </c>
      <c r="C620" s="6" t="s">
        <v>776</v>
      </c>
      <c r="D620" s="1">
        <v>45413</v>
      </c>
      <c r="E620" s="4">
        <v>177.77</v>
      </c>
      <c r="F620" s="3">
        <v>3</v>
      </c>
      <c r="G620" s="6" t="s">
        <v>18</v>
      </c>
    </row>
    <row r="621" spans="1:7" x14ac:dyDescent="0.3">
      <c r="A621" s="2" t="s">
        <v>782</v>
      </c>
      <c r="B621" s="2" t="s">
        <v>775</v>
      </c>
      <c r="C621" s="6" t="s">
        <v>776</v>
      </c>
      <c r="D621" s="1">
        <v>45514</v>
      </c>
      <c r="E621" s="4">
        <v>374.28</v>
      </c>
      <c r="F621" s="3">
        <v>3</v>
      </c>
      <c r="G621" s="6" t="s">
        <v>12</v>
      </c>
    </row>
    <row r="622" spans="1:7" x14ac:dyDescent="0.3">
      <c r="A622" s="2" t="s">
        <v>783</v>
      </c>
      <c r="B622" s="2" t="s">
        <v>775</v>
      </c>
      <c r="C622" s="6" t="s">
        <v>776</v>
      </c>
      <c r="D622" s="1">
        <v>45443</v>
      </c>
      <c r="E622" s="4">
        <v>286.86</v>
      </c>
      <c r="F622" s="3">
        <v>2</v>
      </c>
      <c r="G622" s="6" t="s">
        <v>10</v>
      </c>
    </row>
    <row r="623" spans="1:7" x14ac:dyDescent="0.3">
      <c r="A623" s="2" t="s">
        <v>784</v>
      </c>
      <c r="B623" s="2" t="s">
        <v>775</v>
      </c>
      <c r="C623" s="6" t="s">
        <v>776</v>
      </c>
      <c r="D623" s="1">
        <v>45620</v>
      </c>
      <c r="E623" s="4">
        <v>292.81</v>
      </c>
      <c r="F623" s="3">
        <v>4</v>
      </c>
      <c r="G623" s="6" t="s">
        <v>38</v>
      </c>
    </row>
    <row r="624" spans="1:7" x14ac:dyDescent="0.3">
      <c r="A624" s="2" t="s">
        <v>785</v>
      </c>
      <c r="B624" s="2" t="s">
        <v>775</v>
      </c>
      <c r="C624" s="6" t="s">
        <v>776</v>
      </c>
      <c r="D624" s="1">
        <v>45554</v>
      </c>
      <c r="E624" s="4">
        <v>88.44</v>
      </c>
      <c r="F624" s="3">
        <v>2</v>
      </c>
      <c r="G624" s="6" t="s">
        <v>26</v>
      </c>
    </row>
    <row r="625" spans="1:7" x14ac:dyDescent="0.3">
      <c r="A625" s="2" t="s">
        <v>786</v>
      </c>
      <c r="B625" s="2" t="s">
        <v>775</v>
      </c>
      <c r="C625" s="6" t="s">
        <v>776</v>
      </c>
      <c r="D625" s="1">
        <v>45469</v>
      </c>
      <c r="E625" s="4">
        <v>407.76</v>
      </c>
      <c r="F625" s="3">
        <v>1</v>
      </c>
      <c r="G625" s="6" t="s">
        <v>15</v>
      </c>
    </row>
    <row r="626" spans="1:7" x14ac:dyDescent="0.3">
      <c r="A626" s="2" t="s">
        <v>787</v>
      </c>
      <c r="B626" s="2" t="s">
        <v>775</v>
      </c>
      <c r="C626" s="6" t="s">
        <v>776</v>
      </c>
      <c r="D626" s="1">
        <v>45328</v>
      </c>
      <c r="E626" s="4">
        <v>495.99</v>
      </c>
      <c r="F626" s="3">
        <v>4</v>
      </c>
      <c r="G626" s="6" t="s">
        <v>12</v>
      </c>
    </row>
    <row r="627" spans="1:7" x14ac:dyDescent="0.3">
      <c r="A627" s="2" t="s">
        <v>788</v>
      </c>
      <c r="B627" s="2" t="s">
        <v>775</v>
      </c>
      <c r="C627" s="6" t="s">
        <v>776</v>
      </c>
      <c r="D627" s="1">
        <v>45645</v>
      </c>
      <c r="E627" s="4">
        <v>402.03</v>
      </c>
      <c r="F627" s="3">
        <v>1</v>
      </c>
      <c r="G627" s="6" t="s">
        <v>12</v>
      </c>
    </row>
    <row r="628" spans="1:7" x14ac:dyDescent="0.3">
      <c r="A628" s="2" t="s">
        <v>789</v>
      </c>
      <c r="B628" s="2" t="s">
        <v>775</v>
      </c>
      <c r="C628" s="6" t="s">
        <v>776</v>
      </c>
      <c r="D628" s="1">
        <v>45335</v>
      </c>
      <c r="E628" s="4">
        <v>373.75</v>
      </c>
      <c r="F628" s="3">
        <v>3</v>
      </c>
      <c r="G628" s="6" t="s">
        <v>18</v>
      </c>
    </row>
    <row r="629" spans="1:7" x14ac:dyDescent="0.3">
      <c r="A629" s="2" t="s">
        <v>790</v>
      </c>
      <c r="B629" s="2" t="s">
        <v>791</v>
      </c>
      <c r="C629" s="6" t="s">
        <v>792</v>
      </c>
      <c r="D629" s="1">
        <v>45602</v>
      </c>
      <c r="E629" s="4">
        <v>193.88</v>
      </c>
      <c r="F629" s="3">
        <v>4</v>
      </c>
      <c r="G629" s="6" t="s">
        <v>38</v>
      </c>
    </row>
    <row r="630" spans="1:7" x14ac:dyDescent="0.3">
      <c r="A630" s="2" t="s">
        <v>793</v>
      </c>
      <c r="B630" s="2" t="s">
        <v>791</v>
      </c>
      <c r="C630" s="6" t="s">
        <v>792</v>
      </c>
      <c r="D630" s="1">
        <v>45597</v>
      </c>
      <c r="E630" s="4">
        <v>12.56</v>
      </c>
      <c r="F630" s="3">
        <v>2</v>
      </c>
      <c r="G630" s="6" t="s">
        <v>26</v>
      </c>
    </row>
    <row r="631" spans="1:7" x14ac:dyDescent="0.3">
      <c r="A631" s="2" t="s">
        <v>794</v>
      </c>
      <c r="B631" s="2" t="s">
        <v>791</v>
      </c>
      <c r="C631" s="6" t="s">
        <v>792</v>
      </c>
      <c r="D631" s="1">
        <v>45615</v>
      </c>
      <c r="E631" s="4">
        <v>418.01</v>
      </c>
      <c r="F631" s="3">
        <v>2</v>
      </c>
      <c r="G631" s="6" t="s">
        <v>18</v>
      </c>
    </row>
    <row r="632" spans="1:7" x14ac:dyDescent="0.3">
      <c r="A632" s="2" t="s">
        <v>795</v>
      </c>
      <c r="B632" s="2" t="s">
        <v>791</v>
      </c>
      <c r="C632" s="6" t="s">
        <v>792</v>
      </c>
      <c r="D632" s="1">
        <v>45595</v>
      </c>
      <c r="E632" s="4">
        <v>381.75</v>
      </c>
      <c r="F632" s="3">
        <v>3</v>
      </c>
      <c r="G632" s="6" t="s">
        <v>15</v>
      </c>
    </row>
    <row r="633" spans="1:7" x14ac:dyDescent="0.3">
      <c r="A633" s="2" t="s">
        <v>796</v>
      </c>
      <c r="B633" s="2" t="s">
        <v>791</v>
      </c>
      <c r="C633" s="6" t="s">
        <v>792</v>
      </c>
      <c r="D633" s="1">
        <v>45577</v>
      </c>
      <c r="E633" s="4">
        <v>82.96</v>
      </c>
      <c r="F633" s="3">
        <v>4</v>
      </c>
      <c r="G633" s="6" t="s">
        <v>18</v>
      </c>
    </row>
    <row r="634" spans="1:7" x14ac:dyDescent="0.3">
      <c r="A634" s="2" t="s">
        <v>797</v>
      </c>
      <c r="B634" s="2" t="s">
        <v>791</v>
      </c>
      <c r="C634" s="6" t="s">
        <v>792</v>
      </c>
      <c r="D634" s="1">
        <v>45644</v>
      </c>
      <c r="E634" s="4">
        <v>498.2</v>
      </c>
      <c r="F634" s="3">
        <v>3</v>
      </c>
      <c r="G634" s="6" t="s">
        <v>15</v>
      </c>
    </row>
    <row r="635" spans="1:7" x14ac:dyDescent="0.3">
      <c r="A635" s="2" t="s">
        <v>798</v>
      </c>
      <c r="B635" s="2" t="s">
        <v>791</v>
      </c>
      <c r="C635" s="6" t="s">
        <v>792</v>
      </c>
      <c r="D635" s="1">
        <v>45565</v>
      </c>
      <c r="E635" s="4">
        <v>363.81</v>
      </c>
      <c r="F635" s="3">
        <v>3</v>
      </c>
      <c r="G635" s="6" t="s">
        <v>18</v>
      </c>
    </row>
    <row r="636" spans="1:7" x14ac:dyDescent="0.3">
      <c r="A636" s="2" t="s">
        <v>799</v>
      </c>
      <c r="B636" s="2" t="s">
        <v>791</v>
      </c>
      <c r="C636" s="6" t="s">
        <v>792</v>
      </c>
      <c r="D636" s="1">
        <v>45587</v>
      </c>
      <c r="E636" s="4">
        <v>201.85</v>
      </c>
      <c r="F636" s="3">
        <v>2</v>
      </c>
      <c r="G636" s="6" t="s">
        <v>10</v>
      </c>
    </row>
    <row r="637" spans="1:7" x14ac:dyDescent="0.3">
      <c r="A637" s="2" t="s">
        <v>800</v>
      </c>
      <c r="B637" s="2" t="s">
        <v>791</v>
      </c>
      <c r="C637" s="6" t="s">
        <v>792</v>
      </c>
      <c r="D637" s="1">
        <v>45582</v>
      </c>
      <c r="E637" s="4">
        <v>24.24</v>
      </c>
      <c r="F637" s="3">
        <v>4</v>
      </c>
      <c r="G637" s="6" t="s">
        <v>18</v>
      </c>
    </row>
    <row r="638" spans="1:7" x14ac:dyDescent="0.3">
      <c r="A638" s="2" t="s">
        <v>801</v>
      </c>
      <c r="B638" s="2" t="s">
        <v>791</v>
      </c>
      <c r="C638" s="6" t="s">
        <v>792</v>
      </c>
      <c r="D638" s="1">
        <v>45621</v>
      </c>
      <c r="E638" s="4">
        <v>399.16</v>
      </c>
      <c r="F638" s="3">
        <v>1</v>
      </c>
      <c r="G638" s="6" t="s">
        <v>15</v>
      </c>
    </row>
    <row r="639" spans="1:7" x14ac:dyDescent="0.3">
      <c r="A639" s="2" t="s">
        <v>802</v>
      </c>
      <c r="B639" s="2" t="s">
        <v>791</v>
      </c>
      <c r="C639" s="6" t="s">
        <v>792</v>
      </c>
      <c r="D639" s="1">
        <v>45632</v>
      </c>
      <c r="E639" s="4">
        <v>245.68</v>
      </c>
      <c r="F639" s="3">
        <v>3</v>
      </c>
      <c r="G639" s="6" t="s">
        <v>18</v>
      </c>
    </row>
    <row r="640" spans="1:7" x14ac:dyDescent="0.3">
      <c r="A640" s="2" t="s">
        <v>803</v>
      </c>
      <c r="B640" s="2" t="s">
        <v>804</v>
      </c>
      <c r="C640" s="6" t="s">
        <v>805</v>
      </c>
      <c r="D640" s="1">
        <v>45477</v>
      </c>
      <c r="E640" s="4">
        <v>285.13</v>
      </c>
      <c r="F640" s="3">
        <v>4</v>
      </c>
      <c r="G640" s="6" t="s">
        <v>15</v>
      </c>
    </row>
    <row r="641" spans="1:7" x14ac:dyDescent="0.3">
      <c r="A641" s="2" t="s">
        <v>806</v>
      </c>
      <c r="B641" s="2" t="s">
        <v>804</v>
      </c>
      <c r="C641" s="6" t="s">
        <v>805</v>
      </c>
      <c r="D641" s="1">
        <v>45545</v>
      </c>
      <c r="E641" s="4">
        <v>248.43</v>
      </c>
      <c r="F641" s="3">
        <v>2</v>
      </c>
      <c r="G641" s="6" t="s">
        <v>18</v>
      </c>
    </row>
    <row r="642" spans="1:7" x14ac:dyDescent="0.3">
      <c r="A642" s="2" t="s">
        <v>807</v>
      </c>
      <c r="B642" s="2" t="s">
        <v>804</v>
      </c>
      <c r="C642" s="6" t="s">
        <v>805</v>
      </c>
      <c r="D642" s="1">
        <v>45450</v>
      </c>
      <c r="E642" s="4">
        <v>21.24</v>
      </c>
      <c r="F642" s="3">
        <v>1</v>
      </c>
      <c r="G642" s="6" t="s">
        <v>12</v>
      </c>
    </row>
    <row r="643" spans="1:7" x14ac:dyDescent="0.3">
      <c r="A643" s="2" t="s">
        <v>808</v>
      </c>
      <c r="B643" s="2" t="s">
        <v>804</v>
      </c>
      <c r="C643" s="6" t="s">
        <v>805</v>
      </c>
      <c r="D643" s="1">
        <v>45610</v>
      </c>
      <c r="E643" s="4">
        <v>47.76</v>
      </c>
      <c r="F643" s="3">
        <v>4</v>
      </c>
      <c r="G643" s="6" t="s">
        <v>18</v>
      </c>
    </row>
    <row r="644" spans="1:7" x14ac:dyDescent="0.3">
      <c r="A644" s="2" t="s">
        <v>809</v>
      </c>
      <c r="B644" s="2" t="s">
        <v>804</v>
      </c>
      <c r="C644" s="6" t="s">
        <v>805</v>
      </c>
      <c r="D644" s="1">
        <v>45400</v>
      </c>
      <c r="E644" s="4">
        <v>375.5</v>
      </c>
      <c r="F644" s="3">
        <v>2</v>
      </c>
      <c r="G644" s="6" t="s">
        <v>26</v>
      </c>
    </row>
    <row r="645" spans="1:7" x14ac:dyDescent="0.3">
      <c r="A645" s="2" t="s">
        <v>810</v>
      </c>
      <c r="B645" s="2" t="s">
        <v>804</v>
      </c>
      <c r="C645" s="6" t="s">
        <v>805</v>
      </c>
      <c r="D645" s="1">
        <v>45408</v>
      </c>
      <c r="E645" s="4">
        <v>396.42</v>
      </c>
      <c r="F645" s="3">
        <v>4</v>
      </c>
      <c r="G645" s="6" t="s">
        <v>12</v>
      </c>
    </row>
    <row r="646" spans="1:7" x14ac:dyDescent="0.3">
      <c r="A646" s="2" t="s">
        <v>811</v>
      </c>
      <c r="B646" s="2" t="s">
        <v>804</v>
      </c>
      <c r="C646" s="6" t="s">
        <v>805</v>
      </c>
      <c r="D646" s="1">
        <v>45464</v>
      </c>
      <c r="E646" s="4">
        <v>82.25</v>
      </c>
      <c r="F646" s="3">
        <v>3</v>
      </c>
      <c r="G646" s="6" t="s">
        <v>38</v>
      </c>
    </row>
    <row r="647" spans="1:7" x14ac:dyDescent="0.3">
      <c r="A647" s="2" t="s">
        <v>812</v>
      </c>
      <c r="B647" s="2" t="s">
        <v>804</v>
      </c>
      <c r="C647" s="6" t="s">
        <v>805</v>
      </c>
      <c r="D647" s="1">
        <v>45437</v>
      </c>
      <c r="E647" s="4">
        <v>192</v>
      </c>
      <c r="F647" s="3">
        <v>3</v>
      </c>
      <c r="G647" s="6" t="s">
        <v>38</v>
      </c>
    </row>
    <row r="648" spans="1:7" x14ac:dyDescent="0.3">
      <c r="A648" s="2" t="s">
        <v>813</v>
      </c>
      <c r="B648" s="2" t="s">
        <v>814</v>
      </c>
      <c r="C648" s="6" t="s">
        <v>815</v>
      </c>
      <c r="D648" s="1">
        <v>45637</v>
      </c>
      <c r="E648" s="4">
        <v>467.23</v>
      </c>
      <c r="F648" s="3">
        <v>1</v>
      </c>
      <c r="G648" s="6" t="s">
        <v>10</v>
      </c>
    </row>
    <row r="649" spans="1:7" x14ac:dyDescent="0.3">
      <c r="A649" s="2" t="s">
        <v>816</v>
      </c>
      <c r="B649" s="2" t="s">
        <v>814</v>
      </c>
      <c r="C649" s="6" t="s">
        <v>815</v>
      </c>
      <c r="D649" s="1">
        <v>45522</v>
      </c>
      <c r="E649" s="4">
        <v>321.73</v>
      </c>
      <c r="F649" s="3">
        <v>3</v>
      </c>
      <c r="G649" s="6" t="s">
        <v>12</v>
      </c>
    </row>
    <row r="650" spans="1:7" x14ac:dyDescent="0.3">
      <c r="A650" s="2" t="s">
        <v>817</v>
      </c>
      <c r="B650" s="2" t="s">
        <v>814</v>
      </c>
      <c r="C650" s="6" t="s">
        <v>815</v>
      </c>
      <c r="D650" s="1">
        <v>45522</v>
      </c>
      <c r="E650" s="4">
        <v>495.65</v>
      </c>
      <c r="F650" s="3">
        <v>3</v>
      </c>
      <c r="G650" s="6" t="s">
        <v>15</v>
      </c>
    </row>
    <row r="651" spans="1:7" x14ac:dyDescent="0.3">
      <c r="A651" s="2" t="s">
        <v>818</v>
      </c>
      <c r="B651" s="2" t="s">
        <v>814</v>
      </c>
      <c r="C651" s="6" t="s">
        <v>815</v>
      </c>
      <c r="D651" s="1">
        <v>45461</v>
      </c>
      <c r="E651" s="4">
        <v>475.65</v>
      </c>
      <c r="F651" s="3">
        <v>1</v>
      </c>
      <c r="G651" s="6" t="s">
        <v>10</v>
      </c>
    </row>
    <row r="652" spans="1:7" x14ac:dyDescent="0.3">
      <c r="A652" s="2" t="s">
        <v>819</v>
      </c>
      <c r="B652" s="2" t="s">
        <v>814</v>
      </c>
      <c r="C652" s="6" t="s">
        <v>815</v>
      </c>
      <c r="D652" s="1">
        <v>45385</v>
      </c>
      <c r="E652" s="4">
        <v>490.03</v>
      </c>
      <c r="F652" s="3">
        <v>1</v>
      </c>
      <c r="G652" s="6" t="s">
        <v>12</v>
      </c>
    </row>
    <row r="653" spans="1:7" x14ac:dyDescent="0.3">
      <c r="A653" s="2" t="s">
        <v>820</v>
      </c>
      <c r="B653" s="2" t="s">
        <v>814</v>
      </c>
      <c r="C653" s="6" t="s">
        <v>815</v>
      </c>
      <c r="D653" s="1">
        <v>45431</v>
      </c>
      <c r="E653" s="4">
        <v>21.85</v>
      </c>
      <c r="F653" s="3">
        <v>2</v>
      </c>
      <c r="G653" s="6" t="s">
        <v>18</v>
      </c>
    </row>
    <row r="654" spans="1:7" x14ac:dyDescent="0.3">
      <c r="A654" s="2" t="s">
        <v>821</v>
      </c>
      <c r="B654" s="2" t="s">
        <v>814</v>
      </c>
      <c r="C654" s="6" t="s">
        <v>815</v>
      </c>
      <c r="D654" s="1">
        <v>45522</v>
      </c>
      <c r="E654" s="4">
        <v>263.86</v>
      </c>
      <c r="F654" s="3">
        <v>3</v>
      </c>
      <c r="G654" s="6" t="s">
        <v>10</v>
      </c>
    </row>
    <row r="655" spans="1:7" x14ac:dyDescent="0.3">
      <c r="A655" s="2" t="s">
        <v>822</v>
      </c>
      <c r="B655" s="2" t="s">
        <v>814</v>
      </c>
      <c r="C655" s="6" t="s">
        <v>815</v>
      </c>
      <c r="D655" s="1">
        <v>45569</v>
      </c>
      <c r="E655" s="4">
        <v>37.51</v>
      </c>
      <c r="F655" s="3">
        <v>2</v>
      </c>
      <c r="G655" s="6" t="s">
        <v>12</v>
      </c>
    </row>
    <row r="656" spans="1:7" x14ac:dyDescent="0.3">
      <c r="A656" s="2" t="s">
        <v>823</v>
      </c>
      <c r="B656" s="2" t="s">
        <v>814</v>
      </c>
      <c r="C656" s="6" t="s">
        <v>815</v>
      </c>
      <c r="D656" s="1">
        <v>45393</v>
      </c>
      <c r="E656" s="4">
        <v>422.55</v>
      </c>
      <c r="F656" s="3">
        <v>4</v>
      </c>
      <c r="G656" s="6" t="s">
        <v>10</v>
      </c>
    </row>
    <row r="657" spans="1:7" x14ac:dyDescent="0.3">
      <c r="A657" s="2" t="s">
        <v>824</v>
      </c>
      <c r="B657" s="2" t="s">
        <v>814</v>
      </c>
      <c r="C657" s="6" t="s">
        <v>815</v>
      </c>
      <c r="D657" s="1">
        <v>45373</v>
      </c>
      <c r="E657" s="4">
        <v>223.24</v>
      </c>
      <c r="F657" s="3">
        <v>4</v>
      </c>
      <c r="G657" s="6" t="s">
        <v>10</v>
      </c>
    </row>
    <row r="658" spans="1:7" x14ac:dyDescent="0.3">
      <c r="A658" s="2" t="s">
        <v>825</v>
      </c>
      <c r="B658" s="2" t="s">
        <v>814</v>
      </c>
      <c r="C658" s="6" t="s">
        <v>815</v>
      </c>
      <c r="D658" s="1">
        <v>45394</v>
      </c>
      <c r="E658" s="4">
        <v>319.27</v>
      </c>
      <c r="F658" s="3">
        <v>3</v>
      </c>
      <c r="G658" s="6" t="s">
        <v>18</v>
      </c>
    </row>
    <row r="659" spans="1:7" x14ac:dyDescent="0.3">
      <c r="A659" s="2" t="s">
        <v>826</v>
      </c>
      <c r="B659" s="2" t="s">
        <v>814</v>
      </c>
      <c r="C659" s="6" t="s">
        <v>815</v>
      </c>
      <c r="D659" s="1">
        <v>45619</v>
      </c>
      <c r="E659" s="4">
        <v>253.27</v>
      </c>
      <c r="F659" s="3">
        <v>4</v>
      </c>
      <c r="G659" s="6" t="s">
        <v>38</v>
      </c>
    </row>
    <row r="660" spans="1:7" x14ac:dyDescent="0.3">
      <c r="A660" s="2" t="s">
        <v>827</v>
      </c>
      <c r="B660" s="2" t="s">
        <v>828</v>
      </c>
      <c r="C660" s="6" t="s">
        <v>829</v>
      </c>
      <c r="D660" s="1">
        <v>45197</v>
      </c>
      <c r="E660" s="4">
        <v>120.36</v>
      </c>
      <c r="F660" s="3">
        <v>4</v>
      </c>
      <c r="G660" s="6" t="s">
        <v>15</v>
      </c>
    </row>
    <row r="661" spans="1:7" x14ac:dyDescent="0.3">
      <c r="A661" s="2" t="s">
        <v>830</v>
      </c>
      <c r="B661" s="2" t="s">
        <v>828</v>
      </c>
      <c r="C661" s="6" t="s">
        <v>829</v>
      </c>
      <c r="D661" s="1">
        <v>45584</v>
      </c>
      <c r="E661" s="4">
        <v>378.17</v>
      </c>
      <c r="F661" s="3">
        <v>4</v>
      </c>
      <c r="G661" s="6" t="s">
        <v>38</v>
      </c>
    </row>
    <row r="662" spans="1:7" x14ac:dyDescent="0.3">
      <c r="A662" s="2" t="s">
        <v>831</v>
      </c>
      <c r="B662" s="2" t="s">
        <v>828</v>
      </c>
      <c r="C662" s="6" t="s">
        <v>829</v>
      </c>
      <c r="D662" s="1">
        <v>45423</v>
      </c>
      <c r="E662" s="4">
        <v>37.96</v>
      </c>
      <c r="F662" s="3">
        <v>2</v>
      </c>
      <c r="G662" s="6" t="s">
        <v>18</v>
      </c>
    </row>
    <row r="663" spans="1:7" x14ac:dyDescent="0.3">
      <c r="A663" s="2" t="s">
        <v>832</v>
      </c>
      <c r="B663" s="2" t="s">
        <v>828</v>
      </c>
      <c r="C663" s="6" t="s">
        <v>829</v>
      </c>
      <c r="D663" s="1">
        <v>45235</v>
      </c>
      <c r="E663" s="4">
        <v>145.1</v>
      </c>
      <c r="F663" s="3">
        <v>2</v>
      </c>
      <c r="G663" s="6" t="s">
        <v>15</v>
      </c>
    </row>
    <row r="664" spans="1:7" x14ac:dyDescent="0.3">
      <c r="A664" s="2" t="s">
        <v>833</v>
      </c>
      <c r="B664" s="2" t="s">
        <v>828</v>
      </c>
      <c r="C664" s="6" t="s">
        <v>829</v>
      </c>
      <c r="D664" s="1">
        <v>45647</v>
      </c>
      <c r="E664" s="4">
        <v>487.67</v>
      </c>
      <c r="F664" s="3">
        <v>3</v>
      </c>
      <c r="G664" s="6" t="s">
        <v>18</v>
      </c>
    </row>
    <row r="665" spans="1:7" x14ac:dyDescent="0.3">
      <c r="A665" s="2" t="s">
        <v>834</v>
      </c>
      <c r="B665" s="2" t="s">
        <v>828</v>
      </c>
      <c r="C665" s="6" t="s">
        <v>829</v>
      </c>
      <c r="D665" s="1">
        <v>45633</v>
      </c>
      <c r="E665" s="4">
        <v>423.95</v>
      </c>
      <c r="F665" s="3">
        <v>4</v>
      </c>
      <c r="G665" s="6" t="s">
        <v>18</v>
      </c>
    </row>
    <row r="666" spans="1:7" x14ac:dyDescent="0.3">
      <c r="A666" s="2" t="s">
        <v>835</v>
      </c>
      <c r="B666" s="2" t="s">
        <v>828</v>
      </c>
      <c r="C666" s="6" t="s">
        <v>829</v>
      </c>
      <c r="D666" s="1">
        <v>45243</v>
      </c>
      <c r="E666" s="4">
        <v>26.47</v>
      </c>
      <c r="F666" s="3">
        <v>2</v>
      </c>
      <c r="G666" s="6" t="s">
        <v>15</v>
      </c>
    </row>
    <row r="667" spans="1:7" x14ac:dyDescent="0.3">
      <c r="A667" s="2" t="s">
        <v>836</v>
      </c>
      <c r="B667" s="2" t="s">
        <v>828</v>
      </c>
      <c r="C667" s="6" t="s">
        <v>829</v>
      </c>
      <c r="D667" s="1">
        <v>45265</v>
      </c>
      <c r="E667" s="4">
        <v>285.38</v>
      </c>
      <c r="F667" s="3">
        <v>4</v>
      </c>
      <c r="G667" s="6" t="s">
        <v>10</v>
      </c>
    </row>
    <row r="668" spans="1:7" x14ac:dyDescent="0.3">
      <c r="A668" s="2" t="s">
        <v>837</v>
      </c>
      <c r="B668" s="2" t="s">
        <v>828</v>
      </c>
      <c r="C668" s="6" t="s">
        <v>829</v>
      </c>
      <c r="D668" s="1">
        <v>45534</v>
      </c>
      <c r="E668" s="4">
        <v>52.35</v>
      </c>
      <c r="F668" s="3">
        <v>4</v>
      </c>
      <c r="G668" s="6" t="s">
        <v>26</v>
      </c>
    </row>
    <row r="669" spans="1:7" x14ac:dyDescent="0.3">
      <c r="A669" s="2" t="s">
        <v>838</v>
      </c>
      <c r="B669" s="2" t="s">
        <v>839</v>
      </c>
      <c r="C669" s="6" t="s">
        <v>840</v>
      </c>
      <c r="D669" s="1">
        <v>45572</v>
      </c>
      <c r="E669" s="4">
        <v>72.709999999999994</v>
      </c>
      <c r="F669" s="3">
        <v>2</v>
      </c>
      <c r="G669" s="6" t="s">
        <v>10</v>
      </c>
    </row>
    <row r="670" spans="1:7" x14ac:dyDescent="0.3">
      <c r="A670" s="2" t="s">
        <v>841</v>
      </c>
      <c r="B670" s="2" t="s">
        <v>839</v>
      </c>
      <c r="C670" s="6" t="s">
        <v>840</v>
      </c>
      <c r="D670" s="1">
        <v>45578</v>
      </c>
      <c r="E670" s="4">
        <v>215.21</v>
      </c>
      <c r="F670" s="3">
        <v>1</v>
      </c>
      <c r="G670" s="6" t="s">
        <v>18</v>
      </c>
    </row>
    <row r="671" spans="1:7" x14ac:dyDescent="0.3">
      <c r="A671" s="2" t="s">
        <v>842</v>
      </c>
      <c r="B671" s="2" t="s">
        <v>839</v>
      </c>
      <c r="C671" s="6" t="s">
        <v>840</v>
      </c>
      <c r="D671" s="1">
        <v>45589</v>
      </c>
      <c r="E671" s="4">
        <v>490.84</v>
      </c>
      <c r="F671" s="3">
        <v>1</v>
      </c>
      <c r="G671" s="6" t="s">
        <v>26</v>
      </c>
    </row>
    <row r="672" spans="1:7" x14ac:dyDescent="0.3">
      <c r="A672" s="2" t="s">
        <v>843</v>
      </c>
      <c r="B672" s="2" t="s">
        <v>839</v>
      </c>
      <c r="C672" s="6" t="s">
        <v>840</v>
      </c>
      <c r="D672" s="1">
        <v>45555</v>
      </c>
      <c r="E672" s="4">
        <v>365.33</v>
      </c>
      <c r="F672" s="3">
        <v>4</v>
      </c>
      <c r="G672" s="6" t="s">
        <v>10</v>
      </c>
    </row>
    <row r="673" spans="1:7" x14ac:dyDescent="0.3">
      <c r="A673" s="2" t="s">
        <v>844</v>
      </c>
      <c r="B673" s="2" t="s">
        <v>839</v>
      </c>
      <c r="C673" s="6" t="s">
        <v>840</v>
      </c>
      <c r="D673" s="1">
        <v>45473</v>
      </c>
      <c r="E673" s="4">
        <v>237.33</v>
      </c>
      <c r="F673" s="3">
        <v>1</v>
      </c>
      <c r="G673" s="6" t="s">
        <v>38</v>
      </c>
    </row>
    <row r="674" spans="1:7" x14ac:dyDescent="0.3">
      <c r="A674" s="2" t="s">
        <v>845</v>
      </c>
      <c r="B674" s="2" t="s">
        <v>839</v>
      </c>
      <c r="C674" s="6" t="s">
        <v>840</v>
      </c>
      <c r="D674" s="1">
        <v>45552</v>
      </c>
      <c r="E674" s="4">
        <v>484</v>
      </c>
      <c r="F674" s="3">
        <v>1</v>
      </c>
      <c r="G674" s="6" t="s">
        <v>10</v>
      </c>
    </row>
    <row r="675" spans="1:7" x14ac:dyDescent="0.3">
      <c r="A675" s="2" t="s">
        <v>846</v>
      </c>
      <c r="B675" s="2" t="s">
        <v>839</v>
      </c>
      <c r="C675" s="6" t="s">
        <v>840</v>
      </c>
      <c r="D675" s="1">
        <v>45585</v>
      </c>
      <c r="E675" s="4">
        <v>84.11</v>
      </c>
      <c r="F675" s="3">
        <v>3</v>
      </c>
      <c r="G675" s="6" t="s">
        <v>15</v>
      </c>
    </row>
    <row r="676" spans="1:7" x14ac:dyDescent="0.3">
      <c r="A676" s="2" t="s">
        <v>847</v>
      </c>
      <c r="B676" s="2" t="s">
        <v>839</v>
      </c>
      <c r="C676" s="6" t="s">
        <v>840</v>
      </c>
      <c r="D676" s="1">
        <v>45495</v>
      </c>
      <c r="E676" s="4">
        <v>345.04</v>
      </c>
      <c r="F676" s="3">
        <v>1</v>
      </c>
      <c r="G676" s="6" t="s">
        <v>38</v>
      </c>
    </row>
    <row r="677" spans="1:7" x14ac:dyDescent="0.3">
      <c r="A677" s="2" t="s">
        <v>848</v>
      </c>
      <c r="B677" s="2" t="s">
        <v>849</v>
      </c>
      <c r="C677" s="6" t="s">
        <v>850</v>
      </c>
      <c r="D677" s="1">
        <v>45627</v>
      </c>
      <c r="E677" s="4">
        <v>431.47</v>
      </c>
      <c r="F677" s="3">
        <v>3</v>
      </c>
      <c r="G677" s="6" t="s">
        <v>26</v>
      </c>
    </row>
    <row r="678" spans="1:7" x14ac:dyDescent="0.3">
      <c r="A678" s="2" t="s">
        <v>851</v>
      </c>
      <c r="B678" s="2" t="s">
        <v>849</v>
      </c>
      <c r="C678" s="6" t="s">
        <v>850</v>
      </c>
      <c r="D678" s="1">
        <v>45477</v>
      </c>
      <c r="E678" s="4">
        <v>356.84</v>
      </c>
      <c r="F678" s="3">
        <v>2</v>
      </c>
      <c r="G678" s="6" t="s">
        <v>38</v>
      </c>
    </row>
    <row r="679" spans="1:7" x14ac:dyDescent="0.3">
      <c r="A679" s="2" t="s">
        <v>852</v>
      </c>
      <c r="B679" s="2" t="s">
        <v>849</v>
      </c>
      <c r="C679" s="6" t="s">
        <v>850</v>
      </c>
      <c r="D679" s="1">
        <v>45548</v>
      </c>
      <c r="E679" s="4">
        <v>234.57</v>
      </c>
      <c r="F679" s="3">
        <v>2</v>
      </c>
      <c r="G679" s="6" t="s">
        <v>38</v>
      </c>
    </row>
    <row r="680" spans="1:7" x14ac:dyDescent="0.3">
      <c r="A680" s="2" t="s">
        <v>853</v>
      </c>
      <c r="B680" s="2" t="s">
        <v>849</v>
      </c>
      <c r="C680" s="6" t="s">
        <v>850</v>
      </c>
      <c r="D680" s="1">
        <v>45571</v>
      </c>
      <c r="E680" s="4">
        <v>473.39</v>
      </c>
      <c r="F680" s="3">
        <v>2</v>
      </c>
      <c r="G680" s="6" t="s">
        <v>38</v>
      </c>
    </row>
    <row r="681" spans="1:7" x14ac:dyDescent="0.3">
      <c r="A681" s="2" t="s">
        <v>854</v>
      </c>
      <c r="B681" s="2" t="s">
        <v>849</v>
      </c>
      <c r="C681" s="6" t="s">
        <v>850</v>
      </c>
      <c r="D681" s="1">
        <v>45152</v>
      </c>
      <c r="E681" s="4">
        <v>432.37</v>
      </c>
      <c r="F681" s="3">
        <v>1</v>
      </c>
      <c r="G681" s="6" t="s">
        <v>12</v>
      </c>
    </row>
    <row r="682" spans="1:7" x14ac:dyDescent="0.3">
      <c r="A682" s="2" t="s">
        <v>855</v>
      </c>
      <c r="B682" s="2" t="s">
        <v>849</v>
      </c>
      <c r="C682" s="6" t="s">
        <v>850</v>
      </c>
      <c r="D682" s="1">
        <v>45140</v>
      </c>
      <c r="E682" s="4">
        <v>152.38999999999999</v>
      </c>
      <c r="F682" s="3">
        <v>4</v>
      </c>
      <c r="G682" s="6" t="s">
        <v>18</v>
      </c>
    </row>
    <row r="683" spans="1:7" x14ac:dyDescent="0.3">
      <c r="A683" s="2" t="s">
        <v>856</v>
      </c>
      <c r="B683" s="2" t="s">
        <v>849</v>
      </c>
      <c r="C683" s="6" t="s">
        <v>850</v>
      </c>
      <c r="D683" s="1">
        <v>45625</v>
      </c>
      <c r="E683" s="4">
        <v>235.03</v>
      </c>
      <c r="F683" s="3">
        <v>3</v>
      </c>
      <c r="G683" s="6" t="s">
        <v>12</v>
      </c>
    </row>
    <row r="684" spans="1:7" x14ac:dyDescent="0.3">
      <c r="A684" s="2" t="s">
        <v>857</v>
      </c>
      <c r="B684" s="2" t="s">
        <v>849</v>
      </c>
      <c r="C684" s="6" t="s">
        <v>850</v>
      </c>
      <c r="D684" s="1">
        <v>45615</v>
      </c>
      <c r="E684" s="4">
        <v>108.67</v>
      </c>
      <c r="F684" s="3">
        <v>4</v>
      </c>
      <c r="G684" s="6" t="s">
        <v>10</v>
      </c>
    </row>
    <row r="685" spans="1:7" x14ac:dyDescent="0.3">
      <c r="A685" s="2" t="s">
        <v>858</v>
      </c>
      <c r="B685" s="2" t="s">
        <v>859</v>
      </c>
      <c r="C685" s="6" t="s">
        <v>860</v>
      </c>
      <c r="D685" s="1">
        <v>45312</v>
      </c>
      <c r="E685" s="4">
        <v>380.81</v>
      </c>
      <c r="F685" s="3">
        <v>3</v>
      </c>
      <c r="G685" s="6" t="s">
        <v>18</v>
      </c>
    </row>
    <row r="686" spans="1:7" x14ac:dyDescent="0.3">
      <c r="A686" s="2" t="s">
        <v>861</v>
      </c>
      <c r="B686" s="2" t="s">
        <v>859</v>
      </c>
      <c r="C686" s="6" t="s">
        <v>860</v>
      </c>
      <c r="D686" s="1">
        <v>45620</v>
      </c>
      <c r="E686" s="4">
        <v>71.86</v>
      </c>
      <c r="F686" s="3">
        <v>4</v>
      </c>
      <c r="G686" s="6" t="s">
        <v>18</v>
      </c>
    </row>
    <row r="687" spans="1:7" x14ac:dyDescent="0.3">
      <c r="A687" s="2" t="s">
        <v>862</v>
      </c>
      <c r="B687" s="2" t="s">
        <v>859</v>
      </c>
      <c r="C687" s="6" t="s">
        <v>860</v>
      </c>
      <c r="D687" s="1">
        <v>45336</v>
      </c>
      <c r="E687" s="4">
        <v>135.19</v>
      </c>
      <c r="F687" s="3">
        <v>1</v>
      </c>
      <c r="G687" s="6" t="s">
        <v>10</v>
      </c>
    </row>
    <row r="688" spans="1:7" x14ac:dyDescent="0.3">
      <c r="A688" s="2" t="s">
        <v>863</v>
      </c>
      <c r="B688" s="2" t="s">
        <v>859</v>
      </c>
      <c r="C688" s="6" t="s">
        <v>860</v>
      </c>
      <c r="D688" s="1">
        <v>45412</v>
      </c>
      <c r="E688" s="4">
        <v>492.64</v>
      </c>
      <c r="F688" s="3">
        <v>1</v>
      </c>
      <c r="G688" s="6" t="s">
        <v>26</v>
      </c>
    </row>
    <row r="689" spans="1:7" x14ac:dyDescent="0.3">
      <c r="A689" s="2" t="s">
        <v>864</v>
      </c>
      <c r="B689" s="2" t="s">
        <v>859</v>
      </c>
      <c r="C689" s="6" t="s">
        <v>860</v>
      </c>
      <c r="D689" s="1">
        <v>45310</v>
      </c>
      <c r="E689" s="4">
        <v>41.95</v>
      </c>
      <c r="F689" s="3">
        <v>3</v>
      </c>
      <c r="G689" s="6" t="s">
        <v>18</v>
      </c>
    </row>
    <row r="690" spans="1:7" x14ac:dyDescent="0.3">
      <c r="A690" s="2" t="s">
        <v>865</v>
      </c>
      <c r="B690" s="2" t="s">
        <v>859</v>
      </c>
      <c r="C690" s="6" t="s">
        <v>860</v>
      </c>
      <c r="D690" s="1">
        <v>45288</v>
      </c>
      <c r="E690" s="4">
        <v>273.95999999999998</v>
      </c>
      <c r="F690" s="3">
        <v>3</v>
      </c>
      <c r="G690" s="6" t="s">
        <v>15</v>
      </c>
    </row>
    <row r="691" spans="1:7" x14ac:dyDescent="0.3">
      <c r="A691" s="2" t="s">
        <v>866</v>
      </c>
      <c r="B691" s="2" t="s">
        <v>859</v>
      </c>
      <c r="C691" s="6" t="s">
        <v>860</v>
      </c>
      <c r="D691" s="1">
        <v>45506</v>
      </c>
      <c r="E691" s="4">
        <v>192.25</v>
      </c>
      <c r="F691" s="3">
        <v>3</v>
      </c>
      <c r="G691" s="6" t="s">
        <v>38</v>
      </c>
    </row>
    <row r="692" spans="1:7" x14ac:dyDescent="0.3">
      <c r="A692" s="2" t="s">
        <v>867</v>
      </c>
      <c r="B692" s="2" t="s">
        <v>859</v>
      </c>
      <c r="C692" s="6" t="s">
        <v>860</v>
      </c>
      <c r="D692" s="1">
        <v>45422</v>
      </c>
      <c r="E692" s="4">
        <v>55.77</v>
      </c>
      <c r="F692" s="3">
        <v>3</v>
      </c>
      <c r="G692" s="6" t="s">
        <v>10</v>
      </c>
    </row>
    <row r="693" spans="1:7" x14ac:dyDescent="0.3">
      <c r="A693" s="2" t="s">
        <v>868</v>
      </c>
      <c r="B693" s="2" t="s">
        <v>859</v>
      </c>
      <c r="C693" s="6" t="s">
        <v>860</v>
      </c>
      <c r="D693" s="1">
        <v>45511</v>
      </c>
      <c r="E693" s="4">
        <v>109.85</v>
      </c>
      <c r="F693" s="3">
        <v>4</v>
      </c>
      <c r="G693" s="6" t="s">
        <v>26</v>
      </c>
    </row>
    <row r="694" spans="1:7" x14ac:dyDescent="0.3">
      <c r="A694" s="2" t="s">
        <v>869</v>
      </c>
      <c r="B694" s="2" t="s">
        <v>859</v>
      </c>
      <c r="C694" s="6" t="s">
        <v>860</v>
      </c>
      <c r="D694" s="1">
        <v>45652</v>
      </c>
      <c r="E694" s="4">
        <v>184.77</v>
      </c>
      <c r="F694" s="3">
        <v>4</v>
      </c>
      <c r="G694" s="6" t="s">
        <v>38</v>
      </c>
    </row>
    <row r="695" spans="1:7" x14ac:dyDescent="0.3">
      <c r="A695" s="2" t="s">
        <v>870</v>
      </c>
      <c r="B695" s="2" t="s">
        <v>871</v>
      </c>
      <c r="C695" s="6" t="s">
        <v>872</v>
      </c>
      <c r="D695" s="1">
        <v>45102</v>
      </c>
      <c r="E695" s="4">
        <v>400.98</v>
      </c>
      <c r="F695" s="3">
        <v>4</v>
      </c>
      <c r="G695" s="6" t="s">
        <v>18</v>
      </c>
    </row>
    <row r="696" spans="1:7" x14ac:dyDescent="0.3">
      <c r="A696" s="2" t="s">
        <v>873</v>
      </c>
      <c r="B696" s="2" t="s">
        <v>871</v>
      </c>
      <c r="C696" s="6" t="s">
        <v>872</v>
      </c>
      <c r="D696" s="1">
        <v>45240</v>
      </c>
      <c r="E696" s="4">
        <v>87.4</v>
      </c>
      <c r="F696" s="3">
        <v>2</v>
      </c>
      <c r="G696" s="6" t="s">
        <v>15</v>
      </c>
    </row>
    <row r="697" spans="1:7" x14ac:dyDescent="0.3">
      <c r="A697" s="2" t="s">
        <v>874</v>
      </c>
      <c r="B697" s="2" t="s">
        <v>871</v>
      </c>
      <c r="C697" s="6" t="s">
        <v>872</v>
      </c>
      <c r="D697" s="1">
        <v>45298</v>
      </c>
      <c r="E697" s="4">
        <v>91.36</v>
      </c>
      <c r="F697" s="3">
        <v>1</v>
      </c>
      <c r="G697" s="6" t="s">
        <v>12</v>
      </c>
    </row>
    <row r="698" spans="1:7" x14ac:dyDescent="0.3">
      <c r="A698" s="2" t="s">
        <v>875</v>
      </c>
      <c r="B698" s="2" t="s">
        <v>871</v>
      </c>
      <c r="C698" s="6" t="s">
        <v>872</v>
      </c>
      <c r="D698" s="1">
        <v>45289</v>
      </c>
      <c r="E698" s="4">
        <v>449.62</v>
      </c>
      <c r="F698" s="3">
        <v>4</v>
      </c>
      <c r="G698" s="6" t="s">
        <v>12</v>
      </c>
    </row>
    <row r="699" spans="1:7" x14ac:dyDescent="0.3">
      <c r="A699" s="2" t="s">
        <v>876</v>
      </c>
      <c r="B699" s="2" t="s">
        <v>871</v>
      </c>
      <c r="C699" s="6" t="s">
        <v>872</v>
      </c>
      <c r="D699" s="1">
        <v>45516</v>
      </c>
      <c r="E699" s="4">
        <v>78.95</v>
      </c>
      <c r="F699" s="3">
        <v>3</v>
      </c>
      <c r="G699" s="6" t="s">
        <v>38</v>
      </c>
    </row>
    <row r="700" spans="1:7" x14ac:dyDescent="0.3">
      <c r="A700" s="2" t="s">
        <v>877</v>
      </c>
      <c r="B700" s="2" t="s">
        <v>878</v>
      </c>
      <c r="C700" s="6" t="s">
        <v>879</v>
      </c>
      <c r="D700" s="1">
        <v>45633</v>
      </c>
      <c r="E700" s="4">
        <v>163.44999999999999</v>
      </c>
      <c r="F700" s="3">
        <v>2</v>
      </c>
      <c r="G700" s="6" t="s">
        <v>18</v>
      </c>
    </row>
    <row r="701" spans="1:7" x14ac:dyDescent="0.3">
      <c r="A701" s="2" t="s">
        <v>880</v>
      </c>
      <c r="B701" s="2" t="s">
        <v>878</v>
      </c>
      <c r="C701" s="6" t="s">
        <v>879</v>
      </c>
      <c r="D701" s="1">
        <v>45380</v>
      </c>
      <c r="E701" s="4">
        <v>50.9</v>
      </c>
      <c r="F701" s="3">
        <v>4</v>
      </c>
      <c r="G701" s="6" t="s">
        <v>38</v>
      </c>
    </row>
    <row r="702" spans="1:7" x14ac:dyDescent="0.3">
      <c r="A702" s="2" t="s">
        <v>881</v>
      </c>
      <c r="B702" s="2" t="s">
        <v>878</v>
      </c>
      <c r="C702" s="6" t="s">
        <v>879</v>
      </c>
      <c r="D702" s="1">
        <v>45030</v>
      </c>
      <c r="E702" s="4">
        <v>494.32</v>
      </c>
      <c r="F702" s="3">
        <v>3</v>
      </c>
      <c r="G702" s="6" t="s">
        <v>10</v>
      </c>
    </row>
    <row r="703" spans="1:7" x14ac:dyDescent="0.3">
      <c r="A703" s="2" t="s">
        <v>882</v>
      </c>
      <c r="B703" s="2" t="s">
        <v>878</v>
      </c>
      <c r="C703" s="6" t="s">
        <v>879</v>
      </c>
      <c r="D703" s="1">
        <v>45547</v>
      </c>
      <c r="E703" s="4">
        <v>365.34</v>
      </c>
      <c r="F703" s="3">
        <v>4</v>
      </c>
      <c r="G703" s="6" t="s">
        <v>26</v>
      </c>
    </row>
    <row r="704" spans="1:7" x14ac:dyDescent="0.3">
      <c r="A704" s="2" t="s">
        <v>883</v>
      </c>
      <c r="B704" s="2" t="s">
        <v>878</v>
      </c>
      <c r="C704" s="6" t="s">
        <v>879</v>
      </c>
      <c r="D704" s="1">
        <v>45116</v>
      </c>
      <c r="E704" s="4">
        <v>490.09</v>
      </c>
      <c r="F704" s="3">
        <v>3</v>
      </c>
      <c r="G704" s="6" t="s">
        <v>12</v>
      </c>
    </row>
    <row r="705" spans="1:7" x14ac:dyDescent="0.3">
      <c r="A705" s="2" t="s">
        <v>884</v>
      </c>
      <c r="B705" s="2" t="s">
        <v>878</v>
      </c>
      <c r="C705" s="6" t="s">
        <v>879</v>
      </c>
      <c r="D705" s="1">
        <v>45654</v>
      </c>
      <c r="E705" s="4">
        <v>16.18</v>
      </c>
      <c r="F705" s="3">
        <v>3</v>
      </c>
      <c r="G705" s="6" t="s">
        <v>38</v>
      </c>
    </row>
    <row r="706" spans="1:7" x14ac:dyDescent="0.3">
      <c r="A706" s="2" t="s">
        <v>885</v>
      </c>
      <c r="B706" s="2" t="s">
        <v>878</v>
      </c>
      <c r="C706" s="6" t="s">
        <v>879</v>
      </c>
      <c r="D706" s="1">
        <v>45367</v>
      </c>
      <c r="E706" s="4">
        <v>24.39</v>
      </c>
      <c r="F706" s="3">
        <v>2</v>
      </c>
      <c r="G706" s="6" t="s">
        <v>15</v>
      </c>
    </row>
    <row r="707" spans="1:7" x14ac:dyDescent="0.3">
      <c r="A707" s="2" t="s">
        <v>886</v>
      </c>
      <c r="B707" s="2" t="s">
        <v>878</v>
      </c>
      <c r="C707" s="6" t="s">
        <v>879</v>
      </c>
      <c r="D707" s="1">
        <v>45396</v>
      </c>
      <c r="E707" s="4">
        <v>195.72</v>
      </c>
      <c r="F707" s="3">
        <v>1</v>
      </c>
      <c r="G707" s="6" t="s">
        <v>12</v>
      </c>
    </row>
    <row r="708" spans="1:7" x14ac:dyDescent="0.3">
      <c r="A708" s="2" t="s">
        <v>887</v>
      </c>
      <c r="B708" s="2" t="s">
        <v>888</v>
      </c>
      <c r="C708" s="6" t="s">
        <v>889</v>
      </c>
      <c r="D708" s="1">
        <v>45415</v>
      </c>
      <c r="E708" s="4">
        <v>411.34</v>
      </c>
      <c r="F708" s="3">
        <v>2</v>
      </c>
      <c r="G708" s="6" t="s">
        <v>26</v>
      </c>
    </row>
    <row r="709" spans="1:7" x14ac:dyDescent="0.3">
      <c r="A709" s="2" t="s">
        <v>890</v>
      </c>
      <c r="B709" s="2" t="s">
        <v>888</v>
      </c>
      <c r="C709" s="6" t="s">
        <v>889</v>
      </c>
      <c r="D709" s="1">
        <v>45361</v>
      </c>
      <c r="E709" s="4">
        <v>382.2</v>
      </c>
      <c r="F709" s="3">
        <v>3</v>
      </c>
      <c r="G709" s="6" t="s">
        <v>38</v>
      </c>
    </row>
    <row r="710" spans="1:7" x14ac:dyDescent="0.3">
      <c r="A710" s="2" t="s">
        <v>891</v>
      </c>
      <c r="B710" s="2" t="s">
        <v>888</v>
      </c>
      <c r="C710" s="6" t="s">
        <v>889</v>
      </c>
      <c r="D710" s="1">
        <v>45600</v>
      </c>
      <c r="E710" s="4">
        <v>412.6</v>
      </c>
      <c r="F710" s="3">
        <v>1</v>
      </c>
      <c r="G710" s="6" t="s">
        <v>15</v>
      </c>
    </row>
    <row r="711" spans="1:7" x14ac:dyDescent="0.3">
      <c r="A711" s="2" t="s">
        <v>892</v>
      </c>
      <c r="B711" s="2" t="s">
        <v>888</v>
      </c>
      <c r="C711" s="6" t="s">
        <v>889</v>
      </c>
      <c r="D711" s="1">
        <v>45363</v>
      </c>
      <c r="E711" s="4">
        <v>134.62</v>
      </c>
      <c r="F711" s="3">
        <v>3</v>
      </c>
      <c r="G711" s="6" t="s">
        <v>18</v>
      </c>
    </row>
    <row r="712" spans="1:7" x14ac:dyDescent="0.3">
      <c r="A712" s="2" t="s">
        <v>893</v>
      </c>
      <c r="B712" s="2" t="s">
        <v>888</v>
      </c>
      <c r="C712" s="6" t="s">
        <v>889</v>
      </c>
      <c r="D712" s="1">
        <v>45226</v>
      </c>
      <c r="E712" s="4">
        <v>174.25</v>
      </c>
      <c r="F712" s="3">
        <v>4</v>
      </c>
      <c r="G712" s="6" t="s">
        <v>26</v>
      </c>
    </row>
    <row r="713" spans="1:7" x14ac:dyDescent="0.3">
      <c r="A713" s="2" t="s">
        <v>894</v>
      </c>
      <c r="B713" s="2" t="s">
        <v>888</v>
      </c>
      <c r="C713" s="6" t="s">
        <v>889</v>
      </c>
      <c r="D713" s="1">
        <v>45427</v>
      </c>
      <c r="E713" s="4">
        <v>65.34</v>
      </c>
      <c r="F713" s="3">
        <v>2</v>
      </c>
      <c r="G713" s="6" t="s">
        <v>26</v>
      </c>
    </row>
    <row r="714" spans="1:7" x14ac:dyDescent="0.3">
      <c r="A714" s="2" t="s">
        <v>895</v>
      </c>
      <c r="B714" s="2" t="s">
        <v>888</v>
      </c>
      <c r="C714" s="6" t="s">
        <v>889</v>
      </c>
      <c r="D714" s="1">
        <v>45567</v>
      </c>
      <c r="E714" s="4">
        <v>127.54</v>
      </c>
      <c r="F714" s="3">
        <v>2</v>
      </c>
      <c r="G714" s="6" t="s">
        <v>15</v>
      </c>
    </row>
    <row r="715" spans="1:7" x14ac:dyDescent="0.3">
      <c r="A715" s="2" t="s">
        <v>896</v>
      </c>
      <c r="B715" s="2" t="s">
        <v>888</v>
      </c>
      <c r="C715" s="6" t="s">
        <v>889</v>
      </c>
      <c r="D715" s="1">
        <v>45191</v>
      </c>
      <c r="E715" s="4">
        <v>372.44</v>
      </c>
      <c r="F715" s="3">
        <v>2</v>
      </c>
      <c r="G715" s="6" t="s">
        <v>26</v>
      </c>
    </row>
    <row r="716" spans="1:7" x14ac:dyDescent="0.3">
      <c r="A716" s="2" t="s">
        <v>897</v>
      </c>
      <c r="B716" s="2" t="s">
        <v>888</v>
      </c>
      <c r="C716" s="6" t="s">
        <v>889</v>
      </c>
      <c r="D716" s="1">
        <v>45225</v>
      </c>
      <c r="E716" s="4">
        <v>329.06</v>
      </c>
      <c r="F716" s="3">
        <v>1</v>
      </c>
      <c r="G716" s="6" t="s">
        <v>18</v>
      </c>
    </row>
    <row r="717" spans="1:7" x14ac:dyDescent="0.3">
      <c r="A717" s="2" t="s">
        <v>898</v>
      </c>
      <c r="B717" s="2" t="s">
        <v>888</v>
      </c>
      <c r="C717" s="6" t="s">
        <v>889</v>
      </c>
      <c r="D717" s="1">
        <v>45475</v>
      </c>
      <c r="E717" s="4">
        <v>405.04</v>
      </c>
      <c r="F717" s="3">
        <v>3</v>
      </c>
      <c r="G717" s="6" t="s">
        <v>18</v>
      </c>
    </row>
    <row r="718" spans="1:7" x14ac:dyDescent="0.3">
      <c r="A718" s="2" t="s">
        <v>899</v>
      </c>
      <c r="B718" s="2" t="s">
        <v>888</v>
      </c>
      <c r="C718" s="6" t="s">
        <v>889</v>
      </c>
      <c r="D718" s="1">
        <v>45497</v>
      </c>
      <c r="E718" s="4">
        <v>320.73</v>
      </c>
      <c r="F718" s="3">
        <v>1</v>
      </c>
      <c r="G718" s="6" t="s">
        <v>15</v>
      </c>
    </row>
    <row r="719" spans="1:7" x14ac:dyDescent="0.3">
      <c r="A719" s="2" t="s">
        <v>900</v>
      </c>
      <c r="B719" s="2" t="s">
        <v>888</v>
      </c>
      <c r="C719" s="6" t="s">
        <v>889</v>
      </c>
      <c r="D719" s="1">
        <v>45422</v>
      </c>
      <c r="E719" s="4">
        <v>62.11</v>
      </c>
      <c r="F719" s="3">
        <v>4</v>
      </c>
      <c r="G719" s="6" t="s">
        <v>12</v>
      </c>
    </row>
    <row r="720" spans="1:7" x14ac:dyDescent="0.3">
      <c r="A720" s="2" t="s">
        <v>901</v>
      </c>
      <c r="B720" s="2" t="s">
        <v>902</v>
      </c>
      <c r="C720" s="6" t="s">
        <v>903</v>
      </c>
      <c r="D720" s="1">
        <v>45518</v>
      </c>
      <c r="E720" s="4">
        <v>95.69</v>
      </c>
      <c r="F720" s="3">
        <v>4</v>
      </c>
      <c r="G720" s="6" t="s">
        <v>38</v>
      </c>
    </row>
    <row r="721" spans="1:7" x14ac:dyDescent="0.3">
      <c r="A721" s="2" t="s">
        <v>904</v>
      </c>
      <c r="B721" s="2" t="s">
        <v>902</v>
      </c>
      <c r="C721" s="6" t="s">
        <v>903</v>
      </c>
      <c r="D721" s="1">
        <v>45595</v>
      </c>
      <c r="E721" s="4">
        <v>495.95</v>
      </c>
      <c r="F721" s="3">
        <v>4</v>
      </c>
      <c r="G721" s="6" t="s">
        <v>12</v>
      </c>
    </row>
    <row r="722" spans="1:7" x14ac:dyDescent="0.3">
      <c r="A722" s="2" t="s">
        <v>905</v>
      </c>
      <c r="B722" s="2" t="s">
        <v>902</v>
      </c>
      <c r="C722" s="6" t="s">
        <v>903</v>
      </c>
      <c r="D722" s="1">
        <v>45624</v>
      </c>
      <c r="E722" s="4">
        <v>115.61</v>
      </c>
      <c r="F722" s="3">
        <v>3</v>
      </c>
      <c r="G722" s="6" t="s">
        <v>10</v>
      </c>
    </row>
    <row r="723" spans="1:7" x14ac:dyDescent="0.3">
      <c r="A723" s="2" t="s">
        <v>906</v>
      </c>
      <c r="B723" s="2" t="s">
        <v>902</v>
      </c>
      <c r="C723" s="6" t="s">
        <v>903</v>
      </c>
      <c r="D723" s="1">
        <v>45528</v>
      </c>
      <c r="E723" s="4">
        <v>158.93</v>
      </c>
      <c r="F723" s="3">
        <v>4</v>
      </c>
      <c r="G723" s="6" t="s">
        <v>18</v>
      </c>
    </row>
    <row r="724" spans="1:7" x14ac:dyDescent="0.3">
      <c r="A724" s="2" t="s">
        <v>907</v>
      </c>
      <c r="B724" s="2" t="s">
        <v>902</v>
      </c>
      <c r="C724" s="6" t="s">
        <v>903</v>
      </c>
      <c r="D724" s="1">
        <v>45613</v>
      </c>
      <c r="E724" s="4">
        <v>452.77</v>
      </c>
      <c r="F724" s="3">
        <v>3</v>
      </c>
      <c r="G724" s="6" t="s">
        <v>38</v>
      </c>
    </row>
    <row r="725" spans="1:7" x14ac:dyDescent="0.3">
      <c r="A725" s="2" t="s">
        <v>908</v>
      </c>
      <c r="B725" s="2" t="s">
        <v>902</v>
      </c>
      <c r="C725" s="6" t="s">
        <v>903</v>
      </c>
      <c r="D725" s="1">
        <v>45608</v>
      </c>
      <c r="E725" s="4">
        <v>396.34</v>
      </c>
      <c r="F725" s="3">
        <v>3</v>
      </c>
      <c r="G725" s="6" t="s">
        <v>10</v>
      </c>
    </row>
    <row r="726" spans="1:7" x14ac:dyDescent="0.3">
      <c r="A726" s="2" t="s">
        <v>909</v>
      </c>
      <c r="B726" s="2" t="s">
        <v>902</v>
      </c>
      <c r="C726" s="6" t="s">
        <v>903</v>
      </c>
      <c r="D726" s="1">
        <v>45586</v>
      </c>
      <c r="E726" s="4">
        <v>454.53</v>
      </c>
      <c r="F726" s="3">
        <v>3</v>
      </c>
      <c r="G726" s="6" t="s">
        <v>12</v>
      </c>
    </row>
    <row r="727" spans="1:7" x14ac:dyDescent="0.3">
      <c r="A727" s="2" t="s">
        <v>910</v>
      </c>
      <c r="B727" s="2" t="s">
        <v>902</v>
      </c>
      <c r="C727" s="6" t="s">
        <v>903</v>
      </c>
      <c r="D727" s="1">
        <v>45622</v>
      </c>
      <c r="E727" s="4">
        <v>92.85</v>
      </c>
      <c r="F727" s="3">
        <v>4</v>
      </c>
      <c r="G727" s="6" t="s">
        <v>26</v>
      </c>
    </row>
    <row r="728" spans="1:7" x14ac:dyDescent="0.3">
      <c r="A728" s="2" t="s">
        <v>911</v>
      </c>
      <c r="B728" s="2" t="s">
        <v>912</v>
      </c>
      <c r="C728" s="6" t="s">
        <v>913</v>
      </c>
      <c r="D728" s="1">
        <v>45219</v>
      </c>
      <c r="E728" s="4">
        <v>433.64</v>
      </c>
      <c r="F728" s="3">
        <v>3</v>
      </c>
      <c r="G728" s="6" t="s">
        <v>18</v>
      </c>
    </row>
    <row r="729" spans="1:7" x14ac:dyDescent="0.3">
      <c r="A729" s="2" t="s">
        <v>914</v>
      </c>
      <c r="B729" s="2" t="s">
        <v>912</v>
      </c>
      <c r="C729" s="6" t="s">
        <v>913</v>
      </c>
      <c r="D729" s="1">
        <v>45619</v>
      </c>
      <c r="E729" s="4">
        <v>403.15</v>
      </c>
      <c r="F729" s="3">
        <v>4</v>
      </c>
      <c r="G729" s="6" t="s">
        <v>12</v>
      </c>
    </row>
    <row r="730" spans="1:7" x14ac:dyDescent="0.3">
      <c r="A730" s="2" t="s">
        <v>915</v>
      </c>
      <c r="B730" s="2" t="s">
        <v>912</v>
      </c>
      <c r="C730" s="6" t="s">
        <v>913</v>
      </c>
      <c r="D730" s="1">
        <v>45358</v>
      </c>
      <c r="E730" s="4">
        <v>216.51</v>
      </c>
      <c r="F730" s="3">
        <v>2</v>
      </c>
      <c r="G730" s="6" t="s">
        <v>18</v>
      </c>
    </row>
    <row r="731" spans="1:7" x14ac:dyDescent="0.3">
      <c r="A731" s="2" t="s">
        <v>916</v>
      </c>
      <c r="B731" s="2" t="s">
        <v>912</v>
      </c>
      <c r="C731" s="6" t="s">
        <v>913</v>
      </c>
      <c r="D731" s="1">
        <v>45160</v>
      </c>
      <c r="E731" s="4">
        <v>486.66</v>
      </c>
      <c r="F731" s="3">
        <v>2</v>
      </c>
      <c r="G731" s="6" t="s">
        <v>12</v>
      </c>
    </row>
    <row r="732" spans="1:7" x14ac:dyDescent="0.3">
      <c r="A732" s="2" t="s">
        <v>917</v>
      </c>
      <c r="B732" s="2" t="s">
        <v>912</v>
      </c>
      <c r="C732" s="6" t="s">
        <v>913</v>
      </c>
      <c r="D732" s="1">
        <v>45352</v>
      </c>
      <c r="E732" s="4">
        <v>404.4</v>
      </c>
      <c r="F732" s="3">
        <v>1</v>
      </c>
      <c r="G732" s="6" t="s">
        <v>15</v>
      </c>
    </row>
    <row r="733" spans="1:7" x14ac:dyDescent="0.3">
      <c r="A733" s="2" t="s">
        <v>918</v>
      </c>
      <c r="B733" s="2" t="s">
        <v>912</v>
      </c>
      <c r="C733" s="6" t="s">
        <v>913</v>
      </c>
      <c r="D733" s="1">
        <v>45404</v>
      </c>
      <c r="E733" s="4">
        <v>314.45999999999998</v>
      </c>
      <c r="F733" s="3">
        <v>3</v>
      </c>
      <c r="G733" s="6" t="s">
        <v>38</v>
      </c>
    </row>
    <row r="734" spans="1:7" x14ac:dyDescent="0.3">
      <c r="A734" s="2" t="s">
        <v>919</v>
      </c>
      <c r="B734" s="2" t="s">
        <v>912</v>
      </c>
      <c r="C734" s="6" t="s">
        <v>913</v>
      </c>
      <c r="D734" s="1">
        <v>45452</v>
      </c>
      <c r="E734" s="4">
        <v>271.01</v>
      </c>
      <c r="F734" s="3">
        <v>3</v>
      </c>
      <c r="G734" s="6" t="s">
        <v>12</v>
      </c>
    </row>
    <row r="735" spans="1:7" x14ac:dyDescent="0.3">
      <c r="A735" s="2" t="s">
        <v>920</v>
      </c>
      <c r="B735" s="2" t="s">
        <v>912</v>
      </c>
      <c r="C735" s="6" t="s">
        <v>913</v>
      </c>
      <c r="D735" s="1">
        <v>45475</v>
      </c>
      <c r="E735" s="4">
        <v>117.04</v>
      </c>
      <c r="F735" s="3">
        <v>1</v>
      </c>
      <c r="G735" s="6" t="s">
        <v>10</v>
      </c>
    </row>
    <row r="736" spans="1:7" x14ac:dyDescent="0.3">
      <c r="A736" s="2" t="s">
        <v>921</v>
      </c>
      <c r="B736" s="2" t="s">
        <v>912</v>
      </c>
      <c r="C736" s="6" t="s">
        <v>913</v>
      </c>
      <c r="D736" s="1">
        <v>45542</v>
      </c>
      <c r="E736" s="4">
        <v>128.53</v>
      </c>
      <c r="F736" s="3">
        <v>4</v>
      </c>
      <c r="G736" s="6" t="s">
        <v>38</v>
      </c>
    </row>
    <row r="737" spans="1:7" x14ac:dyDescent="0.3">
      <c r="A737" s="2" t="s">
        <v>922</v>
      </c>
      <c r="B737" s="2" t="s">
        <v>912</v>
      </c>
      <c r="C737" s="6" t="s">
        <v>913</v>
      </c>
      <c r="D737" s="1">
        <v>45166</v>
      </c>
      <c r="E737" s="4">
        <v>414.02</v>
      </c>
      <c r="F737" s="3">
        <v>3</v>
      </c>
      <c r="G737" s="6" t="s">
        <v>10</v>
      </c>
    </row>
    <row r="738" spans="1:7" x14ac:dyDescent="0.3">
      <c r="A738" s="2" t="s">
        <v>923</v>
      </c>
      <c r="B738" s="2" t="s">
        <v>912</v>
      </c>
      <c r="C738" s="6" t="s">
        <v>913</v>
      </c>
      <c r="D738" s="1">
        <v>45411</v>
      </c>
      <c r="E738" s="4">
        <v>374.16</v>
      </c>
      <c r="F738" s="3">
        <v>3</v>
      </c>
      <c r="G738" s="6" t="s">
        <v>15</v>
      </c>
    </row>
    <row r="739" spans="1:7" x14ac:dyDescent="0.3">
      <c r="A739" s="2" t="s">
        <v>924</v>
      </c>
      <c r="B739" s="2" t="s">
        <v>912</v>
      </c>
      <c r="C739" s="6" t="s">
        <v>913</v>
      </c>
      <c r="D739" s="1">
        <v>45145</v>
      </c>
      <c r="E739" s="4">
        <v>439.85</v>
      </c>
      <c r="F739" s="3">
        <v>1</v>
      </c>
      <c r="G739" s="6" t="s">
        <v>26</v>
      </c>
    </row>
    <row r="740" spans="1:7" x14ac:dyDescent="0.3">
      <c r="A740" s="2" t="s">
        <v>925</v>
      </c>
      <c r="B740" s="2" t="s">
        <v>912</v>
      </c>
      <c r="C740" s="6" t="s">
        <v>913</v>
      </c>
      <c r="D740" s="1">
        <v>45204</v>
      </c>
      <c r="E740" s="4">
        <v>316.83</v>
      </c>
      <c r="F740" s="3">
        <v>2</v>
      </c>
      <c r="G740" s="6" t="s">
        <v>10</v>
      </c>
    </row>
    <row r="741" spans="1:7" x14ac:dyDescent="0.3">
      <c r="A741" s="2" t="s">
        <v>926</v>
      </c>
      <c r="B741" s="2" t="s">
        <v>912</v>
      </c>
      <c r="C741" s="6" t="s">
        <v>913</v>
      </c>
      <c r="D741" s="1">
        <v>45509</v>
      </c>
      <c r="E741" s="4">
        <v>26.99</v>
      </c>
      <c r="F741" s="3">
        <v>3</v>
      </c>
      <c r="G741" s="6" t="s">
        <v>12</v>
      </c>
    </row>
    <row r="742" spans="1:7" x14ac:dyDescent="0.3">
      <c r="A742" s="2" t="s">
        <v>927</v>
      </c>
      <c r="B742" s="2" t="s">
        <v>928</v>
      </c>
      <c r="C742" s="6" t="s">
        <v>929</v>
      </c>
      <c r="D742" s="1">
        <v>45534</v>
      </c>
      <c r="E742" s="4">
        <v>265.51</v>
      </c>
      <c r="F742" s="3">
        <v>4</v>
      </c>
      <c r="G742" s="6" t="s">
        <v>10</v>
      </c>
    </row>
    <row r="743" spans="1:7" x14ac:dyDescent="0.3">
      <c r="A743" s="2" t="s">
        <v>930</v>
      </c>
      <c r="B743" s="2" t="s">
        <v>928</v>
      </c>
      <c r="C743" s="6" t="s">
        <v>929</v>
      </c>
      <c r="D743" s="1">
        <v>45341</v>
      </c>
      <c r="E743" s="4">
        <v>117.91</v>
      </c>
      <c r="F743" s="3">
        <v>1</v>
      </c>
      <c r="G743" s="6" t="s">
        <v>15</v>
      </c>
    </row>
    <row r="744" spans="1:7" x14ac:dyDescent="0.3">
      <c r="A744" s="2" t="s">
        <v>931</v>
      </c>
      <c r="B744" s="2" t="s">
        <v>928</v>
      </c>
      <c r="C744" s="6" t="s">
        <v>929</v>
      </c>
      <c r="D744" s="1">
        <v>45266</v>
      </c>
      <c r="E744" s="4">
        <v>455.72</v>
      </c>
      <c r="F744" s="3">
        <v>3</v>
      </c>
      <c r="G744" s="6" t="s">
        <v>15</v>
      </c>
    </row>
    <row r="745" spans="1:7" x14ac:dyDescent="0.3">
      <c r="A745" s="2" t="s">
        <v>932</v>
      </c>
      <c r="B745" s="2" t="s">
        <v>928</v>
      </c>
      <c r="C745" s="6" t="s">
        <v>929</v>
      </c>
      <c r="D745" s="1">
        <v>45547</v>
      </c>
      <c r="E745" s="4">
        <v>440.7</v>
      </c>
      <c r="F745" s="3">
        <v>4</v>
      </c>
      <c r="G745" s="6" t="s">
        <v>38</v>
      </c>
    </row>
    <row r="746" spans="1:7" x14ac:dyDescent="0.3">
      <c r="A746" s="2" t="s">
        <v>933</v>
      </c>
      <c r="B746" s="2" t="s">
        <v>928</v>
      </c>
      <c r="C746" s="6" t="s">
        <v>929</v>
      </c>
      <c r="D746" s="1">
        <v>45366</v>
      </c>
      <c r="E746" s="4">
        <v>350.28</v>
      </c>
      <c r="F746" s="3">
        <v>2</v>
      </c>
      <c r="G746" s="6" t="s">
        <v>15</v>
      </c>
    </row>
    <row r="747" spans="1:7" x14ac:dyDescent="0.3">
      <c r="A747" s="2" t="s">
        <v>934</v>
      </c>
      <c r="B747" s="2" t="s">
        <v>928</v>
      </c>
      <c r="C747" s="6" t="s">
        <v>929</v>
      </c>
      <c r="D747" s="1">
        <v>45653</v>
      </c>
      <c r="E747" s="4">
        <v>237.57</v>
      </c>
      <c r="F747" s="3">
        <v>3</v>
      </c>
      <c r="G747" s="6" t="s">
        <v>38</v>
      </c>
    </row>
    <row r="748" spans="1:7" x14ac:dyDescent="0.3">
      <c r="A748" s="2" t="s">
        <v>935</v>
      </c>
      <c r="B748" s="2" t="s">
        <v>928</v>
      </c>
      <c r="C748" s="6" t="s">
        <v>929</v>
      </c>
      <c r="D748" s="1">
        <v>45091</v>
      </c>
      <c r="E748" s="4">
        <v>90.76</v>
      </c>
      <c r="F748" s="3">
        <v>4</v>
      </c>
      <c r="G748" s="6" t="s">
        <v>18</v>
      </c>
    </row>
    <row r="749" spans="1:7" x14ac:dyDescent="0.3">
      <c r="A749" s="2" t="s">
        <v>936</v>
      </c>
      <c r="B749" s="2" t="s">
        <v>928</v>
      </c>
      <c r="C749" s="6" t="s">
        <v>929</v>
      </c>
      <c r="D749" s="1">
        <v>45598</v>
      </c>
      <c r="E749" s="4">
        <v>319.33999999999997</v>
      </c>
      <c r="F749" s="3">
        <v>1</v>
      </c>
      <c r="G749" s="6" t="s">
        <v>15</v>
      </c>
    </row>
    <row r="750" spans="1:7" x14ac:dyDescent="0.3">
      <c r="A750" s="2" t="s">
        <v>937</v>
      </c>
      <c r="B750" s="2" t="s">
        <v>928</v>
      </c>
      <c r="C750" s="6" t="s">
        <v>929</v>
      </c>
      <c r="D750" s="1">
        <v>45244</v>
      </c>
      <c r="E750" s="4">
        <v>126.34</v>
      </c>
      <c r="F750" s="3">
        <v>4</v>
      </c>
      <c r="G750" s="6" t="s">
        <v>15</v>
      </c>
    </row>
    <row r="751" spans="1:7" x14ac:dyDescent="0.3">
      <c r="A751" s="2" t="s">
        <v>938</v>
      </c>
      <c r="B751" s="2" t="s">
        <v>928</v>
      </c>
      <c r="C751" s="6" t="s">
        <v>929</v>
      </c>
      <c r="D751" s="1">
        <v>45471</v>
      </c>
      <c r="E751" s="4">
        <v>395.51</v>
      </c>
      <c r="F751" s="3">
        <v>2</v>
      </c>
      <c r="G751" s="6" t="s">
        <v>12</v>
      </c>
    </row>
    <row r="752" spans="1:7" x14ac:dyDescent="0.3">
      <c r="A752" s="2" t="s">
        <v>939</v>
      </c>
      <c r="B752" s="2" t="s">
        <v>928</v>
      </c>
      <c r="C752" s="6" t="s">
        <v>929</v>
      </c>
      <c r="D752" s="1">
        <v>45557</v>
      </c>
      <c r="E752" s="4">
        <v>475.76</v>
      </c>
      <c r="F752" s="3">
        <v>3</v>
      </c>
      <c r="G752" s="6" t="s">
        <v>26</v>
      </c>
    </row>
    <row r="753" spans="1:7" x14ac:dyDescent="0.3">
      <c r="A753" s="2" t="s">
        <v>940</v>
      </c>
      <c r="B753" s="2" t="s">
        <v>928</v>
      </c>
      <c r="C753" s="6" t="s">
        <v>929</v>
      </c>
      <c r="D753" s="1">
        <v>45426</v>
      </c>
      <c r="E753" s="4">
        <v>258.07</v>
      </c>
      <c r="F753" s="3">
        <v>2</v>
      </c>
      <c r="G753" s="6" t="s">
        <v>18</v>
      </c>
    </row>
    <row r="754" spans="1:7" x14ac:dyDescent="0.3">
      <c r="A754" s="2" t="s">
        <v>941</v>
      </c>
      <c r="B754" s="2" t="s">
        <v>928</v>
      </c>
      <c r="C754" s="6" t="s">
        <v>929</v>
      </c>
      <c r="D754" s="1">
        <v>45279</v>
      </c>
      <c r="E754" s="4">
        <v>134.65</v>
      </c>
      <c r="F754" s="3">
        <v>1</v>
      </c>
      <c r="G754" s="6" t="s">
        <v>38</v>
      </c>
    </row>
    <row r="755" spans="1:7" x14ac:dyDescent="0.3">
      <c r="A755" s="2" t="s">
        <v>942</v>
      </c>
      <c r="B755" s="2" t="s">
        <v>928</v>
      </c>
      <c r="C755" s="6" t="s">
        <v>929</v>
      </c>
      <c r="D755" s="1">
        <v>45327</v>
      </c>
      <c r="E755" s="4">
        <v>32.369999999999997</v>
      </c>
      <c r="F755" s="3">
        <v>4</v>
      </c>
      <c r="G755" s="6" t="s">
        <v>12</v>
      </c>
    </row>
    <row r="756" spans="1:7" x14ac:dyDescent="0.3">
      <c r="A756" s="2" t="s">
        <v>943</v>
      </c>
      <c r="B756" s="2" t="s">
        <v>944</v>
      </c>
      <c r="C756" s="6" t="s">
        <v>945</v>
      </c>
      <c r="D756" s="1">
        <v>45619</v>
      </c>
      <c r="E756" s="4">
        <v>172.36</v>
      </c>
      <c r="F756" s="3">
        <v>3</v>
      </c>
      <c r="G756" s="6" t="s">
        <v>38</v>
      </c>
    </row>
    <row r="757" spans="1:7" x14ac:dyDescent="0.3">
      <c r="A757" s="2" t="s">
        <v>946</v>
      </c>
      <c r="B757" s="2" t="s">
        <v>944</v>
      </c>
      <c r="C757" s="6" t="s">
        <v>945</v>
      </c>
      <c r="D757" s="1">
        <v>45602</v>
      </c>
      <c r="E757" s="4">
        <v>240.17</v>
      </c>
      <c r="F757" s="3">
        <v>4</v>
      </c>
      <c r="G757" s="6" t="s">
        <v>10</v>
      </c>
    </row>
    <row r="758" spans="1:7" x14ac:dyDescent="0.3">
      <c r="A758" s="2" t="s">
        <v>947</v>
      </c>
      <c r="B758" s="2" t="s">
        <v>944</v>
      </c>
      <c r="C758" s="6" t="s">
        <v>945</v>
      </c>
      <c r="D758" s="1">
        <v>45490</v>
      </c>
      <c r="E758" s="4">
        <v>299.52999999999997</v>
      </c>
      <c r="F758" s="3">
        <v>2</v>
      </c>
      <c r="G758" s="6" t="s">
        <v>10</v>
      </c>
    </row>
    <row r="759" spans="1:7" x14ac:dyDescent="0.3">
      <c r="A759" s="2" t="s">
        <v>948</v>
      </c>
      <c r="B759" s="2" t="s">
        <v>944</v>
      </c>
      <c r="C759" s="6" t="s">
        <v>945</v>
      </c>
      <c r="D759" s="1">
        <v>45227</v>
      </c>
      <c r="E759" s="4">
        <v>13.76</v>
      </c>
      <c r="F759" s="3">
        <v>4</v>
      </c>
      <c r="G759" s="6" t="s">
        <v>18</v>
      </c>
    </row>
    <row r="760" spans="1:7" x14ac:dyDescent="0.3">
      <c r="A760" s="2" t="s">
        <v>949</v>
      </c>
      <c r="B760" s="2" t="s">
        <v>944</v>
      </c>
      <c r="C760" s="6" t="s">
        <v>945</v>
      </c>
      <c r="D760" s="1">
        <v>45221</v>
      </c>
      <c r="E760" s="4">
        <v>423.52</v>
      </c>
      <c r="F760" s="3">
        <v>2</v>
      </c>
      <c r="G760" s="6" t="s">
        <v>38</v>
      </c>
    </row>
    <row r="761" spans="1:7" x14ac:dyDescent="0.3">
      <c r="A761" s="2" t="s">
        <v>950</v>
      </c>
      <c r="B761" s="2" t="s">
        <v>944</v>
      </c>
      <c r="C761" s="6" t="s">
        <v>945</v>
      </c>
      <c r="D761" s="1">
        <v>45473</v>
      </c>
      <c r="E761" s="4">
        <v>403.27</v>
      </c>
      <c r="F761" s="3">
        <v>4</v>
      </c>
      <c r="G761" s="6" t="s">
        <v>38</v>
      </c>
    </row>
    <row r="762" spans="1:7" x14ac:dyDescent="0.3">
      <c r="A762" s="2" t="s">
        <v>951</v>
      </c>
      <c r="B762" s="2" t="s">
        <v>944</v>
      </c>
      <c r="C762" s="6" t="s">
        <v>945</v>
      </c>
      <c r="D762" s="1">
        <v>45496</v>
      </c>
      <c r="E762" s="4">
        <v>204.43</v>
      </c>
      <c r="F762" s="3">
        <v>2</v>
      </c>
      <c r="G762" s="6" t="s">
        <v>18</v>
      </c>
    </row>
    <row r="763" spans="1:7" x14ac:dyDescent="0.3">
      <c r="A763" s="2" t="s">
        <v>952</v>
      </c>
      <c r="B763" s="2" t="s">
        <v>944</v>
      </c>
      <c r="C763" s="6" t="s">
        <v>945</v>
      </c>
      <c r="D763" s="1">
        <v>45411</v>
      </c>
      <c r="E763" s="4">
        <v>204.54</v>
      </c>
      <c r="F763" s="3">
        <v>1</v>
      </c>
      <c r="G763" s="6" t="s">
        <v>10</v>
      </c>
    </row>
    <row r="764" spans="1:7" x14ac:dyDescent="0.3">
      <c r="A764" s="2" t="s">
        <v>953</v>
      </c>
      <c r="B764" s="2" t="s">
        <v>944</v>
      </c>
      <c r="C764" s="6" t="s">
        <v>945</v>
      </c>
      <c r="D764" s="1">
        <v>45219</v>
      </c>
      <c r="E764" s="4">
        <v>410.92</v>
      </c>
      <c r="F764" s="3">
        <v>3</v>
      </c>
      <c r="G764" s="6" t="s">
        <v>10</v>
      </c>
    </row>
    <row r="765" spans="1:7" x14ac:dyDescent="0.3">
      <c r="A765" s="2" t="s">
        <v>954</v>
      </c>
      <c r="B765" s="2" t="s">
        <v>944</v>
      </c>
      <c r="C765" s="6" t="s">
        <v>945</v>
      </c>
      <c r="D765" s="1">
        <v>45237</v>
      </c>
      <c r="E765" s="4">
        <v>258.63</v>
      </c>
      <c r="F765" s="3">
        <v>3</v>
      </c>
      <c r="G765" s="6" t="s">
        <v>38</v>
      </c>
    </row>
    <row r="766" spans="1:7" x14ac:dyDescent="0.3">
      <c r="A766" s="2" t="s">
        <v>955</v>
      </c>
      <c r="B766" s="2" t="s">
        <v>956</v>
      </c>
      <c r="C766" s="6" t="s">
        <v>957</v>
      </c>
      <c r="D766" s="1">
        <v>45466</v>
      </c>
      <c r="E766" s="4">
        <v>465.42</v>
      </c>
      <c r="F766" s="3">
        <v>1</v>
      </c>
      <c r="G766" s="6" t="s">
        <v>10</v>
      </c>
    </row>
    <row r="767" spans="1:7" x14ac:dyDescent="0.3">
      <c r="A767" s="2" t="s">
        <v>958</v>
      </c>
      <c r="B767" s="2" t="s">
        <v>956</v>
      </c>
      <c r="C767" s="6" t="s">
        <v>957</v>
      </c>
      <c r="D767" s="1">
        <v>45301</v>
      </c>
      <c r="E767" s="4">
        <v>216.7</v>
      </c>
      <c r="F767" s="3">
        <v>4</v>
      </c>
      <c r="G767" s="6" t="s">
        <v>15</v>
      </c>
    </row>
    <row r="768" spans="1:7" x14ac:dyDescent="0.3">
      <c r="A768" s="2" t="s">
        <v>959</v>
      </c>
      <c r="B768" s="2" t="s">
        <v>956</v>
      </c>
      <c r="C768" s="6" t="s">
        <v>957</v>
      </c>
      <c r="D768" s="1">
        <v>45589</v>
      </c>
      <c r="E768" s="4">
        <v>338.76</v>
      </c>
      <c r="F768" s="3">
        <v>4</v>
      </c>
      <c r="G768" s="6" t="s">
        <v>10</v>
      </c>
    </row>
    <row r="769" spans="1:7" x14ac:dyDescent="0.3">
      <c r="A769" s="2" t="s">
        <v>960</v>
      </c>
      <c r="B769" s="2" t="s">
        <v>956</v>
      </c>
      <c r="C769" s="6" t="s">
        <v>957</v>
      </c>
      <c r="D769" s="1">
        <v>45578</v>
      </c>
      <c r="E769" s="4">
        <v>161.59</v>
      </c>
      <c r="F769" s="3">
        <v>2</v>
      </c>
      <c r="G769" s="6" t="s">
        <v>10</v>
      </c>
    </row>
    <row r="770" spans="1:7" x14ac:dyDescent="0.3">
      <c r="A770" s="2" t="s">
        <v>961</v>
      </c>
      <c r="B770" s="2" t="s">
        <v>956</v>
      </c>
      <c r="C770" s="6" t="s">
        <v>957</v>
      </c>
      <c r="D770" s="1">
        <v>45236</v>
      </c>
      <c r="E770" s="4">
        <v>477.48</v>
      </c>
      <c r="F770" s="3">
        <v>4</v>
      </c>
      <c r="G770" s="6" t="s">
        <v>10</v>
      </c>
    </row>
    <row r="771" spans="1:7" x14ac:dyDescent="0.3">
      <c r="A771" s="2" t="s">
        <v>962</v>
      </c>
      <c r="B771" s="2" t="s">
        <v>956</v>
      </c>
      <c r="C771" s="6" t="s">
        <v>957</v>
      </c>
      <c r="D771" s="1">
        <v>45286</v>
      </c>
      <c r="E771" s="4">
        <v>321.83999999999997</v>
      </c>
      <c r="F771" s="3">
        <v>1</v>
      </c>
      <c r="G771" s="6" t="s">
        <v>18</v>
      </c>
    </row>
    <row r="772" spans="1:7" x14ac:dyDescent="0.3">
      <c r="A772" s="2" t="s">
        <v>963</v>
      </c>
      <c r="B772" s="2" t="s">
        <v>956</v>
      </c>
      <c r="C772" s="6" t="s">
        <v>957</v>
      </c>
      <c r="D772" s="1">
        <v>45564</v>
      </c>
      <c r="E772" s="4">
        <v>39.17</v>
      </c>
      <c r="F772" s="3">
        <v>2</v>
      </c>
      <c r="G772" s="6" t="s">
        <v>15</v>
      </c>
    </row>
    <row r="773" spans="1:7" x14ac:dyDescent="0.3">
      <c r="A773" s="2" t="s">
        <v>964</v>
      </c>
      <c r="B773" s="2" t="s">
        <v>956</v>
      </c>
      <c r="C773" s="6" t="s">
        <v>957</v>
      </c>
      <c r="D773" s="1">
        <v>45457</v>
      </c>
      <c r="E773" s="4">
        <v>198.08</v>
      </c>
      <c r="F773" s="3">
        <v>2</v>
      </c>
      <c r="G773" s="6" t="s">
        <v>15</v>
      </c>
    </row>
    <row r="774" spans="1:7" x14ac:dyDescent="0.3">
      <c r="A774" s="2" t="s">
        <v>965</v>
      </c>
      <c r="B774" s="2" t="s">
        <v>956</v>
      </c>
      <c r="C774" s="6" t="s">
        <v>957</v>
      </c>
      <c r="D774" s="1">
        <v>45618</v>
      </c>
      <c r="E774" s="4">
        <v>69.3</v>
      </c>
      <c r="F774" s="3">
        <v>4</v>
      </c>
      <c r="G774" s="6" t="s">
        <v>15</v>
      </c>
    </row>
    <row r="775" spans="1:7" x14ac:dyDescent="0.3">
      <c r="A775" s="2" t="s">
        <v>966</v>
      </c>
      <c r="B775" s="2" t="s">
        <v>956</v>
      </c>
      <c r="C775" s="6" t="s">
        <v>957</v>
      </c>
      <c r="D775" s="1">
        <v>45217</v>
      </c>
      <c r="E775" s="4">
        <v>451.16</v>
      </c>
      <c r="F775" s="3">
        <v>2</v>
      </c>
      <c r="G775" s="6" t="s">
        <v>15</v>
      </c>
    </row>
    <row r="776" spans="1:7" x14ac:dyDescent="0.3">
      <c r="A776" s="2" t="s">
        <v>967</v>
      </c>
      <c r="B776" s="2" t="s">
        <v>956</v>
      </c>
      <c r="C776" s="6" t="s">
        <v>957</v>
      </c>
      <c r="D776" s="1">
        <v>45174</v>
      </c>
      <c r="E776" s="4">
        <v>471.45</v>
      </c>
      <c r="F776" s="3">
        <v>1</v>
      </c>
      <c r="G776" s="6" t="s">
        <v>10</v>
      </c>
    </row>
    <row r="777" spans="1:7" x14ac:dyDescent="0.3">
      <c r="A777" s="2" t="s">
        <v>968</v>
      </c>
      <c r="B777" s="2" t="s">
        <v>956</v>
      </c>
      <c r="C777" s="6" t="s">
        <v>957</v>
      </c>
      <c r="D777" s="1">
        <v>45335</v>
      </c>
      <c r="E777" s="4">
        <v>187.34</v>
      </c>
      <c r="F777" s="3">
        <v>1</v>
      </c>
      <c r="G777" s="6" t="s">
        <v>12</v>
      </c>
    </row>
    <row r="778" spans="1:7" x14ac:dyDescent="0.3">
      <c r="A778" s="2" t="s">
        <v>969</v>
      </c>
      <c r="B778" s="2" t="s">
        <v>956</v>
      </c>
      <c r="C778" s="6" t="s">
        <v>957</v>
      </c>
      <c r="D778" s="1">
        <v>45399</v>
      </c>
      <c r="E778" s="4">
        <v>256.06</v>
      </c>
      <c r="F778" s="3">
        <v>2</v>
      </c>
      <c r="G778" s="6" t="s">
        <v>12</v>
      </c>
    </row>
    <row r="779" spans="1:7" x14ac:dyDescent="0.3">
      <c r="A779" s="2" t="s">
        <v>970</v>
      </c>
      <c r="B779" s="2" t="s">
        <v>971</v>
      </c>
      <c r="C779" s="6" t="s">
        <v>972</v>
      </c>
      <c r="D779" s="1">
        <v>45289</v>
      </c>
      <c r="E779" s="4">
        <v>438.11</v>
      </c>
      <c r="F779" s="3">
        <v>2</v>
      </c>
      <c r="G779" s="6" t="s">
        <v>15</v>
      </c>
    </row>
    <row r="780" spans="1:7" x14ac:dyDescent="0.3">
      <c r="A780" s="2" t="s">
        <v>973</v>
      </c>
      <c r="B780" s="2" t="s">
        <v>971</v>
      </c>
      <c r="C780" s="6" t="s">
        <v>972</v>
      </c>
      <c r="D780" s="1">
        <v>45405</v>
      </c>
      <c r="E780" s="4">
        <v>373.08</v>
      </c>
      <c r="F780" s="3">
        <v>2</v>
      </c>
      <c r="G780" s="6" t="s">
        <v>10</v>
      </c>
    </row>
    <row r="781" spans="1:7" x14ac:dyDescent="0.3">
      <c r="A781" s="2" t="s">
        <v>974</v>
      </c>
      <c r="B781" s="2" t="s">
        <v>971</v>
      </c>
      <c r="C781" s="6" t="s">
        <v>972</v>
      </c>
      <c r="D781" s="1">
        <v>45637</v>
      </c>
      <c r="E781" s="4">
        <v>271.64</v>
      </c>
      <c r="F781" s="3">
        <v>1</v>
      </c>
      <c r="G781" s="6" t="s">
        <v>26</v>
      </c>
    </row>
    <row r="782" spans="1:7" x14ac:dyDescent="0.3">
      <c r="A782" s="2" t="s">
        <v>975</v>
      </c>
      <c r="B782" s="2" t="s">
        <v>971</v>
      </c>
      <c r="C782" s="6" t="s">
        <v>972</v>
      </c>
      <c r="D782" s="1">
        <v>45518</v>
      </c>
      <c r="E782" s="4">
        <v>154.57</v>
      </c>
      <c r="F782" s="3">
        <v>3</v>
      </c>
      <c r="G782" s="6" t="s">
        <v>38</v>
      </c>
    </row>
    <row r="783" spans="1:7" x14ac:dyDescent="0.3">
      <c r="A783" s="2" t="s">
        <v>976</v>
      </c>
      <c r="B783" s="2" t="s">
        <v>971</v>
      </c>
      <c r="C783" s="6" t="s">
        <v>972</v>
      </c>
      <c r="D783" s="1">
        <v>45551</v>
      </c>
      <c r="E783" s="4">
        <v>205.69</v>
      </c>
      <c r="F783" s="3">
        <v>1</v>
      </c>
      <c r="G783" s="6" t="s">
        <v>10</v>
      </c>
    </row>
    <row r="784" spans="1:7" x14ac:dyDescent="0.3">
      <c r="A784" s="2" t="s">
        <v>977</v>
      </c>
      <c r="B784" s="2" t="s">
        <v>971</v>
      </c>
      <c r="C784" s="6" t="s">
        <v>972</v>
      </c>
      <c r="D784" s="1">
        <v>45312</v>
      </c>
      <c r="E784" s="4">
        <v>283.73</v>
      </c>
      <c r="F784" s="3">
        <v>3</v>
      </c>
      <c r="G784" s="6" t="s">
        <v>38</v>
      </c>
    </row>
    <row r="785" spans="1:7" x14ac:dyDescent="0.3">
      <c r="A785" s="2" t="s">
        <v>978</v>
      </c>
      <c r="B785" s="2" t="s">
        <v>971</v>
      </c>
      <c r="C785" s="6" t="s">
        <v>972</v>
      </c>
      <c r="D785" s="1">
        <v>45544</v>
      </c>
      <c r="E785" s="4">
        <v>424.35</v>
      </c>
      <c r="F785" s="3">
        <v>3</v>
      </c>
      <c r="G785" s="6" t="s">
        <v>18</v>
      </c>
    </row>
    <row r="786" spans="1:7" x14ac:dyDescent="0.3">
      <c r="A786" s="2" t="s">
        <v>979</v>
      </c>
      <c r="B786" s="2" t="s">
        <v>971</v>
      </c>
      <c r="C786" s="6" t="s">
        <v>972</v>
      </c>
      <c r="D786" s="1">
        <v>45396</v>
      </c>
      <c r="E786" s="4">
        <v>207.91</v>
      </c>
      <c r="F786" s="3">
        <v>3</v>
      </c>
      <c r="G786" s="6" t="s">
        <v>10</v>
      </c>
    </row>
    <row r="787" spans="1:7" x14ac:dyDescent="0.3">
      <c r="A787" s="2" t="s">
        <v>980</v>
      </c>
      <c r="B787" s="2" t="s">
        <v>971</v>
      </c>
      <c r="C787" s="6" t="s">
        <v>972</v>
      </c>
      <c r="D787" s="1">
        <v>45323</v>
      </c>
      <c r="E787" s="4">
        <v>160.09</v>
      </c>
      <c r="F787" s="3">
        <v>2</v>
      </c>
      <c r="G787" s="6" t="s">
        <v>26</v>
      </c>
    </row>
    <row r="788" spans="1:7" x14ac:dyDescent="0.3">
      <c r="A788" s="2" t="s">
        <v>981</v>
      </c>
      <c r="B788" s="2" t="s">
        <v>982</v>
      </c>
      <c r="C788" s="6" t="s">
        <v>983</v>
      </c>
      <c r="D788" s="1">
        <v>45617</v>
      </c>
      <c r="E788" s="4">
        <v>198.28</v>
      </c>
      <c r="F788" s="3">
        <v>4</v>
      </c>
      <c r="G788" s="6" t="s">
        <v>12</v>
      </c>
    </row>
    <row r="789" spans="1:7" x14ac:dyDescent="0.3">
      <c r="A789" s="2" t="s">
        <v>984</v>
      </c>
      <c r="B789" s="2" t="s">
        <v>982</v>
      </c>
      <c r="C789" s="6" t="s">
        <v>983</v>
      </c>
      <c r="D789" s="1">
        <v>45435</v>
      </c>
      <c r="E789" s="4">
        <v>459.15</v>
      </c>
      <c r="F789" s="3">
        <v>4</v>
      </c>
      <c r="G789" s="6" t="s">
        <v>12</v>
      </c>
    </row>
    <row r="790" spans="1:7" x14ac:dyDescent="0.3">
      <c r="A790" s="2" t="s">
        <v>985</v>
      </c>
      <c r="B790" s="2" t="s">
        <v>982</v>
      </c>
      <c r="C790" s="6" t="s">
        <v>983</v>
      </c>
      <c r="D790" s="1">
        <v>45423</v>
      </c>
      <c r="E790" s="4">
        <v>191.87</v>
      </c>
      <c r="F790" s="3">
        <v>2</v>
      </c>
      <c r="G790" s="6" t="s">
        <v>38</v>
      </c>
    </row>
    <row r="791" spans="1:7" x14ac:dyDescent="0.3">
      <c r="A791" s="2" t="s">
        <v>986</v>
      </c>
      <c r="B791" s="2" t="s">
        <v>982</v>
      </c>
      <c r="C791" s="6" t="s">
        <v>983</v>
      </c>
      <c r="D791" s="1">
        <v>45363</v>
      </c>
      <c r="E791" s="4">
        <v>202.56</v>
      </c>
      <c r="F791" s="3">
        <v>4</v>
      </c>
      <c r="G791" s="6" t="s">
        <v>26</v>
      </c>
    </row>
    <row r="792" spans="1:7" x14ac:dyDescent="0.3">
      <c r="A792" s="2" t="s">
        <v>987</v>
      </c>
      <c r="B792" s="2" t="s">
        <v>982</v>
      </c>
      <c r="C792" s="6" t="s">
        <v>983</v>
      </c>
      <c r="D792" s="1">
        <v>45419</v>
      </c>
      <c r="E792" s="4">
        <v>220.96</v>
      </c>
      <c r="F792" s="3">
        <v>1</v>
      </c>
      <c r="G792" s="6" t="s">
        <v>15</v>
      </c>
    </row>
    <row r="793" spans="1:7" x14ac:dyDescent="0.3">
      <c r="A793" s="2" t="s">
        <v>988</v>
      </c>
      <c r="B793" s="2" t="s">
        <v>982</v>
      </c>
      <c r="C793" s="6" t="s">
        <v>983</v>
      </c>
      <c r="D793" s="1">
        <v>45319</v>
      </c>
      <c r="E793" s="4">
        <v>383.33</v>
      </c>
      <c r="F793" s="3">
        <v>3</v>
      </c>
      <c r="G793" s="6" t="s">
        <v>15</v>
      </c>
    </row>
    <row r="794" spans="1:7" x14ac:dyDescent="0.3">
      <c r="A794" s="2" t="s">
        <v>989</v>
      </c>
      <c r="B794" s="2" t="s">
        <v>982</v>
      </c>
      <c r="C794" s="6" t="s">
        <v>983</v>
      </c>
      <c r="D794" s="1">
        <v>45420</v>
      </c>
      <c r="E794" s="4">
        <v>263.45</v>
      </c>
      <c r="F794" s="3">
        <v>4</v>
      </c>
      <c r="G794" s="6" t="s">
        <v>26</v>
      </c>
    </row>
    <row r="795" spans="1:7" x14ac:dyDescent="0.3">
      <c r="A795" s="2" t="s">
        <v>990</v>
      </c>
      <c r="B795" s="2" t="s">
        <v>982</v>
      </c>
      <c r="C795" s="6" t="s">
        <v>983</v>
      </c>
      <c r="D795" s="1">
        <v>45389</v>
      </c>
      <c r="E795" s="4">
        <v>302.02999999999997</v>
      </c>
      <c r="F795" s="3">
        <v>2</v>
      </c>
      <c r="G795" s="6" t="s">
        <v>38</v>
      </c>
    </row>
    <row r="796" spans="1:7" x14ac:dyDescent="0.3">
      <c r="A796" s="2" t="s">
        <v>991</v>
      </c>
      <c r="B796" s="2" t="s">
        <v>982</v>
      </c>
      <c r="C796" s="6" t="s">
        <v>983</v>
      </c>
      <c r="D796" s="1">
        <v>45327</v>
      </c>
      <c r="E796" s="4">
        <v>306.83</v>
      </c>
      <c r="F796" s="3">
        <v>4</v>
      </c>
      <c r="G796" s="6" t="s">
        <v>26</v>
      </c>
    </row>
    <row r="797" spans="1:7" x14ac:dyDescent="0.3">
      <c r="A797" s="2" t="s">
        <v>992</v>
      </c>
      <c r="B797" s="2" t="s">
        <v>982</v>
      </c>
      <c r="C797" s="6" t="s">
        <v>983</v>
      </c>
      <c r="D797" s="1">
        <v>45379</v>
      </c>
      <c r="E797" s="4">
        <v>294.31</v>
      </c>
      <c r="F797" s="3">
        <v>1</v>
      </c>
      <c r="G797" s="6" t="s">
        <v>18</v>
      </c>
    </row>
    <row r="798" spans="1:7" x14ac:dyDescent="0.3">
      <c r="A798" s="2" t="s">
        <v>993</v>
      </c>
      <c r="B798" s="2" t="s">
        <v>982</v>
      </c>
      <c r="C798" s="6" t="s">
        <v>983</v>
      </c>
      <c r="D798" s="1">
        <v>45294</v>
      </c>
      <c r="E798" s="4">
        <v>347.25</v>
      </c>
      <c r="F798" s="3">
        <v>2</v>
      </c>
      <c r="G798" s="6" t="s">
        <v>10</v>
      </c>
    </row>
    <row r="799" spans="1:7" x14ac:dyDescent="0.3">
      <c r="A799" s="2" t="s">
        <v>994</v>
      </c>
      <c r="B799" s="2" t="s">
        <v>982</v>
      </c>
      <c r="C799" s="6" t="s">
        <v>983</v>
      </c>
      <c r="D799" s="1">
        <v>45588</v>
      </c>
      <c r="E799" s="4">
        <v>121.96</v>
      </c>
      <c r="F799" s="3">
        <v>3</v>
      </c>
      <c r="G799" s="6" t="s">
        <v>12</v>
      </c>
    </row>
    <row r="800" spans="1:7" x14ac:dyDescent="0.3">
      <c r="A800" s="2" t="s">
        <v>995</v>
      </c>
      <c r="B800" s="2" t="s">
        <v>996</v>
      </c>
      <c r="C800" s="6" t="s">
        <v>997</v>
      </c>
      <c r="D800" s="1">
        <v>45225</v>
      </c>
      <c r="E800" s="4">
        <v>112.34</v>
      </c>
      <c r="F800" s="3">
        <v>4</v>
      </c>
      <c r="G800" s="6" t="s">
        <v>12</v>
      </c>
    </row>
    <row r="801" spans="1:7" x14ac:dyDescent="0.3">
      <c r="A801" s="2" t="s">
        <v>998</v>
      </c>
      <c r="B801" s="2" t="s">
        <v>996</v>
      </c>
      <c r="C801" s="6" t="s">
        <v>997</v>
      </c>
      <c r="D801" s="1">
        <v>45304</v>
      </c>
      <c r="E801" s="4">
        <v>203.76</v>
      </c>
      <c r="F801" s="3">
        <v>3</v>
      </c>
      <c r="G801" s="6" t="s">
        <v>18</v>
      </c>
    </row>
    <row r="802" spans="1:7" x14ac:dyDescent="0.3">
      <c r="A802" s="2" t="s">
        <v>999</v>
      </c>
      <c r="B802" s="2" t="s">
        <v>996</v>
      </c>
      <c r="C802" s="6" t="s">
        <v>997</v>
      </c>
      <c r="D802" s="1">
        <v>45195</v>
      </c>
      <c r="E802" s="4">
        <v>234.68</v>
      </c>
      <c r="F802" s="3">
        <v>2</v>
      </c>
      <c r="G802" s="6" t="s">
        <v>18</v>
      </c>
    </row>
    <row r="803" spans="1:7" x14ac:dyDescent="0.3">
      <c r="A803" s="2" t="s">
        <v>1000</v>
      </c>
      <c r="B803" s="2" t="s">
        <v>996</v>
      </c>
      <c r="C803" s="6" t="s">
        <v>997</v>
      </c>
      <c r="D803" s="1">
        <v>45555</v>
      </c>
      <c r="E803" s="4">
        <v>419.39</v>
      </c>
      <c r="F803" s="3">
        <v>2</v>
      </c>
      <c r="G803" s="6" t="s">
        <v>10</v>
      </c>
    </row>
    <row r="804" spans="1:7" x14ac:dyDescent="0.3">
      <c r="A804" s="2" t="s">
        <v>1001</v>
      </c>
      <c r="B804" s="2" t="s">
        <v>996</v>
      </c>
      <c r="C804" s="6" t="s">
        <v>997</v>
      </c>
      <c r="D804" s="1">
        <v>45194</v>
      </c>
      <c r="E804" s="4">
        <v>163.84</v>
      </c>
      <c r="F804" s="3">
        <v>4</v>
      </c>
      <c r="G804" s="6" t="s">
        <v>18</v>
      </c>
    </row>
    <row r="805" spans="1:7" x14ac:dyDescent="0.3">
      <c r="A805" s="2" t="s">
        <v>1002</v>
      </c>
      <c r="B805" s="2" t="s">
        <v>996</v>
      </c>
      <c r="C805" s="6" t="s">
        <v>997</v>
      </c>
      <c r="D805" s="1">
        <v>45271</v>
      </c>
      <c r="E805" s="4">
        <v>492.17</v>
      </c>
      <c r="F805" s="3">
        <v>3</v>
      </c>
      <c r="G805" s="6" t="s">
        <v>10</v>
      </c>
    </row>
    <row r="806" spans="1:7" x14ac:dyDescent="0.3">
      <c r="A806" s="2" t="s">
        <v>1003</v>
      </c>
      <c r="B806" s="2" t="s">
        <v>996</v>
      </c>
      <c r="C806" s="6" t="s">
        <v>997</v>
      </c>
      <c r="D806" s="1">
        <v>45501</v>
      </c>
      <c r="E806" s="4">
        <v>84.28</v>
      </c>
      <c r="F806" s="3">
        <v>1</v>
      </c>
      <c r="G806" s="6" t="s">
        <v>38</v>
      </c>
    </row>
    <row r="807" spans="1:7" x14ac:dyDescent="0.3">
      <c r="A807" s="2" t="s">
        <v>1004</v>
      </c>
      <c r="B807" s="2" t="s">
        <v>996</v>
      </c>
      <c r="C807" s="6" t="s">
        <v>997</v>
      </c>
      <c r="D807" s="1">
        <v>45348</v>
      </c>
      <c r="E807" s="4">
        <v>275.29000000000002</v>
      </c>
      <c r="F807" s="3">
        <v>1</v>
      </c>
      <c r="G807" s="6" t="s">
        <v>10</v>
      </c>
    </row>
    <row r="808" spans="1:7" x14ac:dyDescent="0.3">
      <c r="A808" s="2" t="s">
        <v>1005</v>
      </c>
      <c r="B808" s="2" t="s">
        <v>996</v>
      </c>
      <c r="C808" s="6" t="s">
        <v>997</v>
      </c>
      <c r="D808" s="1">
        <v>45375</v>
      </c>
      <c r="E808" s="4">
        <v>270.81</v>
      </c>
      <c r="F808" s="3">
        <v>2</v>
      </c>
      <c r="G808" s="6" t="s">
        <v>10</v>
      </c>
    </row>
    <row r="809" spans="1:7" x14ac:dyDescent="0.3">
      <c r="A809" s="2" t="s">
        <v>1006</v>
      </c>
      <c r="B809" s="2" t="s">
        <v>996</v>
      </c>
      <c r="C809" s="6" t="s">
        <v>997</v>
      </c>
      <c r="D809" s="1">
        <v>45449</v>
      </c>
      <c r="E809" s="4">
        <v>420.89</v>
      </c>
      <c r="F809" s="3">
        <v>2</v>
      </c>
      <c r="G809" s="6" t="s">
        <v>12</v>
      </c>
    </row>
    <row r="810" spans="1:7" x14ac:dyDescent="0.3">
      <c r="A810" s="2" t="s">
        <v>1007</v>
      </c>
      <c r="B810" s="2" t="s">
        <v>996</v>
      </c>
      <c r="C810" s="6" t="s">
        <v>997</v>
      </c>
      <c r="D810" s="1">
        <v>45424</v>
      </c>
      <c r="E810" s="4">
        <v>137.07</v>
      </c>
      <c r="F810" s="3">
        <v>2</v>
      </c>
      <c r="G810" s="6" t="s">
        <v>12</v>
      </c>
    </row>
    <row r="811" spans="1:7" x14ac:dyDescent="0.3">
      <c r="A811" s="2" t="s">
        <v>1008</v>
      </c>
      <c r="B811" s="2" t="s">
        <v>1009</v>
      </c>
      <c r="C811" s="6" t="s">
        <v>1010</v>
      </c>
      <c r="D811" s="1">
        <v>45307</v>
      </c>
      <c r="E811" s="4">
        <v>483.54</v>
      </c>
      <c r="F811" s="3">
        <v>3</v>
      </c>
      <c r="G811" s="6" t="s">
        <v>15</v>
      </c>
    </row>
    <row r="812" spans="1:7" x14ac:dyDescent="0.3">
      <c r="A812" s="2" t="s">
        <v>1011</v>
      </c>
      <c r="B812" s="2" t="s">
        <v>1012</v>
      </c>
      <c r="C812" s="6" t="s">
        <v>1013</v>
      </c>
      <c r="D812" s="1">
        <v>45303</v>
      </c>
      <c r="E812" s="4">
        <v>499.86</v>
      </c>
      <c r="F812" s="3">
        <v>3</v>
      </c>
      <c r="G812" s="6" t="s">
        <v>10</v>
      </c>
    </row>
    <row r="813" spans="1:7" x14ac:dyDescent="0.3">
      <c r="A813" s="2" t="s">
        <v>1014</v>
      </c>
      <c r="B813" s="2" t="s">
        <v>1015</v>
      </c>
      <c r="C813" s="6" t="s">
        <v>1016</v>
      </c>
      <c r="D813" s="1">
        <v>45505</v>
      </c>
      <c r="E813" s="4">
        <v>369.94</v>
      </c>
      <c r="F813" s="3">
        <v>4</v>
      </c>
      <c r="G813" s="6" t="s">
        <v>26</v>
      </c>
    </row>
    <row r="814" spans="1:7" x14ac:dyDescent="0.3">
      <c r="A814" s="2" t="s">
        <v>1017</v>
      </c>
      <c r="B814" s="2" t="s">
        <v>1015</v>
      </c>
      <c r="C814" s="6" t="s">
        <v>1016</v>
      </c>
      <c r="D814" s="1">
        <v>45640</v>
      </c>
      <c r="E814" s="4">
        <v>314.12</v>
      </c>
      <c r="F814" s="3">
        <v>3</v>
      </c>
      <c r="G814" s="6" t="s">
        <v>10</v>
      </c>
    </row>
    <row r="815" spans="1:7" x14ac:dyDescent="0.3">
      <c r="A815" s="2" t="s">
        <v>1018</v>
      </c>
      <c r="B815" s="2" t="s">
        <v>1019</v>
      </c>
      <c r="C815" s="6" t="s">
        <v>1020</v>
      </c>
      <c r="D815" s="1">
        <v>45391</v>
      </c>
      <c r="E815" s="4">
        <v>427.75</v>
      </c>
      <c r="F815" s="3">
        <v>4</v>
      </c>
      <c r="G815" s="6" t="s">
        <v>10</v>
      </c>
    </row>
    <row r="816" spans="1:7" x14ac:dyDescent="0.3">
      <c r="A816" s="2" t="s">
        <v>1021</v>
      </c>
      <c r="B816" s="2" t="s">
        <v>1019</v>
      </c>
      <c r="C816" s="6" t="s">
        <v>1020</v>
      </c>
      <c r="D816" s="1">
        <v>45171</v>
      </c>
      <c r="E816" s="4">
        <v>300.58</v>
      </c>
      <c r="F816" s="3">
        <v>3</v>
      </c>
      <c r="G816" s="6" t="s">
        <v>26</v>
      </c>
    </row>
    <row r="817" spans="1:7" x14ac:dyDescent="0.3">
      <c r="A817" s="2" t="s">
        <v>1022</v>
      </c>
      <c r="B817" s="2" t="s">
        <v>1019</v>
      </c>
      <c r="C817" s="6" t="s">
        <v>1020</v>
      </c>
      <c r="D817" s="1">
        <v>45247</v>
      </c>
      <c r="E817" s="4">
        <v>28.61</v>
      </c>
      <c r="F817" s="3">
        <v>3</v>
      </c>
      <c r="G817" s="6" t="s">
        <v>18</v>
      </c>
    </row>
    <row r="818" spans="1:7" x14ac:dyDescent="0.3">
      <c r="A818" s="2" t="s">
        <v>1023</v>
      </c>
      <c r="B818" s="2" t="s">
        <v>1019</v>
      </c>
      <c r="C818" s="6" t="s">
        <v>1020</v>
      </c>
      <c r="D818" s="1">
        <v>45594</v>
      </c>
      <c r="E818" s="4">
        <v>71.16</v>
      </c>
      <c r="F818" s="3">
        <v>4</v>
      </c>
      <c r="G818" s="6" t="s">
        <v>38</v>
      </c>
    </row>
    <row r="819" spans="1:7" x14ac:dyDescent="0.3">
      <c r="A819" s="2" t="s">
        <v>1024</v>
      </c>
      <c r="B819" s="2" t="s">
        <v>1019</v>
      </c>
      <c r="C819" s="6" t="s">
        <v>1020</v>
      </c>
      <c r="D819" s="1">
        <v>45127</v>
      </c>
      <c r="E819" s="4">
        <v>238.72</v>
      </c>
      <c r="F819" s="3">
        <v>4</v>
      </c>
      <c r="G819" s="6" t="s">
        <v>26</v>
      </c>
    </row>
    <row r="820" spans="1:7" x14ac:dyDescent="0.3">
      <c r="A820" s="2" t="s">
        <v>1025</v>
      </c>
      <c r="B820" s="2" t="s">
        <v>1026</v>
      </c>
      <c r="C820" s="6" t="s">
        <v>1027</v>
      </c>
      <c r="D820" s="1">
        <v>45245</v>
      </c>
      <c r="E820" s="4">
        <v>261.32</v>
      </c>
      <c r="F820" s="3">
        <v>4</v>
      </c>
      <c r="G820" s="6" t="s">
        <v>15</v>
      </c>
    </row>
    <row r="821" spans="1:7" x14ac:dyDescent="0.3">
      <c r="A821" s="2" t="s">
        <v>1028</v>
      </c>
      <c r="B821" s="2" t="s">
        <v>1026</v>
      </c>
      <c r="C821" s="6" t="s">
        <v>1027</v>
      </c>
      <c r="D821" s="1">
        <v>45326</v>
      </c>
      <c r="E821" s="4">
        <v>150.03</v>
      </c>
      <c r="F821" s="3">
        <v>2</v>
      </c>
      <c r="G821" s="6" t="s">
        <v>38</v>
      </c>
    </row>
    <row r="822" spans="1:7" x14ac:dyDescent="0.3">
      <c r="A822" s="2" t="s">
        <v>1029</v>
      </c>
      <c r="B822" s="2" t="s">
        <v>1026</v>
      </c>
      <c r="C822" s="6" t="s">
        <v>1027</v>
      </c>
      <c r="D822" s="1">
        <v>45314</v>
      </c>
      <c r="E822" s="4">
        <v>226.2</v>
      </c>
      <c r="F822" s="3">
        <v>3</v>
      </c>
      <c r="G822" s="6" t="s">
        <v>12</v>
      </c>
    </row>
    <row r="823" spans="1:7" x14ac:dyDescent="0.3">
      <c r="A823" s="2" t="s">
        <v>1030</v>
      </c>
      <c r="B823" s="2" t="s">
        <v>1026</v>
      </c>
      <c r="C823" s="6" t="s">
        <v>1027</v>
      </c>
      <c r="D823" s="1">
        <v>45597</v>
      </c>
      <c r="E823" s="4">
        <v>292.87</v>
      </c>
      <c r="F823" s="3">
        <v>1</v>
      </c>
      <c r="G823" s="6" t="s">
        <v>12</v>
      </c>
    </row>
    <row r="824" spans="1:7" x14ac:dyDescent="0.3">
      <c r="A824" s="2" t="s">
        <v>1031</v>
      </c>
      <c r="B824" s="2" t="s">
        <v>1026</v>
      </c>
      <c r="C824" s="6" t="s">
        <v>1027</v>
      </c>
      <c r="D824" s="1">
        <v>45180</v>
      </c>
      <c r="E824" s="4">
        <v>227.29</v>
      </c>
      <c r="F824" s="3">
        <v>3</v>
      </c>
      <c r="G824" s="6" t="s">
        <v>15</v>
      </c>
    </row>
    <row r="825" spans="1:7" x14ac:dyDescent="0.3">
      <c r="A825" s="2" t="s">
        <v>1032</v>
      </c>
      <c r="B825" s="2" t="s">
        <v>1026</v>
      </c>
      <c r="C825" s="6" t="s">
        <v>1027</v>
      </c>
      <c r="D825" s="1">
        <v>45463</v>
      </c>
      <c r="E825" s="4">
        <v>243.48</v>
      </c>
      <c r="F825" s="3">
        <v>4</v>
      </c>
      <c r="G825" s="6" t="s">
        <v>38</v>
      </c>
    </row>
    <row r="826" spans="1:7" x14ac:dyDescent="0.3">
      <c r="A826" s="2" t="s">
        <v>1033</v>
      </c>
      <c r="B826" s="2" t="s">
        <v>1034</v>
      </c>
      <c r="C826" s="6" t="s">
        <v>1035</v>
      </c>
      <c r="D826" s="1">
        <v>45515</v>
      </c>
      <c r="E826" s="4">
        <v>447.61</v>
      </c>
      <c r="F826" s="3">
        <v>3</v>
      </c>
      <c r="G826" s="6" t="s">
        <v>12</v>
      </c>
    </row>
    <row r="827" spans="1:7" x14ac:dyDescent="0.3">
      <c r="A827" s="2" t="s">
        <v>1036</v>
      </c>
      <c r="B827" s="2" t="s">
        <v>1034</v>
      </c>
      <c r="C827" s="6" t="s">
        <v>1035</v>
      </c>
      <c r="D827" s="1">
        <v>45584</v>
      </c>
      <c r="E827" s="4">
        <v>135.46</v>
      </c>
      <c r="F827" s="3">
        <v>1</v>
      </c>
      <c r="G827" s="6" t="s">
        <v>10</v>
      </c>
    </row>
    <row r="828" spans="1:7" x14ac:dyDescent="0.3">
      <c r="A828" s="2" t="s">
        <v>1037</v>
      </c>
      <c r="B828" s="2" t="s">
        <v>1034</v>
      </c>
      <c r="C828" s="6" t="s">
        <v>1035</v>
      </c>
      <c r="D828" s="1">
        <v>45479</v>
      </c>
      <c r="E828" s="4">
        <v>463.93</v>
      </c>
      <c r="F828" s="3">
        <v>4</v>
      </c>
      <c r="G828" s="6" t="s">
        <v>26</v>
      </c>
    </row>
    <row r="829" spans="1:7" x14ac:dyDescent="0.3">
      <c r="A829" s="2" t="s">
        <v>1038</v>
      </c>
      <c r="B829" s="2" t="s">
        <v>1034</v>
      </c>
      <c r="C829" s="6" t="s">
        <v>1035</v>
      </c>
      <c r="D829" s="1">
        <v>45312</v>
      </c>
      <c r="E829" s="4">
        <v>346.98</v>
      </c>
      <c r="F829" s="3">
        <v>3</v>
      </c>
      <c r="G829" s="6" t="s">
        <v>12</v>
      </c>
    </row>
    <row r="830" spans="1:7" x14ac:dyDescent="0.3">
      <c r="A830" s="2" t="s">
        <v>1039</v>
      </c>
      <c r="B830" s="2" t="s">
        <v>1040</v>
      </c>
      <c r="C830" s="6" t="s">
        <v>1041</v>
      </c>
      <c r="D830" s="1">
        <v>45433</v>
      </c>
      <c r="E830" s="4">
        <v>325.79000000000002</v>
      </c>
      <c r="F830" s="3">
        <v>2</v>
      </c>
      <c r="G830" s="6" t="s">
        <v>15</v>
      </c>
    </row>
    <row r="831" spans="1:7" x14ac:dyDescent="0.3">
      <c r="A831" s="2" t="s">
        <v>1042</v>
      </c>
      <c r="B831" s="2" t="s">
        <v>1040</v>
      </c>
      <c r="C831" s="6" t="s">
        <v>1041</v>
      </c>
      <c r="D831" s="1">
        <v>45476</v>
      </c>
      <c r="E831" s="4">
        <v>146.59</v>
      </c>
      <c r="F831" s="3">
        <v>1</v>
      </c>
      <c r="G831" s="6" t="s">
        <v>18</v>
      </c>
    </row>
    <row r="832" spans="1:7" x14ac:dyDescent="0.3">
      <c r="A832" s="2" t="s">
        <v>1043</v>
      </c>
      <c r="B832" s="2" t="s">
        <v>1040</v>
      </c>
      <c r="C832" s="6" t="s">
        <v>1041</v>
      </c>
      <c r="D832" s="1">
        <v>45529</v>
      </c>
      <c r="E832" s="4">
        <v>14.34</v>
      </c>
      <c r="F832" s="3">
        <v>2</v>
      </c>
      <c r="G832" s="6" t="s">
        <v>12</v>
      </c>
    </row>
    <row r="833" spans="1:7" x14ac:dyDescent="0.3">
      <c r="A833" s="2" t="s">
        <v>1044</v>
      </c>
      <c r="B833" s="2" t="s">
        <v>1040</v>
      </c>
      <c r="C833" s="6" t="s">
        <v>1041</v>
      </c>
      <c r="D833" s="1">
        <v>45571</v>
      </c>
      <c r="E833" s="4">
        <v>497.38</v>
      </c>
      <c r="F833" s="3">
        <v>3</v>
      </c>
      <c r="G833" s="6" t="s">
        <v>18</v>
      </c>
    </row>
    <row r="834" spans="1:7" x14ac:dyDescent="0.3">
      <c r="A834" s="2" t="s">
        <v>1045</v>
      </c>
      <c r="B834" s="2" t="s">
        <v>1040</v>
      </c>
      <c r="C834" s="6" t="s">
        <v>1041</v>
      </c>
      <c r="D834" s="1">
        <v>45374</v>
      </c>
      <c r="E834" s="4">
        <v>371.56</v>
      </c>
      <c r="F834" s="3">
        <v>1</v>
      </c>
      <c r="G834" s="6" t="s">
        <v>38</v>
      </c>
    </row>
    <row r="835" spans="1:7" x14ac:dyDescent="0.3">
      <c r="A835" s="2" t="s">
        <v>1046</v>
      </c>
      <c r="B835" s="2" t="s">
        <v>1040</v>
      </c>
      <c r="C835" s="6" t="s">
        <v>1041</v>
      </c>
      <c r="D835" s="1">
        <v>45308</v>
      </c>
      <c r="E835" s="4">
        <v>43.82</v>
      </c>
      <c r="F835" s="3">
        <v>4</v>
      </c>
      <c r="G835" s="6" t="s">
        <v>10</v>
      </c>
    </row>
    <row r="836" spans="1:7" x14ac:dyDescent="0.3">
      <c r="A836" s="2" t="s">
        <v>1047</v>
      </c>
      <c r="B836" s="2" t="s">
        <v>1048</v>
      </c>
      <c r="C836" s="6" t="s">
        <v>1049</v>
      </c>
      <c r="D836" s="1">
        <v>45567</v>
      </c>
      <c r="E836" s="4">
        <v>406.5</v>
      </c>
      <c r="F836" s="3">
        <v>4</v>
      </c>
      <c r="G836" s="6" t="s">
        <v>38</v>
      </c>
    </row>
    <row r="837" spans="1:7" x14ac:dyDescent="0.3">
      <c r="A837" s="2" t="s">
        <v>1050</v>
      </c>
      <c r="B837" s="2" t="s">
        <v>1048</v>
      </c>
      <c r="C837" s="6" t="s">
        <v>1049</v>
      </c>
      <c r="D837" s="1">
        <v>45474</v>
      </c>
      <c r="E837" s="4">
        <v>310.67</v>
      </c>
      <c r="F837" s="3">
        <v>2</v>
      </c>
      <c r="G837" s="6" t="s">
        <v>38</v>
      </c>
    </row>
    <row r="838" spans="1:7" x14ac:dyDescent="0.3">
      <c r="A838" s="2" t="s">
        <v>1051</v>
      </c>
      <c r="B838" s="2" t="s">
        <v>1048</v>
      </c>
      <c r="C838" s="6" t="s">
        <v>1049</v>
      </c>
      <c r="D838" s="1">
        <v>45613</v>
      </c>
      <c r="E838" s="4">
        <v>147.36000000000001</v>
      </c>
      <c r="F838" s="3">
        <v>2</v>
      </c>
      <c r="G838" s="6" t="s">
        <v>15</v>
      </c>
    </row>
    <row r="839" spans="1:7" x14ac:dyDescent="0.3">
      <c r="A839" s="2" t="s">
        <v>1052</v>
      </c>
      <c r="B839" s="2" t="s">
        <v>1048</v>
      </c>
      <c r="C839" s="6" t="s">
        <v>1049</v>
      </c>
      <c r="D839" s="1">
        <v>45541</v>
      </c>
      <c r="E839" s="4">
        <v>160.01</v>
      </c>
      <c r="F839" s="3">
        <v>2</v>
      </c>
      <c r="G839" s="6" t="s">
        <v>12</v>
      </c>
    </row>
    <row r="840" spans="1:7" x14ac:dyDescent="0.3">
      <c r="A840" s="2" t="s">
        <v>1053</v>
      </c>
      <c r="B840" s="2" t="s">
        <v>1048</v>
      </c>
      <c r="C840" s="6" t="s">
        <v>1049</v>
      </c>
      <c r="D840" s="1">
        <v>45627</v>
      </c>
      <c r="E840" s="4">
        <v>292.75</v>
      </c>
      <c r="F840" s="3">
        <v>1</v>
      </c>
      <c r="G840" s="6" t="s">
        <v>26</v>
      </c>
    </row>
    <row r="841" spans="1:7" x14ac:dyDescent="0.3">
      <c r="A841" s="2" t="s">
        <v>1054</v>
      </c>
      <c r="B841" s="2" t="s">
        <v>1048</v>
      </c>
      <c r="C841" s="6" t="s">
        <v>1049</v>
      </c>
      <c r="D841" s="1">
        <v>45500</v>
      </c>
      <c r="E841" s="4">
        <v>59.46</v>
      </c>
      <c r="F841" s="3">
        <v>4</v>
      </c>
      <c r="G841" s="6" t="s">
        <v>18</v>
      </c>
    </row>
    <row r="842" spans="1:7" x14ac:dyDescent="0.3">
      <c r="A842" s="2" t="s">
        <v>1055</v>
      </c>
      <c r="B842" s="2" t="s">
        <v>1048</v>
      </c>
      <c r="C842" s="6" t="s">
        <v>1049</v>
      </c>
      <c r="D842" s="1">
        <v>45505</v>
      </c>
      <c r="E842" s="4">
        <v>47.66</v>
      </c>
      <c r="F842" s="3">
        <v>2</v>
      </c>
      <c r="G842" s="6" t="s">
        <v>26</v>
      </c>
    </row>
    <row r="843" spans="1:7" x14ac:dyDescent="0.3">
      <c r="A843" s="2" t="s">
        <v>1056</v>
      </c>
      <c r="B843" s="2" t="s">
        <v>1048</v>
      </c>
      <c r="C843" s="6" t="s">
        <v>1049</v>
      </c>
      <c r="D843" s="1">
        <v>45563</v>
      </c>
      <c r="E843" s="4">
        <v>356.47</v>
      </c>
      <c r="F843" s="3">
        <v>2</v>
      </c>
      <c r="G843" s="6" t="s">
        <v>15</v>
      </c>
    </row>
    <row r="844" spans="1:7" x14ac:dyDescent="0.3">
      <c r="A844" s="2" t="s">
        <v>1057</v>
      </c>
      <c r="B844" s="2" t="s">
        <v>1058</v>
      </c>
      <c r="C844" s="6" t="s">
        <v>1059</v>
      </c>
      <c r="D844" s="1">
        <v>45166</v>
      </c>
      <c r="E844" s="4">
        <v>336.76</v>
      </c>
      <c r="F844" s="3">
        <v>2</v>
      </c>
      <c r="G844" s="6" t="s">
        <v>15</v>
      </c>
    </row>
    <row r="845" spans="1:7" x14ac:dyDescent="0.3">
      <c r="A845" s="2" t="s">
        <v>1060</v>
      </c>
      <c r="B845" s="2" t="s">
        <v>1058</v>
      </c>
      <c r="C845" s="6" t="s">
        <v>1059</v>
      </c>
      <c r="D845" s="1">
        <v>45448</v>
      </c>
      <c r="E845" s="4">
        <v>206.64</v>
      </c>
      <c r="F845" s="3">
        <v>4</v>
      </c>
      <c r="G845" s="6" t="s">
        <v>18</v>
      </c>
    </row>
    <row r="846" spans="1:7" x14ac:dyDescent="0.3">
      <c r="A846" s="2" t="s">
        <v>1061</v>
      </c>
      <c r="B846" s="2" t="s">
        <v>1062</v>
      </c>
      <c r="C846" s="6" t="s">
        <v>1063</v>
      </c>
      <c r="D846" s="1">
        <v>45087</v>
      </c>
      <c r="E846" s="4">
        <v>20.79</v>
      </c>
      <c r="F846" s="3">
        <v>3</v>
      </c>
      <c r="G846" s="6" t="s">
        <v>10</v>
      </c>
    </row>
    <row r="847" spans="1:7" x14ac:dyDescent="0.3">
      <c r="A847" s="2" t="s">
        <v>1064</v>
      </c>
      <c r="B847" s="2" t="s">
        <v>1062</v>
      </c>
      <c r="C847" s="6" t="s">
        <v>1063</v>
      </c>
      <c r="D847" s="1">
        <v>45381</v>
      </c>
      <c r="E847" s="4">
        <v>279</v>
      </c>
      <c r="F847" s="3">
        <v>1</v>
      </c>
      <c r="G847" s="6" t="s">
        <v>18</v>
      </c>
    </row>
    <row r="848" spans="1:7" x14ac:dyDescent="0.3">
      <c r="A848" s="2" t="s">
        <v>1065</v>
      </c>
      <c r="B848" s="2" t="s">
        <v>1062</v>
      </c>
      <c r="C848" s="6" t="s">
        <v>1063</v>
      </c>
      <c r="D848" s="1">
        <v>45593</v>
      </c>
      <c r="E848" s="4">
        <v>115.17</v>
      </c>
      <c r="F848" s="3">
        <v>1</v>
      </c>
      <c r="G848" s="6" t="s">
        <v>12</v>
      </c>
    </row>
    <row r="849" spans="1:7" x14ac:dyDescent="0.3">
      <c r="A849" s="2" t="s">
        <v>1066</v>
      </c>
      <c r="B849" s="2" t="s">
        <v>1062</v>
      </c>
      <c r="C849" s="6" t="s">
        <v>1063</v>
      </c>
      <c r="D849" s="1">
        <v>45341</v>
      </c>
      <c r="E849" s="4">
        <v>70.23</v>
      </c>
      <c r="F849" s="3">
        <v>3</v>
      </c>
      <c r="G849" s="6" t="s">
        <v>38</v>
      </c>
    </row>
    <row r="850" spans="1:7" x14ac:dyDescent="0.3">
      <c r="A850" s="2" t="s">
        <v>1067</v>
      </c>
      <c r="B850" s="2" t="s">
        <v>1062</v>
      </c>
      <c r="C850" s="6" t="s">
        <v>1063</v>
      </c>
      <c r="D850" s="1">
        <v>45083</v>
      </c>
      <c r="E850" s="4">
        <v>434.8</v>
      </c>
      <c r="F850" s="3">
        <v>2</v>
      </c>
      <c r="G850" s="6" t="s">
        <v>26</v>
      </c>
    </row>
    <row r="851" spans="1:7" x14ac:dyDescent="0.3">
      <c r="A851" s="2" t="s">
        <v>1068</v>
      </c>
      <c r="B851" s="2" t="s">
        <v>1062</v>
      </c>
      <c r="C851" s="6" t="s">
        <v>1063</v>
      </c>
      <c r="D851" s="1">
        <v>45544</v>
      </c>
      <c r="E851" s="4">
        <v>316.14</v>
      </c>
      <c r="F851" s="3">
        <v>4</v>
      </c>
      <c r="G851" s="6" t="s">
        <v>15</v>
      </c>
    </row>
    <row r="852" spans="1:7" x14ac:dyDescent="0.3">
      <c r="A852" s="2" t="s">
        <v>1069</v>
      </c>
      <c r="B852" s="2" t="s">
        <v>1062</v>
      </c>
      <c r="C852" s="6" t="s">
        <v>1063</v>
      </c>
      <c r="D852" s="1">
        <v>45220</v>
      </c>
      <c r="E852" s="4">
        <v>267.88</v>
      </c>
      <c r="F852" s="3">
        <v>4</v>
      </c>
      <c r="G852" s="6" t="s">
        <v>26</v>
      </c>
    </row>
    <row r="853" spans="1:7" x14ac:dyDescent="0.3">
      <c r="A853" s="2" t="s">
        <v>1070</v>
      </c>
      <c r="B853" s="2" t="s">
        <v>1062</v>
      </c>
      <c r="C853" s="6" t="s">
        <v>1063</v>
      </c>
      <c r="D853" s="1">
        <v>45113</v>
      </c>
      <c r="E853" s="4">
        <v>403.94</v>
      </c>
      <c r="F853" s="3">
        <v>2</v>
      </c>
      <c r="G853" s="6" t="s">
        <v>18</v>
      </c>
    </row>
    <row r="854" spans="1:7" x14ac:dyDescent="0.3">
      <c r="A854" s="2" t="s">
        <v>1071</v>
      </c>
      <c r="B854" s="2" t="s">
        <v>1062</v>
      </c>
      <c r="C854" s="6" t="s">
        <v>1063</v>
      </c>
      <c r="D854" s="1">
        <v>45320</v>
      </c>
      <c r="E854" s="4">
        <v>80.010000000000005</v>
      </c>
      <c r="F854" s="3">
        <v>4</v>
      </c>
      <c r="G854" s="6" t="s">
        <v>26</v>
      </c>
    </row>
    <row r="855" spans="1:7" x14ac:dyDescent="0.3">
      <c r="A855" s="2" t="s">
        <v>1072</v>
      </c>
      <c r="B855" s="2" t="s">
        <v>1062</v>
      </c>
      <c r="C855" s="6" t="s">
        <v>1063</v>
      </c>
      <c r="D855" s="1">
        <v>45350</v>
      </c>
      <c r="E855" s="4">
        <v>75.58</v>
      </c>
      <c r="F855" s="3">
        <v>3</v>
      </c>
      <c r="G855" s="6" t="s">
        <v>26</v>
      </c>
    </row>
    <row r="856" spans="1:7" x14ac:dyDescent="0.3">
      <c r="A856" s="2" t="s">
        <v>1073</v>
      </c>
      <c r="B856" s="2" t="s">
        <v>1062</v>
      </c>
      <c r="C856" s="6" t="s">
        <v>1063</v>
      </c>
      <c r="D856" s="1">
        <v>45135</v>
      </c>
      <c r="E856" s="4">
        <v>143.06</v>
      </c>
      <c r="F856" s="3">
        <v>3</v>
      </c>
      <c r="G856" s="6" t="s">
        <v>38</v>
      </c>
    </row>
    <row r="857" spans="1:7" x14ac:dyDescent="0.3">
      <c r="A857" s="2" t="s">
        <v>1074</v>
      </c>
      <c r="B857" s="2" t="s">
        <v>1062</v>
      </c>
      <c r="C857" s="6" t="s">
        <v>1063</v>
      </c>
      <c r="D857" s="1">
        <v>45501</v>
      </c>
      <c r="E857" s="4">
        <v>10.07</v>
      </c>
      <c r="F857" s="3">
        <v>1</v>
      </c>
      <c r="G857" s="6" t="s">
        <v>26</v>
      </c>
    </row>
    <row r="858" spans="1:7" x14ac:dyDescent="0.3">
      <c r="A858" s="2" t="s">
        <v>1075</v>
      </c>
      <c r="B858" s="2" t="s">
        <v>1062</v>
      </c>
      <c r="C858" s="6" t="s">
        <v>1063</v>
      </c>
      <c r="D858" s="1">
        <v>45214</v>
      </c>
      <c r="E858" s="4">
        <v>360.37</v>
      </c>
      <c r="F858" s="3">
        <v>2</v>
      </c>
      <c r="G858" s="6" t="s">
        <v>18</v>
      </c>
    </row>
    <row r="859" spans="1:7" x14ac:dyDescent="0.3">
      <c r="A859" s="2" t="s">
        <v>1076</v>
      </c>
      <c r="B859" s="2" t="s">
        <v>1062</v>
      </c>
      <c r="C859" s="6" t="s">
        <v>1063</v>
      </c>
      <c r="D859" s="1">
        <v>45269</v>
      </c>
      <c r="E859" s="4">
        <v>40.72</v>
      </c>
      <c r="F859" s="3">
        <v>4</v>
      </c>
      <c r="G859" s="6" t="s">
        <v>26</v>
      </c>
    </row>
    <row r="860" spans="1:7" x14ac:dyDescent="0.3">
      <c r="A860" s="2" t="s">
        <v>1077</v>
      </c>
      <c r="B860" s="2" t="s">
        <v>1078</v>
      </c>
      <c r="C860" s="6" t="s">
        <v>1079</v>
      </c>
      <c r="D860" s="1">
        <v>45562</v>
      </c>
      <c r="E860" s="4">
        <v>470.82</v>
      </c>
      <c r="F860" s="3">
        <v>4</v>
      </c>
      <c r="G860" s="6" t="s">
        <v>10</v>
      </c>
    </row>
    <row r="861" spans="1:7" x14ac:dyDescent="0.3">
      <c r="A861" s="2" t="s">
        <v>1080</v>
      </c>
      <c r="B861" s="2" t="s">
        <v>1078</v>
      </c>
      <c r="C861" s="6" t="s">
        <v>1079</v>
      </c>
      <c r="D861" s="1">
        <v>45376</v>
      </c>
      <c r="E861" s="4">
        <v>415.09</v>
      </c>
      <c r="F861" s="3">
        <v>3</v>
      </c>
      <c r="G861" s="6" t="s">
        <v>12</v>
      </c>
    </row>
    <row r="862" spans="1:7" x14ac:dyDescent="0.3">
      <c r="A862" s="2" t="s">
        <v>1081</v>
      </c>
      <c r="B862" s="2" t="s">
        <v>1078</v>
      </c>
      <c r="C862" s="6" t="s">
        <v>1079</v>
      </c>
      <c r="D862" s="1">
        <v>45374</v>
      </c>
      <c r="E862" s="4">
        <v>422.93</v>
      </c>
      <c r="F862" s="3">
        <v>4</v>
      </c>
      <c r="G862" s="6" t="s">
        <v>15</v>
      </c>
    </row>
    <row r="863" spans="1:7" x14ac:dyDescent="0.3">
      <c r="A863" s="2" t="s">
        <v>1082</v>
      </c>
      <c r="B863" s="2" t="s">
        <v>1078</v>
      </c>
      <c r="C863" s="6" t="s">
        <v>1079</v>
      </c>
      <c r="D863" s="1">
        <v>45337</v>
      </c>
      <c r="E863" s="4">
        <v>454.53</v>
      </c>
      <c r="F863" s="3">
        <v>1</v>
      </c>
      <c r="G863" s="6" t="s">
        <v>12</v>
      </c>
    </row>
    <row r="864" spans="1:7" x14ac:dyDescent="0.3">
      <c r="A864" s="2" t="s">
        <v>1083</v>
      </c>
      <c r="B864" s="2" t="s">
        <v>1078</v>
      </c>
      <c r="C864" s="6" t="s">
        <v>1079</v>
      </c>
      <c r="D864" s="1">
        <v>45320</v>
      </c>
      <c r="E864" s="4">
        <v>455.87</v>
      </c>
      <c r="F864" s="3">
        <v>3</v>
      </c>
      <c r="G864" s="6" t="s">
        <v>15</v>
      </c>
    </row>
    <row r="865" spans="1:7" x14ac:dyDescent="0.3">
      <c r="A865" s="2" t="s">
        <v>1084</v>
      </c>
      <c r="B865" s="2" t="s">
        <v>1078</v>
      </c>
      <c r="C865" s="6" t="s">
        <v>1079</v>
      </c>
      <c r="D865" s="1">
        <v>45638</v>
      </c>
      <c r="E865" s="4">
        <v>346.64</v>
      </c>
      <c r="F865" s="3">
        <v>1</v>
      </c>
      <c r="G865" s="6" t="s">
        <v>26</v>
      </c>
    </row>
    <row r="866" spans="1:7" x14ac:dyDescent="0.3">
      <c r="A866" s="2" t="s">
        <v>1085</v>
      </c>
      <c r="B866" s="2" t="s">
        <v>1078</v>
      </c>
      <c r="C866" s="6" t="s">
        <v>1079</v>
      </c>
      <c r="D866" s="1">
        <v>45654</v>
      </c>
      <c r="E866" s="4">
        <v>465.78</v>
      </c>
      <c r="F866" s="3">
        <v>4</v>
      </c>
      <c r="G866" s="6" t="s">
        <v>38</v>
      </c>
    </row>
    <row r="867" spans="1:7" x14ac:dyDescent="0.3">
      <c r="A867" s="2" t="s">
        <v>1086</v>
      </c>
      <c r="B867" s="2" t="s">
        <v>1078</v>
      </c>
      <c r="C867" s="6" t="s">
        <v>1079</v>
      </c>
      <c r="D867" s="1">
        <v>45631</v>
      </c>
      <c r="E867" s="4">
        <v>78.17</v>
      </c>
      <c r="F867" s="3">
        <v>1</v>
      </c>
      <c r="G867" s="6" t="s">
        <v>10</v>
      </c>
    </row>
    <row r="868" spans="1:7" x14ac:dyDescent="0.3">
      <c r="A868" s="2" t="s">
        <v>1087</v>
      </c>
      <c r="B868" s="2" t="s">
        <v>1078</v>
      </c>
      <c r="C868" s="6" t="s">
        <v>1079</v>
      </c>
      <c r="D868" s="1">
        <v>45472</v>
      </c>
      <c r="E868" s="4">
        <v>336.53</v>
      </c>
      <c r="F868" s="3">
        <v>4</v>
      </c>
      <c r="G868" s="6" t="s">
        <v>38</v>
      </c>
    </row>
    <row r="869" spans="1:7" x14ac:dyDescent="0.3">
      <c r="A869" s="2" t="s">
        <v>1088</v>
      </c>
      <c r="B869" s="2" t="s">
        <v>1089</v>
      </c>
      <c r="C869" s="6" t="s">
        <v>1090</v>
      </c>
      <c r="D869" s="1">
        <v>45556</v>
      </c>
      <c r="E869" s="4">
        <v>354.24</v>
      </c>
      <c r="F869" s="3">
        <v>1</v>
      </c>
      <c r="G869" s="6" t="s">
        <v>18</v>
      </c>
    </row>
    <row r="870" spans="1:7" x14ac:dyDescent="0.3">
      <c r="A870" s="2" t="s">
        <v>1091</v>
      </c>
      <c r="B870" s="2" t="s">
        <v>1089</v>
      </c>
      <c r="C870" s="6" t="s">
        <v>1090</v>
      </c>
      <c r="D870" s="1">
        <v>45637</v>
      </c>
      <c r="E870" s="4">
        <v>242.95</v>
      </c>
      <c r="F870" s="3">
        <v>4</v>
      </c>
      <c r="G870" s="6" t="s">
        <v>12</v>
      </c>
    </row>
    <row r="871" spans="1:7" x14ac:dyDescent="0.3">
      <c r="A871" s="2" t="s">
        <v>1092</v>
      </c>
      <c r="B871" s="2" t="s">
        <v>1089</v>
      </c>
      <c r="C871" s="6" t="s">
        <v>1090</v>
      </c>
      <c r="D871" s="1">
        <v>45397</v>
      </c>
      <c r="E871" s="4">
        <v>33.61</v>
      </c>
      <c r="F871" s="3">
        <v>2</v>
      </c>
      <c r="G871" s="6" t="s">
        <v>10</v>
      </c>
    </row>
    <row r="872" spans="1:7" x14ac:dyDescent="0.3">
      <c r="A872" s="2" t="s">
        <v>1093</v>
      </c>
      <c r="B872" s="2" t="s">
        <v>1089</v>
      </c>
      <c r="C872" s="6" t="s">
        <v>1090</v>
      </c>
      <c r="D872" s="1">
        <v>45408</v>
      </c>
      <c r="E872" s="4">
        <v>198.71</v>
      </c>
      <c r="F872" s="3">
        <v>3</v>
      </c>
      <c r="G872" s="6" t="s">
        <v>38</v>
      </c>
    </row>
    <row r="873" spans="1:7" x14ac:dyDescent="0.3">
      <c r="A873" s="2" t="s">
        <v>1094</v>
      </c>
      <c r="B873" s="2" t="s">
        <v>1089</v>
      </c>
      <c r="C873" s="6" t="s">
        <v>1090</v>
      </c>
      <c r="D873" s="1">
        <v>45407</v>
      </c>
      <c r="E873" s="4">
        <v>64.38</v>
      </c>
      <c r="F873" s="3">
        <v>3</v>
      </c>
      <c r="G873" s="6" t="s">
        <v>18</v>
      </c>
    </row>
    <row r="874" spans="1:7" x14ac:dyDescent="0.3">
      <c r="A874" s="2" t="s">
        <v>1095</v>
      </c>
      <c r="B874" s="2" t="s">
        <v>1089</v>
      </c>
      <c r="C874" s="6" t="s">
        <v>1090</v>
      </c>
      <c r="D874" s="1">
        <v>45340</v>
      </c>
      <c r="E874" s="4">
        <v>11.41</v>
      </c>
      <c r="F874" s="3">
        <v>1</v>
      </c>
      <c r="G874" s="6" t="s">
        <v>38</v>
      </c>
    </row>
    <row r="875" spans="1:7" x14ac:dyDescent="0.3">
      <c r="A875" s="2" t="s">
        <v>1096</v>
      </c>
      <c r="B875" s="2" t="s">
        <v>1089</v>
      </c>
      <c r="C875" s="6" t="s">
        <v>1090</v>
      </c>
      <c r="D875" s="1">
        <v>45314</v>
      </c>
      <c r="E875" s="4">
        <v>280.51</v>
      </c>
      <c r="F875" s="3">
        <v>3</v>
      </c>
      <c r="G875" s="6" t="s">
        <v>15</v>
      </c>
    </row>
    <row r="876" spans="1:7" x14ac:dyDescent="0.3">
      <c r="A876" s="2" t="s">
        <v>1097</v>
      </c>
      <c r="B876" s="2" t="s">
        <v>1089</v>
      </c>
      <c r="C876" s="6" t="s">
        <v>1090</v>
      </c>
      <c r="D876" s="1">
        <v>45632</v>
      </c>
      <c r="E876" s="4">
        <v>191.87</v>
      </c>
      <c r="F876" s="3">
        <v>3</v>
      </c>
      <c r="G876" s="6" t="s">
        <v>18</v>
      </c>
    </row>
    <row r="877" spans="1:7" x14ac:dyDescent="0.3">
      <c r="A877" s="2" t="s">
        <v>1098</v>
      </c>
      <c r="B877" s="2" t="s">
        <v>1089</v>
      </c>
      <c r="C877" s="6" t="s">
        <v>1090</v>
      </c>
      <c r="D877" s="1">
        <v>45204</v>
      </c>
      <c r="E877" s="4">
        <v>342.13</v>
      </c>
      <c r="F877" s="3">
        <v>1</v>
      </c>
      <c r="G877" s="6" t="s">
        <v>10</v>
      </c>
    </row>
    <row r="878" spans="1:7" x14ac:dyDescent="0.3">
      <c r="A878" s="2" t="s">
        <v>1099</v>
      </c>
      <c r="B878" s="2" t="s">
        <v>1089</v>
      </c>
      <c r="C878" s="6" t="s">
        <v>1090</v>
      </c>
      <c r="D878" s="1">
        <v>45266</v>
      </c>
      <c r="E878" s="4">
        <v>203.42</v>
      </c>
      <c r="F878" s="3">
        <v>2</v>
      </c>
      <c r="G878" s="6" t="s">
        <v>15</v>
      </c>
    </row>
    <row r="879" spans="1:7" x14ac:dyDescent="0.3">
      <c r="A879" s="2" t="s">
        <v>1100</v>
      </c>
      <c r="B879" s="2" t="s">
        <v>1089</v>
      </c>
      <c r="C879" s="6" t="s">
        <v>1090</v>
      </c>
      <c r="D879" s="1">
        <v>45107</v>
      </c>
      <c r="E879" s="4">
        <v>164.66</v>
      </c>
      <c r="F879" s="3">
        <v>4</v>
      </c>
      <c r="G879" s="6" t="s">
        <v>15</v>
      </c>
    </row>
    <row r="880" spans="1:7" x14ac:dyDescent="0.3">
      <c r="A880" s="2" t="s">
        <v>1101</v>
      </c>
      <c r="B880" s="2" t="s">
        <v>1089</v>
      </c>
      <c r="C880" s="6" t="s">
        <v>1090</v>
      </c>
      <c r="D880" s="1">
        <v>45253</v>
      </c>
      <c r="E880" s="4">
        <v>344.28</v>
      </c>
      <c r="F880" s="3">
        <v>2</v>
      </c>
      <c r="G880" s="6" t="s">
        <v>18</v>
      </c>
    </row>
    <row r="881" spans="1:7" x14ac:dyDescent="0.3">
      <c r="A881" s="2" t="s">
        <v>1102</v>
      </c>
      <c r="B881" s="2" t="s">
        <v>1103</v>
      </c>
      <c r="C881" s="6" t="s">
        <v>1104</v>
      </c>
      <c r="D881" s="1">
        <v>45292</v>
      </c>
      <c r="E881" s="4">
        <v>150.83000000000001</v>
      </c>
      <c r="F881" s="3">
        <v>1</v>
      </c>
      <c r="G881" s="6" t="s">
        <v>12</v>
      </c>
    </row>
    <row r="882" spans="1:7" x14ac:dyDescent="0.3">
      <c r="A882" s="2" t="s">
        <v>1105</v>
      </c>
      <c r="B882" s="2" t="s">
        <v>1106</v>
      </c>
      <c r="C882" s="6" t="s">
        <v>1107</v>
      </c>
      <c r="D882" s="1">
        <v>45632</v>
      </c>
      <c r="E882" s="4">
        <v>262.77</v>
      </c>
      <c r="F882" s="3">
        <v>3</v>
      </c>
      <c r="G882" s="6" t="s">
        <v>15</v>
      </c>
    </row>
    <row r="883" spans="1:7" x14ac:dyDescent="0.3">
      <c r="A883" s="2" t="s">
        <v>1108</v>
      </c>
      <c r="B883" s="2" t="s">
        <v>1106</v>
      </c>
      <c r="C883" s="6" t="s">
        <v>1107</v>
      </c>
      <c r="D883" s="1">
        <v>45631</v>
      </c>
      <c r="E883" s="4">
        <v>347.14</v>
      </c>
      <c r="F883" s="3">
        <v>1</v>
      </c>
      <c r="G883" s="6" t="s">
        <v>10</v>
      </c>
    </row>
    <row r="884" spans="1:7" x14ac:dyDescent="0.3">
      <c r="A884" s="2" t="s">
        <v>1109</v>
      </c>
      <c r="B884" s="2" t="s">
        <v>1106</v>
      </c>
      <c r="C884" s="6" t="s">
        <v>1107</v>
      </c>
      <c r="D884" s="1">
        <v>45602</v>
      </c>
      <c r="E884" s="4">
        <v>420.75</v>
      </c>
      <c r="F884" s="3">
        <v>4</v>
      </c>
      <c r="G884" s="6" t="s">
        <v>38</v>
      </c>
    </row>
    <row r="885" spans="1:7" x14ac:dyDescent="0.3">
      <c r="A885" s="2" t="s">
        <v>1110</v>
      </c>
      <c r="B885" s="2" t="s">
        <v>1106</v>
      </c>
      <c r="C885" s="6" t="s">
        <v>1107</v>
      </c>
      <c r="D885" s="1">
        <v>45592</v>
      </c>
      <c r="E885" s="4">
        <v>212.68</v>
      </c>
      <c r="F885" s="3">
        <v>3</v>
      </c>
      <c r="G885" s="6" t="s">
        <v>38</v>
      </c>
    </row>
    <row r="886" spans="1:7" x14ac:dyDescent="0.3">
      <c r="A886" s="2" t="s">
        <v>1111</v>
      </c>
      <c r="B886" s="2" t="s">
        <v>1106</v>
      </c>
      <c r="C886" s="6" t="s">
        <v>1107</v>
      </c>
      <c r="D886" s="1">
        <v>45595</v>
      </c>
      <c r="E886" s="4">
        <v>453.97</v>
      </c>
      <c r="F886" s="3">
        <v>4</v>
      </c>
      <c r="G886" s="6" t="s">
        <v>15</v>
      </c>
    </row>
    <row r="887" spans="1:7" x14ac:dyDescent="0.3">
      <c r="A887" s="2" t="s">
        <v>1112</v>
      </c>
      <c r="B887" s="2" t="s">
        <v>1106</v>
      </c>
      <c r="C887" s="6" t="s">
        <v>1107</v>
      </c>
      <c r="D887" s="1">
        <v>45607</v>
      </c>
      <c r="E887" s="4">
        <v>237.41</v>
      </c>
      <c r="F887" s="3">
        <v>2</v>
      </c>
      <c r="G887" s="6" t="s">
        <v>15</v>
      </c>
    </row>
    <row r="888" spans="1:7" x14ac:dyDescent="0.3">
      <c r="A888" s="2" t="s">
        <v>1113</v>
      </c>
      <c r="B888" s="2" t="s">
        <v>1106</v>
      </c>
      <c r="C888" s="6" t="s">
        <v>1107</v>
      </c>
      <c r="D888" s="1">
        <v>45638</v>
      </c>
      <c r="E888" s="4">
        <v>204.85</v>
      </c>
      <c r="F888" s="3">
        <v>4</v>
      </c>
      <c r="G888" s="6" t="s">
        <v>38</v>
      </c>
    </row>
    <row r="889" spans="1:7" x14ac:dyDescent="0.3">
      <c r="A889" s="2" t="s">
        <v>1114</v>
      </c>
      <c r="B889" s="2" t="s">
        <v>1106</v>
      </c>
      <c r="C889" s="6" t="s">
        <v>1107</v>
      </c>
      <c r="D889" s="1">
        <v>45606</v>
      </c>
      <c r="E889" s="4">
        <v>140.94999999999999</v>
      </c>
      <c r="F889" s="3">
        <v>4</v>
      </c>
      <c r="G889" s="6" t="s">
        <v>38</v>
      </c>
    </row>
    <row r="890" spans="1:7" x14ac:dyDescent="0.3">
      <c r="A890" s="2" t="s">
        <v>1115</v>
      </c>
      <c r="B890" s="2" t="s">
        <v>1106</v>
      </c>
      <c r="C890" s="6" t="s">
        <v>1107</v>
      </c>
      <c r="D890" s="1">
        <v>45636</v>
      </c>
      <c r="E890" s="4">
        <v>429.99</v>
      </c>
      <c r="F890" s="3">
        <v>1</v>
      </c>
      <c r="G890" s="6" t="s">
        <v>18</v>
      </c>
    </row>
    <row r="891" spans="1:7" x14ac:dyDescent="0.3">
      <c r="A891" s="2" t="s">
        <v>1116</v>
      </c>
      <c r="B891" s="2" t="s">
        <v>1117</v>
      </c>
      <c r="C891" s="6" t="s">
        <v>1118</v>
      </c>
      <c r="D891" s="1">
        <v>45103</v>
      </c>
      <c r="E891" s="4">
        <v>405.51</v>
      </c>
      <c r="F891" s="3">
        <v>1</v>
      </c>
      <c r="G891" s="6" t="s">
        <v>26</v>
      </c>
    </row>
    <row r="892" spans="1:7" x14ac:dyDescent="0.3">
      <c r="A892" s="2" t="s">
        <v>1119</v>
      </c>
      <c r="B892" s="2" t="s">
        <v>1117</v>
      </c>
      <c r="C892" s="6" t="s">
        <v>1118</v>
      </c>
      <c r="D892" s="1">
        <v>45062</v>
      </c>
      <c r="E892" s="4">
        <v>223.4</v>
      </c>
      <c r="F892" s="3">
        <v>1</v>
      </c>
      <c r="G892" s="6" t="s">
        <v>10</v>
      </c>
    </row>
    <row r="893" spans="1:7" x14ac:dyDescent="0.3">
      <c r="A893" s="2" t="s">
        <v>1120</v>
      </c>
      <c r="B893" s="2" t="s">
        <v>1117</v>
      </c>
      <c r="C893" s="6" t="s">
        <v>1118</v>
      </c>
      <c r="D893" s="1">
        <v>44961</v>
      </c>
      <c r="E893" s="4">
        <v>372.12</v>
      </c>
      <c r="F893" s="3">
        <v>1</v>
      </c>
      <c r="G893" s="6" t="s">
        <v>15</v>
      </c>
    </row>
    <row r="894" spans="1:7" x14ac:dyDescent="0.3">
      <c r="A894" s="2" t="s">
        <v>1121</v>
      </c>
      <c r="B894" s="2" t="s">
        <v>1117</v>
      </c>
      <c r="C894" s="6" t="s">
        <v>1118</v>
      </c>
      <c r="D894" s="1">
        <v>45566</v>
      </c>
      <c r="E894" s="4">
        <v>289.62</v>
      </c>
      <c r="F894" s="3">
        <v>1</v>
      </c>
      <c r="G894" s="6" t="s">
        <v>12</v>
      </c>
    </row>
    <row r="895" spans="1:7" x14ac:dyDescent="0.3">
      <c r="A895" s="2" t="s">
        <v>1122</v>
      </c>
      <c r="B895" s="2" t="s">
        <v>1117</v>
      </c>
      <c r="C895" s="6" t="s">
        <v>1118</v>
      </c>
      <c r="D895" s="1">
        <v>45412</v>
      </c>
      <c r="E895" s="4">
        <v>278.70999999999998</v>
      </c>
      <c r="F895" s="3">
        <v>3</v>
      </c>
      <c r="G895" s="6" t="s">
        <v>15</v>
      </c>
    </row>
    <row r="896" spans="1:7" x14ac:dyDescent="0.3">
      <c r="A896" s="2" t="s">
        <v>1123</v>
      </c>
      <c r="B896" s="2" t="s">
        <v>1117</v>
      </c>
      <c r="C896" s="6" t="s">
        <v>1118</v>
      </c>
      <c r="D896" s="1">
        <v>45235</v>
      </c>
      <c r="E896" s="4">
        <v>21.56</v>
      </c>
      <c r="F896" s="3">
        <v>4</v>
      </c>
      <c r="G896" s="6" t="s">
        <v>12</v>
      </c>
    </row>
    <row r="897" spans="1:7" x14ac:dyDescent="0.3">
      <c r="A897" s="2" t="s">
        <v>1124</v>
      </c>
      <c r="B897" s="2" t="s">
        <v>1117</v>
      </c>
      <c r="C897" s="6" t="s">
        <v>1118</v>
      </c>
      <c r="D897" s="1">
        <v>45153</v>
      </c>
      <c r="E897" s="4">
        <v>307.01</v>
      </c>
      <c r="F897" s="3">
        <v>2</v>
      </c>
      <c r="G897" s="6" t="s">
        <v>10</v>
      </c>
    </row>
    <row r="898" spans="1:7" x14ac:dyDescent="0.3">
      <c r="A898" s="2" t="s">
        <v>1125</v>
      </c>
      <c r="B898" s="2" t="s">
        <v>1117</v>
      </c>
      <c r="C898" s="6" t="s">
        <v>1118</v>
      </c>
      <c r="D898" s="1">
        <v>44987</v>
      </c>
      <c r="E898" s="4">
        <v>158.43</v>
      </c>
      <c r="F898" s="3">
        <v>1</v>
      </c>
      <c r="G898" s="6" t="s">
        <v>12</v>
      </c>
    </row>
    <row r="899" spans="1:7" x14ac:dyDescent="0.3">
      <c r="A899" s="2" t="s">
        <v>1126</v>
      </c>
      <c r="B899" s="2" t="s">
        <v>1117</v>
      </c>
      <c r="C899" s="6" t="s">
        <v>1118</v>
      </c>
      <c r="D899" s="1">
        <v>45417</v>
      </c>
      <c r="E899" s="4">
        <v>469.32</v>
      </c>
      <c r="F899" s="3">
        <v>4</v>
      </c>
      <c r="G899" s="6" t="s">
        <v>26</v>
      </c>
    </row>
    <row r="900" spans="1:7" x14ac:dyDescent="0.3">
      <c r="A900" s="2" t="s">
        <v>1127</v>
      </c>
      <c r="B900" s="2" t="s">
        <v>1117</v>
      </c>
      <c r="C900" s="6" t="s">
        <v>1118</v>
      </c>
      <c r="D900" s="1">
        <v>45133</v>
      </c>
      <c r="E900" s="4">
        <v>376.25</v>
      </c>
      <c r="F900" s="3">
        <v>2</v>
      </c>
      <c r="G900" s="6" t="s">
        <v>15</v>
      </c>
    </row>
    <row r="901" spans="1:7" x14ac:dyDescent="0.3">
      <c r="A901" s="2" t="s">
        <v>1128</v>
      </c>
      <c r="B901" s="2" t="s">
        <v>1129</v>
      </c>
      <c r="C901" s="6" t="s">
        <v>1130</v>
      </c>
      <c r="D901" s="1">
        <v>45129</v>
      </c>
      <c r="E901" s="4">
        <v>471.93</v>
      </c>
      <c r="F901" s="3">
        <v>4</v>
      </c>
      <c r="G901" s="6" t="s">
        <v>10</v>
      </c>
    </row>
    <row r="902" spans="1:7" x14ac:dyDescent="0.3">
      <c r="A902" s="2" t="s">
        <v>1131</v>
      </c>
      <c r="B902" s="2" t="s">
        <v>1129</v>
      </c>
      <c r="C902" s="6" t="s">
        <v>1130</v>
      </c>
      <c r="D902" s="1">
        <v>45633</v>
      </c>
      <c r="E902" s="4">
        <v>328.97</v>
      </c>
      <c r="F902" s="3">
        <v>3</v>
      </c>
      <c r="G902" s="6" t="s">
        <v>12</v>
      </c>
    </row>
    <row r="903" spans="1:7" x14ac:dyDescent="0.3">
      <c r="A903" s="2" t="s">
        <v>1132</v>
      </c>
      <c r="B903" s="2" t="s">
        <v>1129</v>
      </c>
      <c r="C903" s="6" t="s">
        <v>1130</v>
      </c>
      <c r="D903" s="1">
        <v>45565</v>
      </c>
      <c r="E903" s="4">
        <v>390.69</v>
      </c>
      <c r="F903" s="3">
        <v>3</v>
      </c>
      <c r="G903" s="6" t="s">
        <v>38</v>
      </c>
    </row>
    <row r="904" spans="1:7" x14ac:dyDescent="0.3">
      <c r="A904" s="2" t="s">
        <v>1133</v>
      </c>
      <c r="B904" s="2" t="s">
        <v>1129</v>
      </c>
      <c r="C904" s="6" t="s">
        <v>1130</v>
      </c>
      <c r="D904" s="1">
        <v>45115</v>
      </c>
      <c r="E904" s="4">
        <v>105.96</v>
      </c>
      <c r="F904" s="3">
        <v>1</v>
      </c>
      <c r="G904" s="6" t="s">
        <v>26</v>
      </c>
    </row>
    <row r="905" spans="1:7" x14ac:dyDescent="0.3">
      <c r="A905" s="2" t="s">
        <v>1134</v>
      </c>
      <c r="B905" s="2" t="s">
        <v>1135</v>
      </c>
      <c r="C905" s="6" t="s">
        <v>1136</v>
      </c>
      <c r="D905" s="1">
        <v>45612</v>
      </c>
      <c r="E905" s="4">
        <v>164.42</v>
      </c>
      <c r="F905" s="3">
        <v>3</v>
      </c>
      <c r="G905" s="6" t="s">
        <v>12</v>
      </c>
    </row>
    <row r="906" spans="1:7" x14ac:dyDescent="0.3">
      <c r="A906" s="2" t="s">
        <v>1137</v>
      </c>
      <c r="B906" s="2" t="s">
        <v>1135</v>
      </c>
      <c r="C906" s="6" t="s">
        <v>1136</v>
      </c>
      <c r="D906" s="1">
        <v>45615</v>
      </c>
      <c r="E906" s="4">
        <v>407.45</v>
      </c>
      <c r="F906" s="3">
        <v>3</v>
      </c>
      <c r="G906" s="6" t="s">
        <v>15</v>
      </c>
    </row>
    <row r="907" spans="1:7" x14ac:dyDescent="0.3">
      <c r="A907" s="2" t="s">
        <v>1138</v>
      </c>
      <c r="B907" s="2" t="s">
        <v>1135</v>
      </c>
      <c r="C907" s="6" t="s">
        <v>1136</v>
      </c>
      <c r="D907" s="1">
        <v>45633</v>
      </c>
      <c r="E907" s="4">
        <v>340.32</v>
      </c>
      <c r="F907" s="3">
        <v>1</v>
      </c>
      <c r="G907" s="6" t="s">
        <v>12</v>
      </c>
    </row>
    <row r="908" spans="1:7" x14ac:dyDescent="0.3">
      <c r="A908" s="2" t="s">
        <v>1139</v>
      </c>
      <c r="B908" s="2" t="s">
        <v>1135</v>
      </c>
      <c r="C908" s="6" t="s">
        <v>1136</v>
      </c>
      <c r="D908" s="1">
        <v>45651</v>
      </c>
      <c r="E908" s="4">
        <v>474.22</v>
      </c>
      <c r="F908" s="3">
        <v>4</v>
      </c>
      <c r="G908" s="6" t="s">
        <v>18</v>
      </c>
    </row>
    <row r="909" spans="1:7" x14ac:dyDescent="0.3">
      <c r="A909" s="2" t="s">
        <v>1140</v>
      </c>
      <c r="B909" s="2" t="s">
        <v>1135</v>
      </c>
      <c r="C909" s="6" t="s">
        <v>1136</v>
      </c>
      <c r="D909" s="1">
        <v>45656</v>
      </c>
      <c r="E909" s="4">
        <v>240.29</v>
      </c>
      <c r="F909" s="3">
        <v>2</v>
      </c>
      <c r="G909" s="6" t="s">
        <v>38</v>
      </c>
    </row>
    <row r="910" spans="1:7" x14ac:dyDescent="0.3">
      <c r="A910" s="2" t="s">
        <v>1141</v>
      </c>
      <c r="B910" s="2" t="s">
        <v>1135</v>
      </c>
      <c r="C910" s="6" t="s">
        <v>1136</v>
      </c>
      <c r="D910" s="1">
        <v>45652</v>
      </c>
      <c r="E910" s="4">
        <v>348.15</v>
      </c>
      <c r="F910" s="3">
        <v>1</v>
      </c>
      <c r="G910" s="6" t="s">
        <v>26</v>
      </c>
    </row>
    <row r="911" spans="1:7" x14ac:dyDescent="0.3">
      <c r="A911" s="2" t="s">
        <v>1142</v>
      </c>
      <c r="B911" s="2" t="s">
        <v>1135</v>
      </c>
      <c r="C911" s="6" t="s">
        <v>1136</v>
      </c>
      <c r="D911" s="1">
        <v>45622</v>
      </c>
      <c r="E911" s="4">
        <v>319.14999999999998</v>
      </c>
      <c r="F911" s="3">
        <v>4</v>
      </c>
      <c r="G911" s="6" t="s">
        <v>12</v>
      </c>
    </row>
    <row r="912" spans="1:7" x14ac:dyDescent="0.3">
      <c r="A912" s="2" t="s">
        <v>1143</v>
      </c>
      <c r="B912" s="2" t="s">
        <v>1135</v>
      </c>
      <c r="C912" s="6" t="s">
        <v>1136</v>
      </c>
      <c r="D912" s="1">
        <v>45656</v>
      </c>
      <c r="E912" s="4">
        <v>213.66</v>
      </c>
      <c r="F912" s="3">
        <v>3</v>
      </c>
      <c r="G912" s="6" t="s">
        <v>18</v>
      </c>
    </row>
    <row r="913" spans="1:7" x14ac:dyDescent="0.3">
      <c r="A913" s="2" t="s">
        <v>1144</v>
      </c>
      <c r="B913" s="2" t="s">
        <v>1135</v>
      </c>
      <c r="C913" s="6" t="s">
        <v>1136</v>
      </c>
      <c r="D913" s="1">
        <v>45636</v>
      </c>
      <c r="E913" s="4">
        <v>128.53</v>
      </c>
      <c r="F913" s="3">
        <v>2</v>
      </c>
      <c r="G913" s="6" t="s">
        <v>10</v>
      </c>
    </row>
    <row r="914" spans="1:7" x14ac:dyDescent="0.3">
      <c r="A914" s="2" t="s">
        <v>1145</v>
      </c>
      <c r="B914" s="2" t="s">
        <v>1135</v>
      </c>
      <c r="C914" s="6" t="s">
        <v>1136</v>
      </c>
      <c r="D914" s="1">
        <v>45623</v>
      </c>
      <c r="E914" s="4">
        <v>481.53</v>
      </c>
      <c r="F914" s="3">
        <v>2</v>
      </c>
      <c r="G914" s="6" t="s">
        <v>18</v>
      </c>
    </row>
    <row r="915" spans="1:7" x14ac:dyDescent="0.3">
      <c r="A915" s="2" t="s">
        <v>1146</v>
      </c>
      <c r="B915" s="2" t="s">
        <v>1147</v>
      </c>
      <c r="C915" s="6" t="s">
        <v>1148</v>
      </c>
      <c r="D915" s="1">
        <v>45475</v>
      </c>
      <c r="E915" s="4">
        <v>235.24</v>
      </c>
      <c r="F915" s="3">
        <v>2</v>
      </c>
      <c r="G915" s="6" t="s">
        <v>26</v>
      </c>
    </row>
    <row r="916" spans="1:7" x14ac:dyDescent="0.3">
      <c r="A916" s="2" t="s">
        <v>1149</v>
      </c>
      <c r="B916" s="2" t="s">
        <v>1147</v>
      </c>
      <c r="C916" s="6" t="s">
        <v>1148</v>
      </c>
      <c r="D916" s="1">
        <v>45252</v>
      </c>
      <c r="E916" s="4">
        <v>31.51</v>
      </c>
      <c r="F916" s="3">
        <v>2</v>
      </c>
      <c r="G916" s="6" t="s">
        <v>18</v>
      </c>
    </row>
    <row r="917" spans="1:7" x14ac:dyDescent="0.3">
      <c r="A917" s="2" t="s">
        <v>1150</v>
      </c>
      <c r="B917" s="2" t="s">
        <v>1147</v>
      </c>
      <c r="C917" s="6" t="s">
        <v>1148</v>
      </c>
      <c r="D917" s="1">
        <v>45122</v>
      </c>
      <c r="E917" s="4">
        <v>245.85</v>
      </c>
      <c r="F917" s="3">
        <v>3</v>
      </c>
      <c r="G917" s="6" t="s">
        <v>10</v>
      </c>
    </row>
    <row r="918" spans="1:7" x14ac:dyDescent="0.3">
      <c r="A918" s="2" t="s">
        <v>1151</v>
      </c>
      <c r="B918" s="2" t="s">
        <v>1147</v>
      </c>
      <c r="C918" s="6" t="s">
        <v>1148</v>
      </c>
      <c r="D918" s="1">
        <v>45649</v>
      </c>
      <c r="E918" s="4">
        <v>423.39</v>
      </c>
      <c r="F918" s="3">
        <v>1</v>
      </c>
      <c r="G918" s="6" t="s">
        <v>12</v>
      </c>
    </row>
    <row r="919" spans="1:7" x14ac:dyDescent="0.3">
      <c r="A919" s="2" t="s">
        <v>1152</v>
      </c>
      <c r="B919" s="2" t="s">
        <v>1147</v>
      </c>
      <c r="C919" s="6" t="s">
        <v>1148</v>
      </c>
      <c r="D919" s="1">
        <v>45079</v>
      </c>
      <c r="E919" s="4">
        <v>428.35</v>
      </c>
      <c r="F919" s="3">
        <v>4</v>
      </c>
      <c r="G919" s="6" t="s">
        <v>15</v>
      </c>
    </row>
    <row r="920" spans="1:7" x14ac:dyDescent="0.3">
      <c r="A920" s="2" t="s">
        <v>1153</v>
      </c>
      <c r="B920" s="2" t="s">
        <v>1147</v>
      </c>
      <c r="C920" s="6" t="s">
        <v>1148</v>
      </c>
      <c r="D920" s="1">
        <v>45611</v>
      </c>
      <c r="E920" s="4">
        <v>63.36</v>
      </c>
      <c r="F920" s="3">
        <v>3</v>
      </c>
      <c r="G920" s="6" t="s">
        <v>15</v>
      </c>
    </row>
    <row r="921" spans="1:7" x14ac:dyDescent="0.3">
      <c r="A921" s="2" t="s">
        <v>1154</v>
      </c>
      <c r="B921" s="2" t="s">
        <v>1147</v>
      </c>
      <c r="C921" s="6" t="s">
        <v>1148</v>
      </c>
      <c r="D921" s="1">
        <v>45281</v>
      </c>
      <c r="E921" s="4">
        <v>497.46</v>
      </c>
      <c r="F921" s="3">
        <v>2</v>
      </c>
      <c r="G921" s="6" t="s">
        <v>12</v>
      </c>
    </row>
    <row r="922" spans="1:7" x14ac:dyDescent="0.3">
      <c r="A922" s="2" t="s">
        <v>1155</v>
      </c>
      <c r="B922" s="2" t="s">
        <v>1147</v>
      </c>
      <c r="C922" s="6" t="s">
        <v>1148</v>
      </c>
      <c r="D922" s="1">
        <v>45475</v>
      </c>
      <c r="E922" s="4">
        <v>289.07</v>
      </c>
      <c r="F922" s="3">
        <v>1</v>
      </c>
      <c r="G922" s="6" t="s">
        <v>12</v>
      </c>
    </row>
    <row r="923" spans="1:7" x14ac:dyDescent="0.3">
      <c r="A923" s="2" t="s">
        <v>1156</v>
      </c>
      <c r="B923" s="2" t="s">
        <v>1147</v>
      </c>
      <c r="C923" s="6" t="s">
        <v>1148</v>
      </c>
      <c r="D923" s="1">
        <v>45630</v>
      </c>
      <c r="E923" s="4">
        <v>460.5</v>
      </c>
      <c r="F923" s="3">
        <v>2</v>
      </c>
      <c r="G923" s="6" t="s">
        <v>18</v>
      </c>
    </row>
    <row r="924" spans="1:7" x14ac:dyDescent="0.3">
      <c r="A924" s="2" t="s">
        <v>1157</v>
      </c>
      <c r="B924" s="2" t="s">
        <v>1147</v>
      </c>
      <c r="C924" s="6" t="s">
        <v>1148</v>
      </c>
      <c r="D924" s="1">
        <v>45183</v>
      </c>
      <c r="E924" s="4">
        <v>16.95</v>
      </c>
      <c r="F924" s="3">
        <v>3</v>
      </c>
      <c r="G924" s="6" t="s">
        <v>15</v>
      </c>
    </row>
    <row r="925" spans="1:7" x14ac:dyDescent="0.3">
      <c r="A925" s="2" t="s">
        <v>1158</v>
      </c>
      <c r="B925" s="2" t="s">
        <v>1147</v>
      </c>
      <c r="C925" s="6" t="s">
        <v>1148</v>
      </c>
      <c r="D925" s="1">
        <v>45600</v>
      </c>
      <c r="E925" s="4">
        <v>183.97</v>
      </c>
      <c r="F925" s="3">
        <v>3</v>
      </c>
      <c r="G925" s="6" t="s">
        <v>38</v>
      </c>
    </row>
    <row r="926" spans="1:7" x14ac:dyDescent="0.3">
      <c r="A926" s="2" t="s">
        <v>1159</v>
      </c>
      <c r="B926" s="2" t="s">
        <v>1147</v>
      </c>
      <c r="C926" s="6" t="s">
        <v>1148</v>
      </c>
      <c r="D926" s="1">
        <v>45274</v>
      </c>
      <c r="E926" s="4">
        <v>476.92</v>
      </c>
      <c r="F926" s="3">
        <v>3</v>
      </c>
      <c r="G926" s="6" t="s">
        <v>26</v>
      </c>
    </row>
    <row r="927" spans="1:7" x14ac:dyDescent="0.3">
      <c r="A927" s="2" t="s">
        <v>1160</v>
      </c>
      <c r="B927" s="2" t="s">
        <v>1147</v>
      </c>
      <c r="C927" s="6" t="s">
        <v>1148</v>
      </c>
      <c r="D927" s="1">
        <v>45549</v>
      </c>
      <c r="E927" s="4">
        <v>89.22</v>
      </c>
      <c r="F927" s="3">
        <v>4</v>
      </c>
      <c r="G927" s="6" t="s">
        <v>18</v>
      </c>
    </row>
    <row r="928" spans="1:7" x14ac:dyDescent="0.3">
      <c r="A928" s="2" t="s">
        <v>1161</v>
      </c>
      <c r="B928" s="2" t="s">
        <v>1147</v>
      </c>
      <c r="C928" s="6" t="s">
        <v>1148</v>
      </c>
      <c r="D928" s="1">
        <v>45524</v>
      </c>
      <c r="E928" s="4">
        <v>123.7</v>
      </c>
      <c r="F928" s="3">
        <v>3</v>
      </c>
      <c r="G928" s="6" t="s">
        <v>12</v>
      </c>
    </row>
    <row r="929" spans="1:7" x14ac:dyDescent="0.3">
      <c r="A929" s="2" t="s">
        <v>1162</v>
      </c>
      <c r="B929" s="2" t="s">
        <v>1163</v>
      </c>
      <c r="C929" s="6" t="s">
        <v>1164</v>
      </c>
      <c r="D929" s="1">
        <v>45524</v>
      </c>
      <c r="E929" s="4">
        <v>286.89</v>
      </c>
      <c r="F929" s="3">
        <v>1</v>
      </c>
      <c r="G929" s="6" t="s">
        <v>18</v>
      </c>
    </row>
    <row r="930" spans="1:7" x14ac:dyDescent="0.3">
      <c r="A930" s="2" t="s">
        <v>1165</v>
      </c>
      <c r="B930" s="2" t="s">
        <v>1166</v>
      </c>
      <c r="C930" s="6" t="s">
        <v>1167</v>
      </c>
      <c r="D930" s="1">
        <v>45592</v>
      </c>
      <c r="E930" s="4">
        <v>419.35</v>
      </c>
      <c r="F930" s="3">
        <v>1</v>
      </c>
      <c r="G930" s="6" t="s">
        <v>15</v>
      </c>
    </row>
    <row r="931" spans="1:7" x14ac:dyDescent="0.3">
      <c r="A931" s="2" t="s">
        <v>1168</v>
      </c>
      <c r="B931" s="2" t="s">
        <v>1166</v>
      </c>
      <c r="C931" s="6" t="s">
        <v>1167</v>
      </c>
      <c r="D931" s="1">
        <v>45611</v>
      </c>
      <c r="E931" s="4">
        <v>122.05</v>
      </c>
      <c r="F931" s="3">
        <v>1</v>
      </c>
      <c r="G931" s="6" t="s">
        <v>12</v>
      </c>
    </row>
    <row r="932" spans="1:7" x14ac:dyDescent="0.3">
      <c r="A932" s="2" t="s">
        <v>1169</v>
      </c>
      <c r="B932" s="2" t="s">
        <v>1166</v>
      </c>
      <c r="C932" s="6" t="s">
        <v>1167</v>
      </c>
      <c r="D932" s="1">
        <v>45625</v>
      </c>
      <c r="E932" s="4">
        <v>167.62</v>
      </c>
      <c r="F932" s="3">
        <v>3</v>
      </c>
      <c r="G932" s="6" t="s">
        <v>26</v>
      </c>
    </row>
    <row r="933" spans="1:7" x14ac:dyDescent="0.3">
      <c r="A933" s="2" t="s">
        <v>1170</v>
      </c>
      <c r="B933" s="2" t="s">
        <v>1166</v>
      </c>
      <c r="C933" s="6" t="s">
        <v>1167</v>
      </c>
      <c r="D933" s="1">
        <v>45655</v>
      </c>
      <c r="E933" s="4">
        <v>406.05</v>
      </c>
      <c r="F933" s="3">
        <v>1</v>
      </c>
      <c r="G933" s="6" t="s">
        <v>18</v>
      </c>
    </row>
    <row r="934" spans="1:7" x14ac:dyDescent="0.3">
      <c r="A934" s="2" t="s">
        <v>1171</v>
      </c>
      <c r="B934" s="2" t="s">
        <v>1166</v>
      </c>
      <c r="C934" s="6" t="s">
        <v>1167</v>
      </c>
      <c r="D934" s="1">
        <v>45610</v>
      </c>
      <c r="E934" s="4">
        <v>24.29</v>
      </c>
      <c r="F934" s="3">
        <v>4</v>
      </c>
      <c r="G934" s="6" t="s">
        <v>12</v>
      </c>
    </row>
    <row r="935" spans="1:7" x14ac:dyDescent="0.3">
      <c r="A935" s="2" t="s">
        <v>1172</v>
      </c>
      <c r="B935" s="2" t="s">
        <v>1166</v>
      </c>
      <c r="C935" s="6" t="s">
        <v>1167</v>
      </c>
      <c r="D935" s="1">
        <v>45596</v>
      </c>
      <c r="E935" s="4">
        <v>10.220000000000001</v>
      </c>
      <c r="F935" s="3">
        <v>1</v>
      </c>
      <c r="G935" s="6" t="s">
        <v>15</v>
      </c>
    </row>
    <row r="936" spans="1:7" x14ac:dyDescent="0.3">
      <c r="A936" s="2" t="s">
        <v>1173</v>
      </c>
      <c r="B936" s="2" t="s">
        <v>1174</v>
      </c>
      <c r="C936" s="6" t="s">
        <v>1175</v>
      </c>
      <c r="D936" s="1">
        <v>45535</v>
      </c>
      <c r="E936" s="4">
        <v>477.88</v>
      </c>
      <c r="F936" s="3">
        <v>4</v>
      </c>
      <c r="G936" s="6" t="s">
        <v>38</v>
      </c>
    </row>
    <row r="937" spans="1:7" x14ac:dyDescent="0.3">
      <c r="A937" s="2" t="s">
        <v>1176</v>
      </c>
      <c r="B937" s="2" t="s">
        <v>1174</v>
      </c>
      <c r="C937" s="6" t="s">
        <v>1175</v>
      </c>
      <c r="D937" s="1">
        <v>45469</v>
      </c>
      <c r="E937" s="4">
        <v>382.89</v>
      </c>
      <c r="F937" s="3">
        <v>3</v>
      </c>
      <c r="G937" s="6" t="s">
        <v>38</v>
      </c>
    </row>
    <row r="938" spans="1:7" x14ac:dyDescent="0.3">
      <c r="A938" s="2" t="s">
        <v>1177</v>
      </c>
      <c r="B938" s="2" t="s">
        <v>1174</v>
      </c>
      <c r="C938" s="6" t="s">
        <v>1175</v>
      </c>
      <c r="D938" s="1">
        <v>45497</v>
      </c>
      <c r="E938" s="4">
        <v>25.98</v>
      </c>
      <c r="F938" s="3">
        <v>1</v>
      </c>
      <c r="G938" s="6" t="s">
        <v>12</v>
      </c>
    </row>
    <row r="939" spans="1:7" x14ac:dyDescent="0.3">
      <c r="A939" s="2" t="s">
        <v>1178</v>
      </c>
      <c r="B939" s="2" t="s">
        <v>1174</v>
      </c>
      <c r="C939" s="6" t="s">
        <v>1175</v>
      </c>
      <c r="D939" s="1">
        <v>45471</v>
      </c>
      <c r="E939" s="4">
        <v>145.02000000000001</v>
      </c>
      <c r="F939" s="3">
        <v>2</v>
      </c>
      <c r="G939" s="6" t="s">
        <v>38</v>
      </c>
    </row>
    <row r="940" spans="1:7" x14ac:dyDescent="0.3">
      <c r="A940" s="2" t="s">
        <v>1179</v>
      </c>
      <c r="B940" s="2" t="s">
        <v>1174</v>
      </c>
      <c r="C940" s="6" t="s">
        <v>1175</v>
      </c>
      <c r="D940" s="1">
        <v>45553</v>
      </c>
      <c r="E940" s="4">
        <v>132.99</v>
      </c>
      <c r="F940" s="3">
        <v>1</v>
      </c>
      <c r="G940" s="6" t="s">
        <v>15</v>
      </c>
    </row>
    <row r="941" spans="1:7" x14ac:dyDescent="0.3">
      <c r="A941" s="2" t="s">
        <v>1180</v>
      </c>
      <c r="B941" s="2" t="s">
        <v>1174</v>
      </c>
      <c r="C941" s="6" t="s">
        <v>1175</v>
      </c>
      <c r="D941" s="1">
        <v>45471</v>
      </c>
      <c r="E941" s="4">
        <v>213.65</v>
      </c>
      <c r="F941" s="3">
        <v>2</v>
      </c>
      <c r="G941" s="6" t="s">
        <v>38</v>
      </c>
    </row>
    <row r="942" spans="1:7" x14ac:dyDescent="0.3">
      <c r="A942" s="2" t="s">
        <v>1181</v>
      </c>
      <c r="B942" s="2" t="s">
        <v>1182</v>
      </c>
      <c r="C942" s="6" t="s">
        <v>1183</v>
      </c>
      <c r="D942" s="1">
        <v>45595</v>
      </c>
      <c r="E942" s="4">
        <v>459.94</v>
      </c>
      <c r="F942" s="3">
        <v>3</v>
      </c>
      <c r="G942" s="6" t="s">
        <v>15</v>
      </c>
    </row>
    <row r="943" spans="1:7" x14ac:dyDescent="0.3">
      <c r="A943" s="2" t="s">
        <v>1184</v>
      </c>
      <c r="B943" s="2" t="s">
        <v>1185</v>
      </c>
      <c r="C943" s="6" t="s">
        <v>1186</v>
      </c>
      <c r="D943" s="1">
        <v>45515</v>
      </c>
      <c r="E943" s="4">
        <v>378.37</v>
      </c>
      <c r="F943" s="3">
        <v>2</v>
      </c>
      <c r="G943" s="6" t="s">
        <v>10</v>
      </c>
    </row>
    <row r="944" spans="1:7" x14ac:dyDescent="0.3">
      <c r="A944" s="2" t="s">
        <v>1187</v>
      </c>
      <c r="B944" s="2" t="s">
        <v>1185</v>
      </c>
      <c r="C944" s="6" t="s">
        <v>1186</v>
      </c>
      <c r="D944" s="1">
        <v>45505</v>
      </c>
      <c r="E944" s="4">
        <v>95.86</v>
      </c>
      <c r="F944" s="3">
        <v>4</v>
      </c>
      <c r="G944" s="6" t="s">
        <v>26</v>
      </c>
    </row>
    <row r="945" spans="1:7" x14ac:dyDescent="0.3">
      <c r="A945" s="2" t="s">
        <v>1188</v>
      </c>
      <c r="B945" s="2" t="s">
        <v>1185</v>
      </c>
      <c r="C945" s="6" t="s">
        <v>1186</v>
      </c>
      <c r="D945" s="1">
        <v>45549</v>
      </c>
      <c r="E945" s="4">
        <v>120.2</v>
      </c>
      <c r="F945" s="3">
        <v>1</v>
      </c>
      <c r="G945" s="6" t="s">
        <v>15</v>
      </c>
    </row>
    <row r="946" spans="1:7" x14ac:dyDescent="0.3">
      <c r="A946" s="2" t="s">
        <v>1189</v>
      </c>
      <c r="B946" s="2" t="s">
        <v>1185</v>
      </c>
      <c r="C946" s="6" t="s">
        <v>1186</v>
      </c>
      <c r="D946" s="1">
        <v>45568</v>
      </c>
      <c r="E946" s="4">
        <v>223.94</v>
      </c>
      <c r="F946" s="3">
        <v>1</v>
      </c>
      <c r="G946" s="6" t="s">
        <v>12</v>
      </c>
    </row>
    <row r="947" spans="1:7" x14ac:dyDescent="0.3">
      <c r="A947" s="2" t="s">
        <v>1190</v>
      </c>
      <c r="B947" s="2" t="s">
        <v>1185</v>
      </c>
      <c r="C947" s="6" t="s">
        <v>1186</v>
      </c>
      <c r="D947" s="1">
        <v>45411</v>
      </c>
      <c r="E947" s="4">
        <v>169.91</v>
      </c>
      <c r="F947" s="3">
        <v>3</v>
      </c>
      <c r="G947" s="6" t="s">
        <v>12</v>
      </c>
    </row>
    <row r="948" spans="1:7" x14ac:dyDescent="0.3">
      <c r="A948" s="2" t="s">
        <v>1191</v>
      </c>
      <c r="B948" s="2" t="s">
        <v>1185</v>
      </c>
      <c r="C948" s="6" t="s">
        <v>1186</v>
      </c>
      <c r="D948" s="1">
        <v>45421</v>
      </c>
      <c r="E948" s="4">
        <v>182.99</v>
      </c>
      <c r="F948" s="3">
        <v>4</v>
      </c>
      <c r="G948" s="6" t="s">
        <v>26</v>
      </c>
    </row>
    <row r="949" spans="1:7" x14ac:dyDescent="0.3">
      <c r="A949" s="2" t="s">
        <v>1192</v>
      </c>
      <c r="B949" s="2" t="s">
        <v>1185</v>
      </c>
      <c r="C949" s="6" t="s">
        <v>1186</v>
      </c>
      <c r="D949" s="1">
        <v>45445</v>
      </c>
      <c r="E949" s="4">
        <v>215.53</v>
      </c>
      <c r="F949" s="3">
        <v>3</v>
      </c>
      <c r="G949" s="6" t="s">
        <v>15</v>
      </c>
    </row>
    <row r="950" spans="1:7" x14ac:dyDescent="0.3">
      <c r="A950" s="2" t="s">
        <v>1193</v>
      </c>
      <c r="B950" s="2" t="s">
        <v>1185</v>
      </c>
      <c r="C950" s="6" t="s">
        <v>1186</v>
      </c>
      <c r="D950" s="1">
        <v>45396</v>
      </c>
      <c r="E950" s="4">
        <v>253.79</v>
      </c>
      <c r="F950" s="3">
        <v>1</v>
      </c>
      <c r="G950" s="6" t="s">
        <v>15</v>
      </c>
    </row>
    <row r="951" spans="1:7" x14ac:dyDescent="0.3">
      <c r="A951" s="2" t="s">
        <v>1194</v>
      </c>
      <c r="B951" s="2" t="s">
        <v>1185</v>
      </c>
      <c r="C951" s="6" t="s">
        <v>1186</v>
      </c>
      <c r="D951" s="1">
        <v>45533</v>
      </c>
      <c r="E951" s="4">
        <v>135.1</v>
      </c>
      <c r="F951" s="3">
        <v>4</v>
      </c>
      <c r="G951" s="6" t="s">
        <v>12</v>
      </c>
    </row>
    <row r="952" spans="1:7" x14ac:dyDescent="0.3">
      <c r="A952" s="2" t="s">
        <v>1195</v>
      </c>
      <c r="B952" s="2" t="s">
        <v>1185</v>
      </c>
      <c r="C952" s="6" t="s">
        <v>1186</v>
      </c>
      <c r="D952" s="1">
        <v>45415</v>
      </c>
      <c r="E952" s="4">
        <v>26.08</v>
      </c>
      <c r="F952" s="3">
        <v>1</v>
      </c>
      <c r="G952" s="6" t="s">
        <v>18</v>
      </c>
    </row>
    <row r="953" spans="1:7" x14ac:dyDescent="0.3">
      <c r="A953" s="2" t="s">
        <v>1196</v>
      </c>
      <c r="B953" s="2" t="s">
        <v>1197</v>
      </c>
      <c r="C953" s="6" t="s">
        <v>1198</v>
      </c>
      <c r="D953" s="1">
        <v>45551</v>
      </c>
      <c r="E953" s="4">
        <v>56.58</v>
      </c>
      <c r="F953" s="3">
        <v>4</v>
      </c>
      <c r="G953" s="6" t="s">
        <v>12</v>
      </c>
    </row>
    <row r="954" spans="1:7" x14ac:dyDescent="0.3">
      <c r="A954" s="2" t="s">
        <v>1199</v>
      </c>
      <c r="B954" s="2" t="s">
        <v>1197</v>
      </c>
      <c r="C954" s="6" t="s">
        <v>1198</v>
      </c>
      <c r="D954" s="1">
        <v>45545</v>
      </c>
      <c r="E954" s="4">
        <v>366.11</v>
      </c>
      <c r="F954" s="3">
        <v>4</v>
      </c>
      <c r="G954" s="6" t="s">
        <v>10</v>
      </c>
    </row>
    <row r="955" spans="1:7" x14ac:dyDescent="0.3">
      <c r="A955" s="2" t="s">
        <v>1200</v>
      </c>
      <c r="B955" s="2" t="s">
        <v>1197</v>
      </c>
      <c r="C955" s="6" t="s">
        <v>1198</v>
      </c>
      <c r="D955" s="1">
        <v>45380</v>
      </c>
      <c r="E955" s="4">
        <v>330.78</v>
      </c>
      <c r="F955" s="3">
        <v>2</v>
      </c>
      <c r="G955" s="6" t="s">
        <v>12</v>
      </c>
    </row>
    <row r="956" spans="1:7" x14ac:dyDescent="0.3">
      <c r="A956" s="2" t="s">
        <v>1201</v>
      </c>
      <c r="B956" s="2" t="s">
        <v>1197</v>
      </c>
      <c r="C956" s="6" t="s">
        <v>1198</v>
      </c>
      <c r="D956" s="1">
        <v>45537</v>
      </c>
      <c r="E956" s="4">
        <v>148.41</v>
      </c>
      <c r="F956" s="3">
        <v>1</v>
      </c>
      <c r="G956" s="6" t="s">
        <v>10</v>
      </c>
    </row>
    <row r="957" spans="1:7" x14ac:dyDescent="0.3">
      <c r="A957" s="2" t="s">
        <v>1202</v>
      </c>
      <c r="B957" s="2" t="s">
        <v>1197</v>
      </c>
      <c r="C957" s="6" t="s">
        <v>1198</v>
      </c>
      <c r="D957" s="1">
        <v>45610</v>
      </c>
      <c r="E957" s="4">
        <v>277.88</v>
      </c>
      <c r="F957" s="3">
        <v>1</v>
      </c>
      <c r="G957" s="6" t="s">
        <v>38</v>
      </c>
    </row>
    <row r="958" spans="1:7" x14ac:dyDescent="0.3">
      <c r="A958" s="2" t="s">
        <v>1203</v>
      </c>
      <c r="B958" s="2" t="s">
        <v>1197</v>
      </c>
      <c r="C958" s="6" t="s">
        <v>1198</v>
      </c>
      <c r="D958" s="1">
        <v>45605</v>
      </c>
      <c r="E958" s="4">
        <v>40.049999999999997</v>
      </c>
      <c r="F958" s="3">
        <v>1</v>
      </c>
      <c r="G958" s="6" t="s">
        <v>18</v>
      </c>
    </row>
    <row r="959" spans="1:7" x14ac:dyDescent="0.3">
      <c r="A959" s="2" t="s">
        <v>1204</v>
      </c>
      <c r="B959" s="2" t="s">
        <v>1197</v>
      </c>
      <c r="C959" s="6" t="s">
        <v>1198</v>
      </c>
      <c r="D959" s="1">
        <v>45494</v>
      </c>
      <c r="E959" s="4">
        <v>108.27</v>
      </c>
      <c r="F959" s="3">
        <v>1</v>
      </c>
      <c r="G959" s="6" t="s">
        <v>18</v>
      </c>
    </row>
    <row r="960" spans="1:7" x14ac:dyDescent="0.3">
      <c r="A960" s="2" t="s">
        <v>1205</v>
      </c>
      <c r="B960" s="2" t="s">
        <v>1197</v>
      </c>
      <c r="C960" s="6" t="s">
        <v>1198</v>
      </c>
      <c r="D960" s="1">
        <v>45568</v>
      </c>
      <c r="E960" s="4">
        <v>122.9</v>
      </c>
      <c r="F960" s="3">
        <v>2</v>
      </c>
      <c r="G960" s="6" t="s">
        <v>12</v>
      </c>
    </row>
    <row r="961" spans="1:7" x14ac:dyDescent="0.3">
      <c r="A961" s="2" t="s">
        <v>1206</v>
      </c>
      <c r="B961" s="2" t="s">
        <v>1197</v>
      </c>
      <c r="C961" s="6" t="s">
        <v>1198</v>
      </c>
      <c r="D961" s="1">
        <v>45394</v>
      </c>
      <c r="E961" s="4">
        <v>368.55</v>
      </c>
      <c r="F961" s="3">
        <v>3</v>
      </c>
      <c r="G961" s="6" t="s">
        <v>15</v>
      </c>
    </row>
    <row r="962" spans="1:7" x14ac:dyDescent="0.3">
      <c r="A962" s="2" t="s">
        <v>1207</v>
      </c>
      <c r="B962" s="2" t="s">
        <v>1197</v>
      </c>
      <c r="C962" s="6" t="s">
        <v>1198</v>
      </c>
      <c r="D962" s="1">
        <v>45525</v>
      </c>
      <c r="E962" s="4">
        <v>425.73</v>
      </c>
      <c r="F962" s="3">
        <v>2</v>
      </c>
      <c r="G962" s="6" t="s">
        <v>26</v>
      </c>
    </row>
    <row r="963" spans="1:7" x14ac:dyDescent="0.3">
      <c r="A963" s="2" t="s">
        <v>1208</v>
      </c>
      <c r="B963" s="2" t="s">
        <v>1197</v>
      </c>
      <c r="C963" s="6" t="s">
        <v>1198</v>
      </c>
      <c r="D963" s="1">
        <v>45386</v>
      </c>
      <c r="E963" s="4">
        <v>169.39</v>
      </c>
      <c r="F963" s="3">
        <v>4</v>
      </c>
      <c r="G963" s="6" t="s">
        <v>38</v>
      </c>
    </row>
    <row r="964" spans="1:7" x14ac:dyDescent="0.3">
      <c r="A964" s="2" t="s">
        <v>1209</v>
      </c>
      <c r="B964" s="2" t="s">
        <v>1210</v>
      </c>
      <c r="C964" s="6" t="s">
        <v>1211</v>
      </c>
      <c r="D964" s="1">
        <v>45606</v>
      </c>
      <c r="E964" s="4">
        <v>191.76</v>
      </c>
      <c r="F964" s="3">
        <v>3</v>
      </c>
      <c r="G964" s="6" t="s">
        <v>12</v>
      </c>
    </row>
    <row r="965" spans="1:7" x14ac:dyDescent="0.3">
      <c r="A965" s="2" t="s">
        <v>1212</v>
      </c>
      <c r="B965" s="2" t="s">
        <v>1210</v>
      </c>
      <c r="C965" s="6" t="s">
        <v>1211</v>
      </c>
      <c r="D965" s="1">
        <v>45539</v>
      </c>
      <c r="E965" s="4">
        <v>208.82</v>
      </c>
      <c r="F965" s="3">
        <v>1</v>
      </c>
      <c r="G965" s="6" t="s">
        <v>18</v>
      </c>
    </row>
    <row r="966" spans="1:7" x14ac:dyDescent="0.3">
      <c r="A966" s="2" t="s">
        <v>1213</v>
      </c>
      <c r="B966" s="2" t="s">
        <v>1210</v>
      </c>
      <c r="C966" s="6" t="s">
        <v>1211</v>
      </c>
      <c r="D966" s="1">
        <v>45475</v>
      </c>
      <c r="E966" s="4">
        <v>299.41000000000003</v>
      </c>
      <c r="F966" s="3">
        <v>4</v>
      </c>
      <c r="G966" s="6" t="s">
        <v>38</v>
      </c>
    </row>
    <row r="967" spans="1:7" x14ac:dyDescent="0.3">
      <c r="A967" s="2" t="s">
        <v>1214</v>
      </c>
      <c r="B967" s="2" t="s">
        <v>1210</v>
      </c>
      <c r="C967" s="6" t="s">
        <v>1211</v>
      </c>
      <c r="D967" s="1">
        <v>45480</v>
      </c>
      <c r="E967" s="4">
        <v>213.09</v>
      </c>
      <c r="F967" s="3">
        <v>2</v>
      </c>
      <c r="G967" s="6" t="s">
        <v>26</v>
      </c>
    </row>
    <row r="968" spans="1:7" x14ac:dyDescent="0.3">
      <c r="A968" s="2" t="s">
        <v>1215</v>
      </c>
      <c r="B968" s="2" t="s">
        <v>1210</v>
      </c>
      <c r="C968" s="6" t="s">
        <v>1211</v>
      </c>
      <c r="D968" s="1">
        <v>45453</v>
      </c>
      <c r="E968" s="4">
        <v>91.99</v>
      </c>
      <c r="F968" s="3">
        <v>1</v>
      </c>
      <c r="G968" s="6" t="s">
        <v>18</v>
      </c>
    </row>
    <row r="969" spans="1:7" x14ac:dyDescent="0.3">
      <c r="A969" s="2" t="s">
        <v>1216</v>
      </c>
      <c r="B969" s="2" t="s">
        <v>1210</v>
      </c>
      <c r="C969" s="6" t="s">
        <v>1211</v>
      </c>
      <c r="D969" s="1">
        <v>45630</v>
      </c>
      <c r="E969" s="4">
        <v>476.59</v>
      </c>
      <c r="F969" s="3">
        <v>2</v>
      </c>
      <c r="G969" s="6" t="s">
        <v>26</v>
      </c>
    </row>
    <row r="970" spans="1:7" x14ac:dyDescent="0.3">
      <c r="A970" s="2" t="s">
        <v>1217</v>
      </c>
      <c r="B970" s="2" t="s">
        <v>1210</v>
      </c>
      <c r="C970" s="6" t="s">
        <v>1211</v>
      </c>
      <c r="D970" s="1">
        <v>45438</v>
      </c>
      <c r="E970" s="4">
        <v>304.76</v>
      </c>
      <c r="F970" s="3">
        <v>3</v>
      </c>
      <c r="G970" s="6" t="s">
        <v>15</v>
      </c>
    </row>
    <row r="971" spans="1:7" x14ac:dyDescent="0.3">
      <c r="A971" s="2" t="s">
        <v>1218</v>
      </c>
      <c r="B971" s="2" t="s">
        <v>1210</v>
      </c>
      <c r="C971" s="6" t="s">
        <v>1211</v>
      </c>
      <c r="D971" s="1">
        <v>45574</v>
      </c>
      <c r="E971" s="4">
        <v>73.67</v>
      </c>
      <c r="F971" s="3">
        <v>2</v>
      </c>
      <c r="G971" s="6" t="s">
        <v>10</v>
      </c>
    </row>
    <row r="972" spans="1:7" x14ac:dyDescent="0.3">
      <c r="A972" s="2" t="s">
        <v>1219</v>
      </c>
      <c r="B972" s="2" t="s">
        <v>1210</v>
      </c>
      <c r="C972" s="6" t="s">
        <v>1211</v>
      </c>
      <c r="D972" s="1">
        <v>45486</v>
      </c>
      <c r="E972" s="4">
        <v>357.16</v>
      </c>
      <c r="F972" s="3">
        <v>4</v>
      </c>
      <c r="G972" s="6" t="s">
        <v>12</v>
      </c>
    </row>
    <row r="973" spans="1:7" x14ac:dyDescent="0.3">
      <c r="A973" s="2" t="s">
        <v>1220</v>
      </c>
      <c r="B973" s="2" t="s">
        <v>1210</v>
      </c>
      <c r="C973" s="6" t="s">
        <v>1211</v>
      </c>
      <c r="D973" s="1">
        <v>45502</v>
      </c>
      <c r="E973" s="4">
        <v>467.13</v>
      </c>
      <c r="F973" s="3">
        <v>4</v>
      </c>
      <c r="G973" s="6" t="s">
        <v>26</v>
      </c>
    </row>
    <row r="974" spans="1:7" x14ac:dyDescent="0.3">
      <c r="A974" s="2" t="s">
        <v>1221</v>
      </c>
      <c r="B974" s="2" t="s">
        <v>1210</v>
      </c>
      <c r="C974" s="6" t="s">
        <v>1211</v>
      </c>
      <c r="D974" s="1">
        <v>45436</v>
      </c>
      <c r="E974" s="4">
        <v>360.02</v>
      </c>
      <c r="F974" s="3">
        <v>2</v>
      </c>
      <c r="G974" s="6" t="s">
        <v>12</v>
      </c>
    </row>
    <row r="975" spans="1:7" x14ac:dyDescent="0.3">
      <c r="A975" s="2" t="s">
        <v>1222</v>
      </c>
      <c r="B975" s="2" t="s">
        <v>1223</v>
      </c>
      <c r="C975" s="6" t="s">
        <v>1224</v>
      </c>
      <c r="D975" s="1">
        <v>45598</v>
      </c>
      <c r="E975" s="4">
        <v>367.2</v>
      </c>
      <c r="F975" s="3">
        <v>1</v>
      </c>
      <c r="G975" s="6" t="s">
        <v>18</v>
      </c>
    </row>
    <row r="976" spans="1:7" x14ac:dyDescent="0.3">
      <c r="A976" s="2" t="s">
        <v>1225</v>
      </c>
      <c r="B976" s="2" t="s">
        <v>1226</v>
      </c>
      <c r="C976" s="6" t="s">
        <v>1227</v>
      </c>
      <c r="D976" s="1">
        <v>45460</v>
      </c>
      <c r="E976" s="4">
        <v>35.43</v>
      </c>
      <c r="F976" s="3">
        <v>1</v>
      </c>
      <c r="G976" s="6" t="s">
        <v>38</v>
      </c>
    </row>
    <row r="977" spans="1:7" x14ac:dyDescent="0.3">
      <c r="A977" s="2" t="s">
        <v>1228</v>
      </c>
      <c r="B977" s="2" t="s">
        <v>1229</v>
      </c>
      <c r="C977" s="6" t="s">
        <v>1230</v>
      </c>
      <c r="D977" s="1">
        <v>45610</v>
      </c>
      <c r="E977" s="4">
        <v>429.7</v>
      </c>
      <c r="F977" s="3">
        <v>4</v>
      </c>
      <c r="G977" s="6" t="s">
        <v>38</v>
      </c>
    </row>
    <row r="978" spans="1:7" x14ac:dyDescent="0.3">
      <c r="A978" s="2" t="s">
        <v>1231</v>
      </c>
      <c r="B978" s="2" t="s">
        <v>1229</v>
      </c>
      <c r="C978" s="6" t="s">
        <v>1230</v>
      </c>
      <c r="D978" s="1">
        <v>45540</v>
      </c>
      <c r="E978" s="4">
        <v>223.31</v>
      </c>
      <c r="F978" s="3">
        <v>1</v>
      </c>
      <c r="G978" s="6" t="s">
        <v>38</v>
      </c>
    </row>
    <row r="979" spans="1:7" x14ac:dyDescent="0.3">
      <c r="A979" s="2" t="s">
        <v>1232</v>
      </c>
      <c r="B979" s="2" t="s">
        <v>1229</v>
      </c>
      <c r="C979" s="6" t="s">
        <v>1230</v>
      </c>
      <c r="D979" s="1">
        <v>45636</v>
      </c>
      <c r="E979" s="4">
        <v>258.27</v>
      </c>
      <c r="F979" s="3">
        <v>2</v>
      </c>
      <c r="G979" s="6" t="s">
        <v>15</v>
      </c>
    </row>
    <row r="980" spans="1:7" x14ac:dyDescent="0.3">
      <c r="A980" s="2" t="s">
        <v>1233</v>
      </c>
      <c r="B980" s="2" t="s">
        <v>1229</v>
      </c>
      <c r="C980" s="6" t="s">
        <v>1230</v>
      </c>
      <c r="D980" s="1">
        <v>45408</v>
      </c>
      <c r="E980" s="4">
        <v>421.11</v>
      </c>
      <c r="F980" s="3">
        <v>2</v>
      </c>
      <c r="G980" s="6" t="s">
        <v>18</v>
      </c>
    </row>
    <row r="981" spans="1:7" x14ac:dyDescent="0.3">
      <c r="A981" s="2" t="s">
        <v>1234</v>
      </c>
      <c r="B981" s="2" t="s">
        <v>1229</v>
      </c>
      <c r="C981" s="6" t="s">
        <v>1230</v>
      </c>
      <c r="D981" s="1">
        <v>45654</v>
      </c>
      <c r="E981" s="4">
        <v>485.43</v>
      </c>
      <c r="F981" s="3">
        <v>3</v>
      </c>
      <c r="G981" s="6" t="s">
        <v>10</v>
      </c>
    </row>
    <row r="982" spans="1:7" x14ac:dyDescent="0.3">
      <c r="A982" s="2" t="s">
        <v>1235</v>
      </c>
      <c r="B982" s="2" t="s">
        <v>1229</v>
      </c>
      <c r="C982" s="6" t="s">
        <v>1230</v>
      </c>
      <c r="D982" s="1">
        <v>45581</v>
      </c>
      <c r="E982" s="4">
        <v>355.39</v>
      </c>
      <c r="F982" s="3">
        <v>2</v>
      </c>
      <c r="G982" s="6" t="s">
        <v>12</v>
      </c>
    </row>
    <row r="983" spans="1:7" x14ac:dyDescent="0.3">
      <c r="A983" s="2" t="s">
        <v>1236</v>
      </c>
      <c r="B983" s="2" t="s">
        <v>1237</v>
      </c>
      <c r="C983" s="6" t="s">
        <v>1238</v>
      </c>
      <c r="D983" s="1">
        <v>45542</v>
      </c>
      <c r="E983" s="4">
        <v>220.5</v>
      </c>
      <c r="F983" s="3">
        <v>3</v>
      </c>
      <c r="G983" s="6" t="s">
        <v>10</v>
      </c>
    </row>
    <row r="984" spans="1:7" x14ac:dyDescent="0.3">
      <c r="A984" s="2" t="s">
        <v>1239</v>
      </c>
      <c r="B984" s="2" t="s">
        <v>1237</v>
      </c>
      <c r="C984" s="6" t="s">
        <v>1238</v>
      </c>
      <c r="D984" s="1">
        <v>45539</v>
      </c>
      <c r="E984" s="4">
        <v>432.69</v>
      </c>
      <c r="F984" s="3">
        <v>4</v>
      </c>
      <c r="G984" s="6" t="s">
        <v>10</v>
      </c>
    </row>
    <row r="985" spans="1:7" x14ac:dyDescent="0.3">
      <c r="A985" s="2" t="s">
        <v>1240</v>
      </c>
      <c r="B985" s="2" t="s">
        <v>1237</v>
      </c>
      <c r="C985" s="6" t="s">
        <v>1238</v>
      </c>
      <c r="D985" s="1">
        <v>45523</v>
      </c>
      <c r="E985" s="4">
        <v>360.06</v>
      </c>
      <c r="F985" s="3">
        <v>4</v>
      </c>
      <c r="G985" s="6" t="s">
        <v>12</v>
      </c>
    </row>
    <row r="986" spans="1:7" x14ac:dyDescent="0.3">
      <c r="A986" s="2" t="s">
        <v>1241</v>
      </c>
      <c r="B986" s="2" t="s">
        <v>1237</v>
      </c>
      <c r="C986" s="6" t="s">
        <v>1238</v>
      </c>
      <c r="D986" s="1">
        <v>45539</v>
      </c>
      <c r="E986" s="4">
        <v>74.540000000000006</v>
      </c>
      <c r="F986" s="3">
        <v>1</v>
      </c>
      <c r="G986" s="6" t="s">
        <v>26</v>
      </c>
    </row>
    <row r="987" spans="1:7" x14ac:dyDescent="0.3">
      <c r="A987" s="2" t="s">
        <v>1242</v>
      </c>
      <c r="B987" s="2" t="s">
        <v>1237</v>
      </c>
      <c r="C987" s="6" t="s">
        <v>1238</v>
      </c>
      <c r="D987" s="1">
        <v>45607</v>
      </c>
      <c r="E987" s="4">
        <v>341.8</v>
      </c>
      <c r="F987" s="3">
        <v>3</v>
      </c>
      <c r="G987" s="6" t="s">
        <v>15</v>
      </c>
    </row>
    <row r="988" spans="1:7" x14ac:dyDescent="0.3">
      <c r="A988" s="2" t="s">
        <v>1243</v>
      </c>
      <c r="B988" s="2" t="s">
        <v>1237</v>
      </c>
      <c r="C988" s="6" t="s">
        <v>1238</v>
      </c>
      <c r="D988" s="1">
        <v>45461</v>
      </c>
      <c r="E988" s="4">
        <v>436.99</v>
      </c>
      <c r="F988" s="3">
        <v>1</v>
      </c>
      <c r="G988" s="6" t="s">
        <v>12</v>
      </c>
    </row>
    <row r="989" spans="1:7" x14ac:dyDescent="0.3">
      <c r="A989" s="2" t="s">
        <v>1244</v>
      </c>
      <c r="B989" s="2" t="s">
        <v>1237</v>
      </c>
      <c r="C989" s="6" t="s">
        <v>1238</v>
      </c>
      <c r="D989" s="1">
        <v>45531</v>
      </c>
      <c r="E989" s="4">
        <v>132.72999999999999</v>
      </c>
      <c r="F989" s="3">
        <v>2</v>
      </c>
      <c r="G989" s="6" t="s">
        <v>12</v>
      </c>
    </row>
    <row r="990" spans="1:7" x14ac:dyDescent="0.3">
      <c r="A990" s="2" t="s">
        <v>1245</v>
      </c>
      <c r="B990" s="2" t="s">
        <v>1237</v>
      </c>
      <c r="C990" s="6" t="s">
        <v>1238</v>
      </c>
      <c r="D990" s="1">
        <v>45475</v>
      </c>
      <c r="E990" s="4">
        <v>491.13</v>
      </c>
      <c r="F990" s="3">
        <v>2</v>
      </c>
      <c r="G990" s="6" t="s">
        <v>12</v>
      </c>
    </row>
    <row r="991" spans="1:7" x14ac:dyDescent="0.3">
      <c r="A991" s="2" t="s">
        <v>1246</v>
      </c>
      <c r="B991" s="2" t="s">
        <v>1237</v>
      </c>
      <c r="C991" s="6" t="s">
        <v>1238</v>
      </c>
      <c r="D991" s="1">
        <v>45531</v>
      </c>
      <c r="E991" s="4">
        <v>35.4</v>
      </c>
      <c r="F991" s="3">
        <v>4</v>
      </c>
      <c r="G991" s="6" t="s">
        <v>38</v>
      </c>
    </row>
    <row r="992" spans="1:7" x14ac:dyDescent="0.3">
      <c r="A992" s="2" t="s">
        <v>1247</v>
      </c>
      <c r="B992" s="2" t="s">
        <v>1248</v>
      </c>
      <c r="C992" s="6" t="s">
        <v>1249</v>
      </c>
      <c r="D992" s="1">
        <v>45393</v>
      </c>
      <c r="E992" s="4">
        <v>103.8</v>
      </c>
      <c r="F992" s="3">
        <v>1</v>
      </c>
      <c r="G992" s="6" t="s">
        <v>15</v>
      </c>
    </row>
    <row r="993" spans="1:7" x14ac:dyDescent="0.3">
      <c r="A993" s="2" t="s">
        <v>1250</v>
      </c>
      <c r="B993" s="2" t="s">
        <v>1248</v>
      </c>
      <c r="C993" s="6" t="s">
        <v>1249</v>
      </c>
      <c r="D993" s="1">
        <v>45159</v>
      </c>
      <c r="E993" s="4">
        <v>220.96</v>
      </c>
      <c r="F993" s="3">
        <v>2</v>
      </c>
      <c r="G993" s="6" t="s">
        <v>15</v>
      </c>
    </row>
    <row r="994" spans="1:7" x14ac:dyDescent="0.3">
      <c r="A994" s="2" t="s">
        <v>1251</v>
      </c>
      <c r="B994" s="2" t="s">
        <v>1248</v>
      </c>
      <c r="C994" s="6" t="s">
        <v>1249</v>
      </c>
      <c r="D994" s="1">
        <v>45131</v>
      </c>
      <c r="E994" s="4">
        <v>43.49</v>
      </c>
      <c r="F994" s="3">
        <v>1</v>
      </c>
      <c r="G994" s="6" t="s">
        <v>12</v>
      </c>
    </row>
    <row r="995" spans="1:7" x14ac:dyDescent="0.3">
      <c r="A995" s="2" t="s">
        <v>1252</v>
      </c>
      <c r="B995" s="2" t="s">
        <v>1248</v>
      </c>
      <c r="C995" s="6" t="s">
        <v>1249</v>
      </c>
      <c r="D995" s="1">
        <v>45380</v>
      </c>
      <c r="E995" s="4">
        <v>51.12</v>
      </c>
      <c r="F995" s="3">
        <v>3</v>
      </c>
      <c r="G995" s="6" t="s">
        <v>38</v>
      </c>
    </row>
    <row r="996" spans="1:7" x14ac:dyDescent="0.3">
      <c r="A996" s="2" t="s">
        <v>1253</v>
      </c>
      <c r="B996" s="2" t="s">
        <v>1248</v>
      </c>
      <c r="C996" s="6" t="s">
        <v>1249</v>
      </c>
      <c r="D996" s="1">
        <v>45259</v>
      </c>
      <c r="E996" s="4">
        <v>45.33</v>
      </c>
      <c r="F996" s="3">
        <v>3</v>
      </c>
      <c r="G996" s="6" t="s">
        <v>18</v>
      </c>
    </row>
    <row r="997" spans="1:7" x14ac:dyDescent="0.3">
      <c r="A997" s="2" t="s">
        <v>1254</v>
      </c>
      <c r="B997" s="2" t="s">
        <v>1248</v>
      </c>
      <c r="C997" s="6" t="s">
        <v>1249</v>
      </c>
      <c r="D997" s="1">
        <v>45514</v>
      </c>
      <c r="E997" s="4">
        <v>491.2</v>
      </c>
      <c r="F997" s="3">
        <v>2</v>
      </c>
      <c r="G997" s="6" t="s">
        <v>15</v>
      </c>
    </row>
    <row r="998" spans="1:7" x14ac:dyDescent="0.3">
      <c r="A998" s="2" t="s">
        <v>1255</v>
      </c>
      <c r="B998" s="2" t="s">
        <v>1248</v>
      </c>
      <c r="C998" s="6" t="s">
        <v>1249</v>
      </c>
      <c r="D998" s="1">
        <v>45453</v>
      </c>
      <c r="E998" s="4">
        <v>319.82</v>
      </c>
      <c r="F998" s="3">
        <v>3</v>
      </c>
      <c r="G998" s="6" t="s">
        <v>18</v>
      </c>
    </row>
    <row r="999" spans="1:7" x14ac:dyDescent="0.3">
      <c r="A999" s="2" t="s">
        <v>1256</v>
      </c>
      <c r="B999" s="2" t="s">
        <v>1248</v>
      </c>
      <c r="C999" s="6" t="s">
        <v>1249</v>
      </c>
      <c r="D999" s="1">
        <v>45465</v>
      </c>
      <c r="E999" s="4">
        <v>394.78</v>
      </c>
      <c r="F999" s="3">
        <v>4</v>
      </c>
      <c r="G999" s="6" t="s">
        <v>10</v>
      </c>
    </row>
    <row r="1000" spans="1:7" x14ac:dyDescent="0.3">
      <c r="A1000" s="2" t="s">
        <v>1257</v>
      </c>
      <c r="B1000" s="2" t="s">
        <v>1248</v>
      </c>
      <c r="C1000" s="6" t="s">
        <v>1249</v>
      </c>
      <c r="D1000" s="1">
        <v>45466</v>
      </c>
      <c r="E1000" s="4">
        <v>146.15</v>
      </c>
      <c r="F1000" s="3">
        <v>3</v>
      </c>
      <c r="G1000" s="6" t="s">
        <v>26</v>
      </c>
    </row>
    <row r="1001" spans="1:7" x14ac:dyDescent="0.3">
      <c r="A1001" s="2" t="s">
        <v>1258</v>
      </c>
      <c r="B1001" s="2" t="s">
        <v>1248</v>
      </c>
      <c r="C1001" s="6" t="s">
        <v>1249</v>
      </c>
      <c r="D1001" s="1">
        <v>45423</v>
      </c>
      <c r="E1001" s="4">
        <v>490.38</v>
      </c>
      <c r="F1001" s="3">
        <v>2</v>
      </c>
      <c r="G1001" s="6" t="s">
        <v>26</v>
      </c>
    </row>
    <row r="1002" spans="1:7" x14ac:dyDescent="0.3">
      <c r="A1002" s="2" t="s">
        <v>1259</v>
      </c>
      <c r="B1002" s="2" t="s">
        <v>1248</v>
      </c>
      <c r="C1002" s="6" t="s">
        <v>1249</v>
      </c>
      <c r="D1002" s="1">
        <v>45264</v>
      </c>
      <c r="E1002" s="4">
        <v>97.89</v>
      </c>
      <c r="F1002" s="3">
        <v>2</v>
      </c>
      <c r="G1002" s="6" t="s">
        <v>18</v>
      </c>
    </row>
    <row r="1003" spans="1:7" x14ac:dyDescent="0.3">
      <c r="A1003" s="2" t="s">
        <v>1260</v>
      </c>
      <c r="B1003" s="2" t="s">
        <v>1248</v>
      </c>
      <c r="C1003" s="6" t="s">
        <v>1249</v>
      </c>
      <c r="D1003" s="1">
        <v>45387</v>
      </c>
      <c r="E1003" s="4">
        <v>489.69</v>
      </c>
      <c r="F1003" s="3">
        <v>1</v>
      </c>
      <c r="G1003" s="6" t="s">
        <v>38</v>
      </c>
    </row>
    <row r="1004" spans="1:7" x14ac:dyDescent="0.3">
      <c r="A1004" s="2" t="s">
        <v>1261</v>
      </c>
      <c r="B1004" s="2" t="s">
        <v>1248</v>
      </c>
      <c r="C1004" s="6" t="s">
        <v>1249</v>
      </c>
      <c r="D1004" s="1">
        <v>45144</v>
      </c>
      <c r="E1004" s="4">
        <v>355.23</v>
      </c>
      <c r="F1004" s="3">
        <v>1</v>
      </c>
      <c r="G1004" s="6" t="s">
        <v>38</v>
      </c>
    </row>
    <row r="1005" spans="1:7" x14ac:dyDescent="0.3">
      <c r="A1005" s="2" t="s">
        <v>1262</v>
      </c>
      <c r="B1005" s="2" t="s">
        <v>1248</v>
      </c>
      <c r="C1005" s="6" t="s">
        <v>1249</v>
      </c>
      <c r="D1005" s="1">
        <v>45266</v>
      </c>
      <c r="E1005" s="4">
        <v>46.28</v>
      </c>
      <c r="F1005" s="3">
        <v>2</v>
      </c>
      <c r="G1005" s="6" t="s">
        <v>12</v>
      </c>
    </row>
    <row r="1006" spans="1:7" x14ac:dyDescent="0.3">
      <c r="A1006" s="2" t="s">
        <v>1263</v>
      </c>
      <c r="B1006" s="2" t="s">
        <v>1264</v>
      </c>
      <c r="C1006" s="6" t="s">
        <v>1265</v>
      </c>
      <c r="D1006" s="1">
        <v>45573</v>
      </c>
      <c r="E1006" s="4">
        <v>141.58000000000001</v>
      </c>
      <c r="F1006" s="3">
        <v>4</v>
      </c>
      <c r="G1006" s="6" t="s">
        <v>15</v>
      </c>
    </row>
    <row r="1007" spans="1:7" x14ac:dyDescent="0.3">
      <c r="A1007" s="2" t="s">
        <v>1266</v>
      </c>
      <c r="B1007" s="2" t="s">
        <v>1264</v>
      </c>
      <c r="C1007" s="6" t="s">
        <v>1265</v>
      </c>
      <c r="D1007" s="1">
        <v>45356</v>
      </c>
      <c r="E1007" s="4">
        <v>347.99</v>
      </c>
      <c r="F1007" s="3">
        <v>3</v>
      </c>
      <c r="G1007" s="6" t="s">
        <v>26</v>
      </c>
    </row>
    <row r="1008" spans="1:7" x14ac:dyDescent="0.3">
      <c r="A1008" s="2" t="s">
        <v>1267</v>
      </c>
      <c r="B1008" s="2" t="s">
        <v>1268</v>
      </c>
      <c r="C1008" s="6" t="s">
        <v>1269</v>
      </c>
      <c r="D1008" s="1">
        <v>45551</v>
      </c>
      <c r="E1008" s="4">
        <v>47.04</v>
      </c>
      <c r="F1008" s="3">
        <v>4</v>
      </c>
      <c r="G1008" s="6" t="s">
        <v>18</v>
      </c>
    </row>
    <row r="1009" spans="1:7" x14ac:dyDescent="0.3">
      <c r="A1009" s="2" t="s">
        <v>1270</v>
      </c>
      <c r="B1009" s="2" t="s">
        <v>1268</v>
      </c>
      <c r="C1009" s="6" t="s">
        <v>1269</v>
      </c>
      <c r="D1009" s="1">
        <v>45373</v>
      </c>
      <c r="E1009" s="4">
        <v>55.11</v>
      </c>
      <c r="F1009" s="3">
        <v>3</v>
      </c>
      <c r="G1009" s="6" t="s">
        <v>15</v>
      </c>
    </row>
    <row r="1010" spans="1:7" x14ac:dyDescent="0.3">
      <c r="A1010" s="2" t="s">
        <v>1271</v>
      </c>
      <c r="B1010" s="2" t="s">
        <v>1268</v>
      </c>
      <c r="C1010" s="6" t="s">
        <v>1269</v>
      </c>
      <c r="D1010" s="1">
        <v>45416</v>
      </c>
      <c r="E1010" s="4">
        <v>55.13</v>
      </c>
      <c r="F1010" s="3">
        <v>2</v>
      </c>
      <c r="G1010" s="6" t="s">
        <v>26</v>
      </c>
    </row>
    <row r="1011" spans="1:7" x14ac:dyDescent="0.3">
      <c r="A1011" s="2" t="s">
        <v>1272</v>
      </c>
      <c r="B1011" s="2" t="s">
        <v>1268</v>
      </c>
      <c r="C1011" s="6" t="s">
        <v>1269</v>
      </c>
      <c r="D1011" s="1">
        <v>45641</v>
      </c>
      <c r="E1011" s="4">
        <v>17.399999999999999</v>
      </c>
      <c r="F1011" s="3">
        <v>2</v>
      </c>
      <c r="G1011" s="6" t="s">
        <v>12</v>
      </c>
    </row>
    <row r="1012" spans="1:7" x14ac:dyDescent="0.3">
      <c r="A1012" s="2" t="s">
        <v>1273</v>
      </c>
      <c r="B1012" s="2" t="s">
        <v>1268</v>
      </c>
      <c r="C1012" s="6" t="s">
        <v>1269</v>
      </c>
      <c r="D1012" s="1">
        <v>45539</v>
      </c>
      <c r="E1012" s="4">
        <v>286.19</v>
      </c>
      <c r="F1012" s="3">
        <v>1</v>
      </c>
      <c r="G1012" s="6" t="s">
        <v>38</v>
      </c>
    </row>
    <row r="1013" spans="1:7" x14ac:dyDescent="0.3">
      <c r="A1013" s="2" t="s">
        <v>1274</v>
      </c>
      <c r="B1013" s="2" t="s">
        <v>1268</v>
      </c>
      <c r="C1013" s="6" t="s">
        <v>1269</v>
      </c>
      <c r="D1013" s="1">
        <v>45380</v>
      </c>
      <c r="E1013" s="4">
        <v>295.94</v>
      </c>
      <c r="F1013" s="3">
        <v>4</v>
      </c>
      <c r="G1013" s="6" t="s">
        <v>12</v>
      </c>
    </row>
    <row r="1014" spans="1:7" x14ac:dyDescent="0.3">
      <c r="A1014" s="2" t="s">
        <v>1275</v>
      </c>
      <c r="B1014" s="2" t="s">
        <v>1268</v>
      </c>
      <c r="C1014" s="6" t="s">
        <v>1269</v>
      </c>
      <c r="D1014" s="1">
        <v>45391</v>
      </c>
      <c r="E1014" s="4">
        <v>302.86</v>
      </c>
      <c r="F1014" s="3">
        <v>4</v>
      </c>
      <c r="G1014" s="6" t="s">
        <v>10</v>
      </c>
    </row>
    <row r="1015" spans="1:7" x14ac:dyDescent="0.3">
      <c r="A1015" s="2" t="s">
        <v>1276</v>
      </c>
      <c r="B1015" s="2" t="s">
        <v>1277</v>
      </c>
      <c r="C1015" s="6" t="s">
        <v>1278</v>
      </c>
      <c r="D1015" s="1">
        <v>45186</v>
      </c>
      <c r="E1015" s="4">
        <v>230.05</v>
      </c>
      <c r="F1015" s="3">
        <v>3</v>
      </c>
      <c r="G1015" s="6" t="s">
        <v>10</v>
      </c>
    </row>
    <row r="1016" spans="1:7" x14ac:dyDescent="0.3">
      <c r="A1016" s="2" t="s">
        <v>1279</v>
      </c>
      <c r="B1016" s="2" t="s">
        <v>1280</v>
      </c>
      <c r="C1016" s="6" t="s">
        <v>1281</v>
      </c>
      <c r="D1016" s="1">
        <v>45525</v>
      </c>
      <c r="E1016" s="4">
        <v>13.27</v>
      </c>
      <c r="F1016" s="3">
        <v>4</v>
      </c>
      <c r="G1016" s="6" t="s">
        <v>18</v>
      </c>
    </row>
    <row r="1017" spans="1:7" x14ac:dyDescent="0.3">
      <c r="A1017" s="2" t="s">
        <v>1282</v>
      </c>
      <c r="B1017" s="2" t="s">
        <v>1280</v>
      </c>
      <c r="C1017" s="6" t="s">
        <v>1281</v>
      </c>
      <c r="D1017" s="1">
        <v>45575</v>
      </c>
      <c r="E1017" s="4">
        <v>193.04</v>
      </c>
      <c r="F1017" s="3">
        <v>4</v>
      </c>
      <c r="G1017" s="6" t="s">
        <v>10</v>
      </c>
    </row>
    <row r="1018" spans="1:7" x14ac:dyDescent="0.3">
      <c r="A1018" s="2" t="s">
        <v>1283</v>
      </c>
      <c r="B1018" s="2" t="s">
        <v>1280</v>
      </c>
      <c r="C1018" s="6" t="s">
        <v>1281</v>
      </c>
      <c r="D1018" s="1">
        <v>45414</v>
      </c>
      <c r="E1018" s="4">
        <v>17.54</v>
      </c>
      <c r="F1018" s="3">
        <v>3</v>
      </c>
      <c r="G1018" s="6" t="s">
        <v>15</v>
      </c>
    </row>
    <row r="1019" spans="1:7" x14ac:dyDescent="0.3">
      <c r="A1019" s="2" t="s">
        <v>1284</v>
      </c>
      <c r="B1019" s="2" t="s">
        <v>1280</v>
      </c>
      <c r="C1019" s="6" t="s">
        <v>1281</v>
      </c>
      <c r="D1019" s="1">
        <v>45102</v>
      </c>
      <c r="E1019" s="4">
        <v>230.62</v>
      </c>
      <c r="F1019" s="3">
        <v>2</v>
      </c>
      <c r="G1019" s="6" t="s">
        <v>38</v>
      </c>
    </row>
    <row r="1020" spans="1:7" x14ac:dyDescent="0.3">
      <c r="A1020" s="2" t="s">
        <v>1285</v>
      </c>
      <c r="B1020" s="2" t="s">
        <v>1280</v>
      </c>
      <c r="C1020" s="6" t="s">
        <v>1281</v>
      </c>
      <c r="D1020" s="1">
        <v>45385</v>
      </c>
      <c r="E1020" s="4">
        <v>365.61</v>
      </c>
      <c r="F1020" s="3">
        <v>2</v>
      </c>
      <c r="G1020" s="6" t="s">
        <v>18</v>
      </c>
    </row>
    <row r="1021" spans="1:7" x14ac:dyDescent="0.3">
      <c r="A1021" s="2" t="s">
        <v>1286</v>
      </c>
      <c r="B1021" s="2" t="s">
        <v>1280</v>
      </c>
      <c r="C1021" s="6" t="s">
        <v>1281</v>
      </c>
      <c r="D1021" s="1">
        <v>45227</v>
      </c>
      <c r="E1021" s="4">
        <v>488.73</v>
      </c>
      <c r="F1021" s="3">
        <v>2</v>
      </c>
      <c r="G1021" s="6" t="s">
        <v>38</v>
      </c>
    </row>
    <row r="1022" spans="1:7" x14ac:dyDescent="0.3">
      <c r="A1022" s="2" t="s">
        <v>1287</v>
      </c>
      <c r="B1022" s="2" t="s">
        <v>1280</v>
      </c>
      <c r="C1022" s="6" t="s">
        <v>1281</v>
      </c>
      <c r="D1022" s="1">
        <v>45335</v>
      </c>
      <c r="E1022" s="4">
        <v>373.98</v>
      </c>
      <c r="F1022" s="3">
        <v>3</v>
      </c>
      <c r="G1022" s="6" t="s">
        <v>26</v>
      </c>
    </row>
    <row r="1023" spans="1:7" x14ac:dyDescent="0.3">
      <c r="A1023" s="2" t="s">
        <v>1288</v>
      </c>
      <c r="B1023" s="2" t="s">
        <v>1280</v>
      </c>
      <c r="C1023" s="6" t="s">
        <v>1281</v>
      </c>
      <c r="D1023" s="1">
        <v>45472</v>
      </c>
      <c r="E1023" s="4">
        <v>51.31</v>
      </c>
      <c r="F1023" s="3">
        <v>4</v>
      </c>
      <c r="G1023" s="6" t="s">
        <v>38</v>
      </c>
    </row>
    <row r="1024" spans="1:7" x14ac:dyDescent="0.3">
      <c r="A1024" s="2" t="s">
        <v>1289</v>
      </c>
      <c r="B1024" s="2" t="s">
        <v>1280</v>
      </c>
      <c r="C1024" s="6" t="s">
        <v>1281</v>
      </c>
      <c r="D1024" s="1">
        <v>45332</v>
      </c>
      <c r="E1024" s="4">
        <v>136.77000000000001</v>
      </c>
      <c r="F1024" s="3">
        <v>3</v>
      </c>
      <c r="G1024" s="6" t="s">
        <v>10</v>
      </c>
    </row>
    <row r="1025" spans="1:7" x14ac:dyDescent="0.3">
      <c r="A1025" s="2" t="s">
        <v>1290</v>
      </c>
      <c r="B1025" s="2" t="s">
        <v>1280</v>
      </c>
      <c r="C1025" s="6" t="s">
        <v>1281</v>
      </c>
      <c r="D1025" s="1">
        <v>45038</v>
      </c>
      <c r="E1025" s="4">
        <v>224.81</v>
      </c>
      <c r="F1025" s="3">
        <v>4</v>
      </c>
      <c r="G1025" s="6" t="s">
        <v>12</v>
      </c>
    </row>
    <row r="1026" spans="1:7" x14ac:dyDescent="0.3">
      <c r="A1026" s="2" t="s">
        <v>1291</v>
      </c>
      <c r="B1026" s="2" t="s">
        <v>1280</v>
      </c>
      <c r="C1026" s="6" t="s">
        <v>1281</v>
      </c>
      <c r="D1026" s="1">
        <v>45008</v>
      </c>
      <c r="E1026" s="4">
        <v>322.47000000000003</v>
      </c>
      <c r="F1026" s="3">
        <v>2</v>
      </c>
      <c r="G1026" s="6" t="s">
        <v>26</v>
      </c>
    </row>
    <row r="1027" spans="1:7" x14ac:dyDescent="0.3">
      <c r="A1027" s="2" t="s">
        <v>1292</v>
      </c>
      <c r="B1027" s="2" t="s">
        <v>1293</v>
      </c>
      <c r="C1027" s="6" t="s">
        <v>1294</v>
      </c>
      <c r="D1027" s="1">
        <v>45173</v>
      </c>
      <c r="E1027" s="4">
        <v>107.64</v>
      </c>
      <c r="F1027" s="3">
        <v>3</v>
      </c>
      <c r="G1027" s="6" t="s">
        <v>15</v>
      </c>
    </row>
    <row r="1028" spans="1:7" x14ac:dyDescent="0.3">
      <c r="A1028" s="2" t="s">
        <v>1295</v>
      </c>
      <c r="B1028" s="2" t="s">
        <v>1293</v>
      </c>
      <c r="C1028" s="6" t="s">
        <v>1294</v>
      </c>
      <c r="D1028" s="1">
        <v>45500</v>
      </c>
      <c r="E1028" s="4">
        <v>142.69999999999999</v>
      </c>
      <c r="F1028" s="3">
        <v>4</v>
      </c>
      <c r="G1028" s="6" t="s">
        <v>26</v>
      </c>
    </row>
    <row r="1029" spans="1:7" x14ac:dyDescent="0.3">
      <c r="A1029" s="2" t="s">
        <v>1296</v>
      </c>
      <c r="B1029" s="2" t="s">
        <v>1293</v>
      </c>
      <c r="C1029" s="6" t="s">
        <v>1294</v>
      </c>
      <c r="D1029" s="1">
        <v>45337</v>
      </c>
      <c r="E1029" s="4">
        <v>234.88</v>
      </c>
      <c r="F1029" s="3">
        <v>2</v>
      </c>
      <c r="G1029" s="6" t="s">
        <v>12</v>
      </c>
    </row>
    <row r="1030" spans="1:7" x14ac:dyDescent="0.3">
      <c r="A1030" s="2" t="s">
        <v>1297</v>
      </c>
      <c r="B1030" s="2" t="s">
        <v>1293</v>
      </c>
      <c r="C1030" s="6" t="s">
        <v>1294</v>
      </c>
      <c r="D1030" s="1">
        <v>45448</v>
      </c>
      <c r="E1030" s="4">
        <v>302.58</v>
      </c>
      <c r="F1030" s="3">
        <v>2</v>
      </c>
      <c r="G1030" s="6" t="s">
        <v>26</v>
      </c>
    </row>
    <row r="1031" spans="1:7" x14ac:dyDescent="0.3">
      <c r="A1031" s="2" t="s">
        <v>1298</v>
      </c>
      <c r="B1031" s="2" t="s">
        <v>1299</v>
      </c>
      <c r="C1031" s="6" t="s">
        <v>1300</v>
      </c>
      <c r="D1031" s="1">
        <v>45315</v>
      </c>
      <c r="E1031" s="4">
        <v>404.49</v>
      </c>
      <c r="F1031" s="3">
        <v>4</v>
      </c>
      <c r="G1031" s="6" t="s">
        <v>12</v>
      </c>
    </row>
    <row r="1032" spans="1:7" x14ac:dyDescent="0.3">
      <c r="A1032" s="2" t="s">
        <v>1301</v>
      </c>
      <c r="B1032" s="2" t="s">
        <v>1299</v>
      </c>
      <c r="C1032" s="6" t="s">
        <v>1300</v>
      </c>
      <c r="D1032" s="1">
        <v>45420</v>
      </c>
      <c r="E1032" s="4">
        <v>148.82</v>
      </c>
      <c r="F1032" s="3">
        <v>3</v>
      </c>
      <c r="G1032" s="6" t="s">
        <v>18</v>
      </c>
    </row>
    <row r="1033" spans="1:7" x14ac:dyDescent="0.3">
      <c r="A1033" s="2" t="s">
        <v>1302</v>
      </c>
      <c r="B1033" s="2" t="s">
        <v>1299</v>
      </c>
      <c r="C1033" s="6" t="s">
        <v>1300</v>
      </c>
      <c r="D1033" s="1">
        <v>45580</v>
      </c>
      <c r="E1033" s="4">
        <v>265.51</v>
      </c>
      <c r="F1033" s="3">
        <v>2</v>
      </c>
      <c r="G1033" s="6" t="s">
        <v>12</v>
      </c>
    </row>
    <row r="1034" spans="1:7" x14ac:dyDescent="0.3">
      <c r="A1034" s="2" t="s">
        <v>1303</v>
      </c>
      <c r="B1034" s="2" t="s">
        <v>1299</v>
      </c>
      <c r="C1034" s="6" t="s">
        <v>1300</v>
      </c>
      <c r="D1034" s="1">
        <v>45467</v>
      </c>
      <c r="E1034" s="4">
        <v>219.47</v>
      </c>
      <c r="F1034" s="3">
        <v>2</v>
      </c>
      <c r="G1034" s="6" t="s">
        <v>10</v>
      </c>
    </row>
    <row r="1035" spans="1:7" x14ac:dyDescent="0.3">
      <c r="A1035" s="2" t="s">
        <v>1304</v>
      </c>
      <c r="B1035" s="2" t="s">
        <v>1299</v>
      </c>
      <c r="C1035" s="6" t="s">
        <v>1300</v>
      </c>
      <c r="D1035" s="1">
        <v>45596</v>
      </c>
      <c r="E1035" s="4">
        <v>273.77999999999997</v>
      </c>
      <c r="F1035" s="3">
        <v>4</v>
      </c>
      <c r="G1035" s="6" t="s">
        <v>38</v>
      </c>
    </row>
    <row r="1036" spans="1:7" x14ac:dyDescent="0.3">
      <c r="A1036" s="2" t="s">
        <v>1305</v>
      </c>
      <c r="B1036" s="2" t="s">
        <v>1299</v>
      </c>
      <c r="C1036" s="6" t="s">
        <v>1300</v>
      </c>
      <c r="D1036" s="1">
        <v>45526</v>
      </c>
      <c r="E1036" s="4">
        <v>336.57</v>
      </c>
      <c r="F1036" s="3">
        <v>1</v>
      </c>
      <c r="G1036" s="6" t="s">
        <v>12</v>
      </c>
    </row>
    <row r="1037" spans="1:7" x14ac:dyDescent="0.3">
      <c r="A1037" s="2" t="s">
        <v>1306</v>
      </c>
      <c r="B1037" s="2" t="s">
        <v>1299</v>
      </c>
      <c r="C1037" s="6" t="s">
        <v>1300</v>
      </c>
      <c r="D1037" s="1">
        <v>45422</v>
      </c>
      <c r="E1037" s="4">
        <v>438.12</v>
      </c>
      <c r="F1037" s="3">
        <v>4</v>
      </c>
      <c r="G1037" s="6" t="s">
        <v>12</v>
      </c>
    </row>
    <row r="1038" spans="1:7" x14ac:dyDescent="0.3">
      <c r="A1038" s="2" t="s">
        <v>1307</v>
      </c>
      <c r="B1038" s="2" t="s">
        <v>1308</v>
      </c>
      <c r="C1038" s="6" t="s">
        <v>1309</v>
      </c>
      <c r="D1038" s="1">
        <v>45367</v>
      </c>
      <c r="E1038" s="4">
        <v>272.16000000000003</v>
      </c>
      <c r="F1038" s="3">
        <v>1</v>
      </c>
      <c r="G1038" s="6" t="s">
        <v>12</v>
      </c>
    </row>
    <row r="1039" spans="1:7" x14ac:dyDescent="0.3">
      <c r="A1039" s="2" t="s">
        <v>1310</v>
      </c>
      <c r="B1039" s="2" t="s">
        <v>1308</v>
      </c>
      <c r="C1039" s="6" t="s">
        <v>1309</v>
      </c>
      <c r="D1039" s="1">
        <v>45282</v>
      </c>
      <c r="E1039" s="4">
        <v>41.36</v>
      </c>
      <c r="F1039" s="3">
        <v>3</v>
      </c>
      <c r="G1039" s="6" t="s">
        <v>26</v>
      </c>
    </row>
    <row r="1040" spans="1:7" x14ac:dyDescent="0.3">
      <c r="A1040" s="2" t="s">
        <v>1311</v>
      </c>
      <c r="B1040" s="2" t="s">
        <v>1308</v>
      </c>
      <c r="C1040" s="6" t="s">
        <v>1309</v>
      </c>
      <c r="D1040" s="1">
        <v>45609</v>
      </c>
      <c r="E1040" s="4">
        <v>394.7</v>
      </c>
      <c r="F1040" s="3">
        <v>1</v>
      </c>
      <c r="G1040" s="6" t="s">
        <v>26</v>
      </c>
    </row>
    <row r="1041" spans="1:7" x14ac:dyDescent="0.3">
      <c r="A1041" s="2" t="s">
        <v>1312</v>
      </c>
      <c r="B1041" s="2" t="s">
        <v>1308</v>
      </c>
      <c r="C1041" s="6" t="s">
        <v>1309</v>
      </c>
      <c r="D1041" s="1">
        <v>45152</v>
      </c>
      <c r="E1041" s="4">
        <v>157.51</v>
      </c>
      <c r="F1041" s="3">
        <v>3</v>
      </c>
      <c r="G1041" s="6" t="s">
        <v>10</v>
      </c>
    </row>
    <row r="1042" spans="1:7" x14ac:dyDescent="0.3">
      <c r="A1042" s="2" t="s">
        <v>1313</v>
      </c>
      <c r="B1042" s="2" t="s">
        <v>1308</v>
      </c>
      <c r="C1042" s="6" t="s">
        <v>1309</v>
      </c>
      <c r="D1042" s="1">
        <v>45035</v>
      </c>
      <c r="E1042" s="4">
        <v>464.28</v>
      </c>
      <c r="F1042" s="3">
        <v>3</v>
      </c>
      <c r="G1042" s="6" t="s">
        <v>38</v>
      </c>
    </row>
    <row r="1043" spans="1:7" x14ac:dyDescent="0.3">
      <c r="A1043" s="2" t="s">
        <v>1314</v>
      </c>
      <c r="B1043" s="2" t="s">
        <v>1308</v>
      </c>
      <c r="C1043" s="6" t="s">
        <v>1309</v>
      </c>
      <c r="D1043" s="1">
        <v>44950</v>
      </c>
      <c r="E1043" s="4">
        <v>210.74</v>
      </c>
      <c r="F1043" s="3">
        <v>1</v>
      </c>
      <c r="G1043" s="6" t="s">
        <v>26</v>
      </c>
    </row>
    <row r="1044" spans="1:7" x14ac:dyDescent="0.3">
      <c r="A1044" s="2" t="s">
        <v>1315</v>
      </c>
      <c r="B1044" s="2" t="s">
        <v>1316</v>
      </c>
      <c r="C1044" s="6" t="s">
        <v>1317</v>
      </c>
      <c r="D1044" s="1">
        <v>45051</v>
      </c>
      <c r="E1044" s="4">
        <v>64.819999999999993</v>
      </c>
      <c r="F1044" s="3">
        <v>1</v>
      </c>
      <c r="G1044" s="6" t="s">
        <v>10</v>
      </c>
    </row>
    <row r="1045" spans="1:7" x14ac:dyDescent="0.3">
      <c r="A1045" s="2" t="s">
        <v>1318</v>
      </c>
      <c r="B1045" s="2" t="s">
        <v>1319</v>
      </c>
      <c r="C1045" s="6" t="s">
        <v>1320</v>
      </c>
      <c r="D1045" s="1">
        <v>45656</v>
      </c>
      <c r="E1045" s="4">
        <v>442.03</v>
      </c>
      <c r="F1045" s="3">
        <v>3</v>
      </c>
      <c r="G1045" s="6" t="s">
        <v>10</v>
      </c>
    </row>
    <row r="1046" spans="1:7" x14ac:dyDescent="0.3">
      <c r="A1046" s="2" t="s">
        <v>1321</v>
      </c>
      <c r="B1046" s="2" t="s">
        <v>1322</v>
      </c>
      <c r="C1046" s="6" t="s">
        <v>1323</v>
      </c>
      <c r="D1046" s="1">
        <v>45101</v>
      </c>
      <c r="E1046" s="4">
        <v>13.9</v>
      </c>
      <c r="F1046" s="3">
        <v>4</v>
      </c>
      <c r="G1046" s="6" t="s">
        <v>15</v>
      </c>
    </row>
    <row r="1047" spans="1:7" x14ac:dyDescent="0.3">
      <c r="A1047" s="2" t="s">
        <v>1324</v>
      </c>
      <c r="B1047" s="2" t="s">
        <v>1322</v>
      </c>
      <c r="C1047" s="6" t="s">
        <v>1323</v>
      </c>
      <c r="D1047" s="1">
        <v>45315</v>
      </c>
      <c r="E1047" s="4">
        <v>262.35000000000002</v>
      </c>
      <c r="F1047" s="3">
        <v>1</v>
      </c>
      <c r="G1047" s="6" t="s">
        <v>38</v>
      </c>
    </row>
    <row r="1048" spans="1:7" x14ac:dyDescent="0.3">
      <c r="A1048" s="2" t="s">
        <v>1325</v>
      </c>
      <c r="B1048" s="2" t="s">
        <v>1322</v>
      </c>
      <c r="C1048" s="6" t="s">
        <v>1323</v>
      </c>
      <c r="D1048" s="1">
        <v>45093</v>
      </c>
      <c r="E1048" s="4">
        <v>183.36</v>
      </c>
      <c r="F1048" s="3">
        <v>4</v>
      </c>
      <c r="G1048" s="6" t="s">
        <v>15</v>
      </c>
    </row>
    <row r="1049" spans="1:7" x14ac:dyDescent="0.3">
      <c r="A1049" s="2" t="s">
        <v>1326</v>
      </c>
      <c r="B1049" s="2" t="s">
        <v>1322</v>
      </c>
      <c r="C1049" s="6" t="s">
        <v>1323</v>
      </c>
      <c r="D1049" s="1">
        <v>45185</v>
      </c>
      <c r="E1049" s="4">
        <v>415.78</v>
      </c>
      <c r="F1049" s="3">
        <v>4</v>
      </c>
      <c r="G1049" s="6" t="s">
        <v>18</v>
      </c>
    </row>
    <row r="1050" spans="1:7" x14ac:dyDescent="0.3">
      <c r="A1050" s="2" t="s">
        <v>1327</v>
      </c>
      <c r="B1050" s="2" t="s">
        <v>1328</v>
      </c>
      <c r="C1050" s="6" t="s">
        <v>1329</v>
      </c>
      <c r="D1050" s="1">
        <v>45274</v>
      </c>
      <c r="E1050" s="4">
        <v>319.79000000000002</v>
      </c>
      <c r="F1050" s="3">
        <v>2</v>
      </c>
      <c r="G1050" s="6" t="s">
        <v>38</v>
      </c>
    </row>
    <row r="1051" spans="1:7" x14ac:dyDescent="0.3">
      <c r="A1051" s="2" t="s">
        <v>1330</v>
      </c>
      <c r="B1051" s="2" t="s">
        <v>1328</v>
      </c>
      <c r="C1051" s="6" t="s">
        <v>1329</v>
      </c>
      <c r="D1051" s="1">
        <v>45552</v>
      </c>
      <c r="E1051" s="4">
        <v>471.15</v>
      </c>
      <c r="F1051" s="3">
        <v>1</v>
      </c>
      <c r="G1051" s="6" t="s">
        <v>38</v>
      </c>
    </row>
    <row r="1052" spans="1:7" x14ac:dyDescent="0.3">
      <c r="A1052" s="2" t="s">
        <v>1331</v>
      </c>
      <c r="B1052" s="2" t="s">
        <v>1328</v>
      </c>
      <c r="C1052" s="6" t="s">
        <v>1329</v>
      </c>
      <c r="D1052" s="1">
        <v>45451</v>
      </c>
      <c r="E1052" s="4">
        <v>452.74</v>
      </c>
      <c r="F1052" s="3">
        <v>3</v>
      </c>
      <c r="G1052" s="6" t="s">
        <v>18</v>
      </c>
    </row>
    <row r="1053" spans="1:7" x14ac:dyDescent="0.3">
      <c r="A1053" s="2" t="s">
        <v>1332</v>
      </c>
      <c r="B1053" s="2" t="s">
        <v>1328</v>
      </c>
      <c r="C1053" s="6" t="s">
        <v>1329</v>
      </c>
      <c r="D1053" s="1">
        <v>45347</v>
      </c>
      <c r="E1053" s="4">
        <v>256.52999999999997</v>
      </c>
      <c r="F1053" s="3">
        <v>1</v>
      </c>
      <c r="G1053" s="6" t="s">
        <v>18</v>
      </c>
    </row>
    <row r="1054" spans="1:7" x14ac:dyDescent="0.3">
      <c r="A1054" s="2" t="s">
        <v>1333</v>
      </c>
      <c r="B1054" s="2" t="s">
        <v>1328</v>
      </c>
      <c r="C1054" s="6" t="s">
        <v>1329</v>
      </c>
      <c r="D1054" s="1">
        <v>45356</v>
      </c>
      <c r="E1054" s="4">
        <v>399.3</v>
      </c>
      <c r="F1054" s="3">
        <v>4</v>
      </c>
      <c r="G1054" s="6" t="s">
        <v>38</v>
      </c>
    </row>
    <row r="1055" spans="1:7" x14ac:dyDescent="0.3">
      <c r="A1055" s="2" t="s">
        <v>1334</v>
      </c>
      <c r="B1055" s="2" t="s">
        <v>1328</v>
      </c>
      <c r="C1055" s="6" t="s">
        <v>1329</v>
      </c>
      <c r="D1055" s="1">
        <v>45652</v>
      </c>
      <c r="E1055" s="4">
        <v>225.21</v>
      </c>
      <c r="F1055" s="3">
        <v>1</v>
      </c>
      <c r="G1055" s="6" t="s">
        <v>18</v>
      </c>
    </row>
    <row r="1056" spans="1:7" x14ac:dyDescent="0.3">
      <c r="A1056" s="2" t="s">
        <v>1335</v>
      </c>
      <c r="B1056" s="2" t="s">
        <v>1328</v>
      </c>
      <c r="C1056" s="6" t="s">
        <v>1329</v>
      </c>
      <c r="D1056" s="1">
        <v>45523</v>
      </c>
      <c r="E1056" s="4">
        <v>235</v>
      </c>
      <c r="F1056" s="3">
        <v>4</v>
      </c>
      <c r="G1056" s="6" t="s">
        <v>10</v>
      </c>
    </row>
    <row r="1057" spans="1:7" x14ac:dyDescent="0.3">
      <c r="A1057" s="2" t="s">
        <v>1336</v>
      </c>
      <c r="B1057" s="2" t="s">
        <v>1337</v>
      </c>
      <c r="C1057" s="6" t="s">
        <v>1338</v>
      </c>
      <c r="D1057" s="1">
        <v>45367</v>
      </c>
      <c r="E1057" s="4">
        <v>67.599999999999994</v>
      </c>
      <c r="F1057" s="3">
        <v>3</v>
      </c>
      <c r="G1057" s="6" t="s">
        <v>38</v>
      </c>
    </row>
    <row r="1058" spans="1:7" x14ac:dyDescent="0.3">
      <c r="A1058" s="2" t="s">
        <v>1339</v>
      </c>
      <c r="B1058" s="2" t="s">
        <v>1337</v>
      </c>
      <c r="C1058" s="6" t="s">
        <v>1338</v>
      </c>
      <c r="D1058" s="1">
        <v>45359</v>
      </c>
      <c r="E1058" s="4">
        <v>432.86</v>
      </c>
      <c r="F1058" s="3">
        <v>2</v>
      </c>
      <c r="G1058" s="6" t="s">
        <v>10</v>
      </c>
    </row>
    <row r="1059" spans="1:7" x14ac:dyDescent="0.3">
      <c r="A1059" s="2" t="s">
        <v>1340</v>
      </c>
      <c r="B1059" s="2" t="s">
        <v>1337</v>
      </c>
      <c r="C1059" s="6" t="s">
        <v>1338</v>
      </c>
      <c r="D1059" s="1">
        <v>45363</v>
      </c>
      <c r="E1059" s="4">
        <v>262.32</v>
      </c>
      <c r="F1059" s="3">
        <v>2</v>
      </c>
      <c r="G1059" s="6" t="s">
        <v>18</v>
      </c>
    </row>
    <row r="1060" spans="1:7" x14ac:dyDescent="0.3">
      <c r="A1060" s="2" t="s">
        <v>1341</v>
      </c>
      <c r="B1060" s="2" t="s">
        <v>1337</v>
      </c>
      <c r="C1060" s="6" t="s">
        <v>1338</v>
      </c>
      <c r="D1060" s="1">
        <v>45544</v>
      </c>
      <c r="E1060" s="4">
        <v>179.16</v>
      </c>
      <c r="F1060" s="3">
        <v>3</v>
      </c>
      <c r="G1060" s="6" t="s">
        <v>18</v>
      </c>
    </row>
    <row r="1061" spans="1:7" x14ac:dyDescent="0.3">
      <c r="A1061" s="2" t="s">
        <v>1342</v>
      </c>
      <c r="B1061" s="2" t="s">
        <v>1337</v>
      </c>
      <c r="C1061" s="6" t="s">
        <v>1338</v>
      </c>
      <c r="D1061" s="1">
        <v>45377</v>
      </c>
      <c r="E1061" s="4">
        <v>183.59</v>
      </c>
      <c r="F1061" s="3">
        <v>3</v>
      </c>
      <c r="G1061" s="6" t="s">
        <v>15</v>
      </c>
    </row>
    <row r="1062" spans="1:7" x14ac:dyDescent="0.3">
      <c r="A1062" s="2" t="s">
        <v>1343</v>
      </c>
      <c r="B1062" s="2" t="s">
        <v>1337</v>
      </c>
      <c r="C1062" s="6" t="s">
        <v>1338</v>
      </c>
      <c r="D1062" s="1">
        <v>45417</v>
      </c>
      <c r="E1062" s="4">
        <v>264.42</v>
      </c>
      <c r="F1062" s="3">
        <v>3</v>
      </c>
      <c r="G1062" s="6" t="s">
        <v>15</v>
      </c>
    </row>
    <row r="1063" spans="1:7" x14ac:dyDescent="0.3">
      <c r="A1063" s="2" t="s">
        <v>1344</v>
      </c>
      <c r="B1063" s="2" t="s">
        <v>1337</v>
      </c>
      <c r="C1063" s="6" t="s">
        <v>1338</v>
      </c>
      <c r="D1063" s="1">
        <v>45461</v>
      </c>
      <c r="E1063" s="4">
        <v>91.8</v>
      </c>
      <c r="F1063" s="3">
        <v>3</v>
      </c>
      <c r="G1063" s="6" t="s">
        <v>18</v>
      </c>
    </row>
    <row r="1064" spans="1:7" x14ac:dyDescent="0.3">
      <c r="A1064" s="2" t="s">
        <v>1345</v>
      </c>
      <c r="B1064" s="2" t="s">
        <v>1337</v>
      </c>
      <c r="C1064" s="6" t="s">
        <v>1338</v>
      </c>
      <c r="D1064" s="1">
        <v>45402</v>
      </c>
      <c r="E1064" s="4">
        <v>174.48</v>
      </c>
      <c r="F1064" s="3">
        <v>4</v>
      </c>
      <c r="G1064" s="6" t="s">
        <v>18</v>
      </c>
    </row>
    <row r="1065" spans="1:7" x14ac:dyDescent="0.3">
      <c r="A1065" s="2" t="s">
        <v>1346</v>
      </c>
      <c r="B1065" s="2" t="s">
        <v>1337</v>
      </c>
      <c r="C1065" s="6" t="s">
        <v>1338</v>
      </c>
      <c r="D1065" s="1">
        <v>45407</v>
      </c>
      <c r="E1065" s="4">
        <v>311.99</v>
      </c>
      <c r="F1065" s="3">
        <v>1</v>
      </c>
      <c r="G1065" s="6" t="s">
        <v>10</v>
      </c>
    </row>
    <row r="1066" spans="1:7" x14ac:dyDescent="0.3">
      <c r="A1066" s="2" t="s">
        <v>1347</v>
      </c>
      <c r="B1066" s="2" t="s">
        <v>1337</v>
      </c>
      <c r="C1066" s="6" t="s">
        <v>1338</v>
      </c>
      <c r="D1066" s="1">
        <v>45430</v>
      </c>
      <c r="E1066" s="4">
        <v>379.39</v>
      </c>
      <c r="F1066" s="3">
        <v>3</v>
      </c>
      <c r="G1066" s="6" t="s">
        <v>38</v>
      </c>
    </row>
    <row r="1067" spans="1:7" x14ac:dyDescent="0.3">
      <c r="A1067" s="2" t="s">
        <v>1348</v>
      </c>
      <c r="B1067" s="2" t="s">
        <v>1337</v>
      </c>
      <c r="C1067" s="6" t="s">
        <v>1338</v>
      </c>
      <c r="D1067" s="1">
        <v>45450</v>
      </c>
      <c r="E1067" s="4">
        <v>351.25</v>
      </c>
      <c r="F1067" s="3">
        <v>1</v>
      </c>
      <c r="G1067" s="6" t="s">
        <v>26</v>
      </c>
    </row>
    <row r="1068" spans="1:7" x14ac:dyDescent="0.3">
      <c r="A1068" s="2" t="s">
        <v>1349</v>
      </c>
      <c r="B1068" s="2" t="s">
        <v>1337</v>
      </c>
      <c r="C1068" s="6" t="s">
        <v>1338</v>
      </c>
      <c r="D1068" s="1">
        <v>45609</v>
      </c>
      <c r="E1068" s="4">
        <v>211.86</v>
      </c>
      <c r="F1068" s="3">
        <v>1</v>
      </c>
      <c r="G1068" s="6" t="s">
        <v>18</v>
      </c>
    </row>
    <row r="1069" spans="1:7" x14ac:dyDescent="0.3">
      <c r="A1069" s="2" t="s">
        <v>1350</v>
      </c>
      <c r="B1069" s="2" t="s">
        <v>1337</v>
      </c>
      <c r="C1069" s="6" t="s">
        <v>1338</v>
      </c>
      <c r="D1069" s="1">
        <v>45348</v>
      </c>
      <c r="E1069" s="4">
        <v>270.93</v>
      </c>
      <c r="F1069" s="3">
        <v>4</v>
      </c>
      <c r="G1069" s="6" t="s">
        <v>10</v>
      </c>
    </row>
    <row r="1070" spans="1:7" x14ac:dyDescent="0.3">
      <c r="A1070" s="2" t="s">
        <v>1351</v>
      </c>
      <c r="B1070" s="2" t="s">
        <v>1337</v>
      </c>
      <c r="C1070" s="6" t="s">
        <v>1338</v>
      </c>
      <c r="D1070" s="1">
        <v>45500</v>
      </c>
      <c r="E1070" s="4">
        <v>67.430000000000007</v>
      </c>
      <c r="F1070" s="3">
        <v>3</v>
      </c>
      <c r="G1070" s="6" t="s">
        <v>10</v>
      </c>
    </row>
    <row r="1071" spans="1:7" x14ac:dyDescent="0.3">
      <c r="A1071" s="2" t="s">
        <v>1352</v>
      </c>
      <c r="B1071" s="2" t="s">
        <v>1353</v>
      </c>
      <c r="C1071" s="6" t="s">
        <v>1354</v>
      </c>
      <c r="D1071" s="1">
        <v>45362</v>
      </c>
      <c r="E1071" s="4">
        <v>111.06</v>
      </c>
      <c r="F1071" s="3">
        <v>2</v>
      </c>
      <c r="G1071" s="6" t="s">
        <v>10</v>
      </c>
    </row>
    <row r="1072" spans="1:7" x14ac:dyDescent="0.3">
      <c r="A1072" s="2" t="s">
        <v>1355</v>
      </c>
      <c r="B1072" s="2" t="s">
        <v>1353</v>
      </c>
      <c r="C1072" s="6" t="s">
        <v>1354</v>
      </c>
      <c r="D1072" s="1">
        <v>45650</v>
      </c>
      <c r="E1072" s="4">
        <v>342.66</v>
      </c>
      <c r="F1072" s="3">
        <v>1</v>
      </c>
      <c r="G1072" s="6" t="s">
        <v>26</v>
      </c>
    </row>
    <row r="1073" spans="1:7" x14ac:dyDescent="0.3">
      <c r="A1073" s="2" t="s">
        <v>1356</v>
      </c>
      <c r="B1073" s="2" t="s">
        <v>1353</v>
      </c>
      <c r="C1073" s="6" t="s">
        <v>1354</v>
      </c>
      <c r="D1073" s="1">
        <v>45448</v>
      </c>
      <c r="E1073" s="4">
        <v>215.44</v>
      </c>
      <c r="F1073" s="3">
        <v>2</v>
      </c>
      <c r="G1073" s="6" t="s">
        <v>38</v>
      </c>
    </row>
    <row r="1074" spans="1:7" x14ac:dyDescent="0.3">
      <c r="A1074" s="2" t="s">
        <v>1357</v>
      </c>
      <c r="B1074" s="2" t="s">
        <v>1353</v>
      </c>
      <c r="C1074" s="6" t="s">
        <v>1354</v>
      </c>
      <c r="D1074" s="1">
        <v>45362</v>
      </c>
      <c r="E1074" s="4">
        <v>430.08</v>
      </c>
      <c r="F1074" s="3">
        <v>1</v>
      </c>
      <c r="G1074" s="6" t="s">
        <v>12</v>
      </c>
    </row>
    <row r="1075" spans="1:7" x14ac:dyDescent="0.3">
      <c r="A1075" s="2" t="s">
        <v>1358</v>
      </c>
      <c r="B1075" s="2" t="s">
        <v>1353</v>
      </c>
      <c r="C1075" s="6" t="s">
        <v>1354</v>
      </c>
      <c r="D1075" s="1">
        <v>45552</v>
      </c>
      <c r="E1075" s="4">
        <v>443.95</v>
      </c>
      <c r="F1075" s="3">
        <v>4</v>
      </c>
      <c r="G1075" s="6" t="s">
        <v>12</v>
      </c>
    </row>
    <row r="1076" spans="1:7" x14ac:dyDescent="0.3">
      <c r="A1076" s="2" t="s">
        <v>1359</v>
      </c>
      <c r="B1076" s="2" t="s">
        <v>1353</v>
      </c>
      <c r="C1076" s="6" t="s">
        <v>1354</v>
      </c>
      <c r="D1076" s="1">
        <v>45627</v>
      </c>
      <c r="E1076" s="4">
        <v>134.1</v>
      </c>
      <c r="F1076" s="3">
        <v>2</v>
      </c>
      <c r="G1076" s="6" t="s">
        <v>38</v>
      </c>
    </row>
    <row r="1077" spans="1:7" x14ac:dyDescent="0.3">
      <c r="A1077" s="2" t="s">
        <v>1360</v>
      </c>
      <c r="B1077" s="2" t="s">
        <v>1353</v>
      </c>
      <c r="C1077" s="6" t="s">
        <v>1354</v>
      </c>
      <c r="D1077" s="1">
        <v>45501</v>
      </c>
      <c r="E1077" s="4">
        <v>351.66</v>
      </c>
      <c r="F1077" s="3">
        <v>1</v>
      </c>
      <c r="G1077" s="6" t="s">
        <v>38</v>
      </c>
    </row>
    <row r="1078" spans="1:7" x14ac:dyDescent="0.3">
      <c r="A1078" s="2" t="s">
        <v>1361</v>
      </c>
      <c r="B1078" s="2" t="s">
        <v>1353</v>
      </c>
      <c r="C1078" s="6" t="s">
        <v>1354</v>
      </c>
      <c r="D1078" s="1">
        <v>45431</v>
      </c>
      <c r="E1078" s="4">
        <v>423.23</v>
      </c>
      <c r="F1078" s="3">
        <v>4</v>
      </c>
      <c r="G1078" s="6" t="s">
        <v>12</v>
      </c>
    </row>
    <row r="1079" spans="1:7" x14ac:dyDescent="0.3">
      <c r="A1079" s="2" t="s">
        <v>1362</v>
      </c>
      <c r="B1079" s="2" t="s">
        <v>1363</v>
      </c>
      <c r="C1079" s="6" t="s">
        <v>1364</v>
      </c>
      <c r="D1079" s="1">
        <v>45196</v>
      </c>
      <c r="E1079" s="4">
        <v>231.13</v>
      </c>
      <c r="F1079" s="3">
        <v>3</v>
      </c>
      <c r="G1079" s="6" t="s">
        <v>12</v>
      </c>
    </row>
    <row r="1080" spans="1:7" x14ac:dyDescent="0.3">
      <c r="A1080" s="2" t="s">
        <v>1365</v>
      </c>
      <c r="B1080" s="2" t="s">
        <v>1363</v>
      </c>
      <c r="C1080" s="6" t="s">
        <v>1364</v>
      </c>
      <c r="D1080" s="1">
        <v>45426</v>
      </c>
      <c r="E1080" s="4">
        <v>247.33</v>
      </c>
      <c r="F1080" s="3">
        <v>1</v>
      </c>
      <c r="G1080" s="6" t="s">
        <v>12</v>
      </c>
    </row>
    <row r="1081" spans="1:7" x14ac:dyDescent="0.3">
      <c r="A1081" s="2" t="s">
        <v>1366</v>
      </c>
      <c r="B1081" s="2" t="s">
        <v>1363</v>
      </c>
      <c r="C1081" s="6" t="s">
        <v>1364</v>
      </c>
      <c r="D1081" s="1">
        <v>45539</v>
      </c>
      <c r="E1081" s="4">
        <v>327.41000000000003</v>
      </c>
      <c r="F1081" s="3">
        <v>3</v>
      </c>
      <c r="G1081" s="6" t="s">
        <v>26</v>
      </c>
    </row>
    <row r="1082" spans="1:7" x14ac:dyDescent="0.3">
      <c r="A1082" s="2" t="s">
        <v>1367</v>
      </c>
      <c r="B1082" s="2" t="s">
        <v>1368</v>
      </c>
      <c r="C1082" s="6" t="s">
        <v>1369</v>
      </c>
      <c r="D1082" s="1">
        <v>45513</v>
      </c>
      <c r="E1082" s="4">
        <v>244.84</v>
      </c>
      <c r="F1082" s="3">
        <v>4</v>
      </c>
      <c r="G1082" s="6" t="s">
        <v>38</v>
      </c>
    </row>
    <row r="1083" spans="1:7" x14ac:dyDescent="0.3">
      <c r="A1083" s="2" t="s">
        <v>1370</v>
      </c>
      <c r="B1083" s="2" t="s">
        <v>1368</v>
      </c>
      <c r="C1083" s="6" t="s">
        <v>1369</v>
      </c>
      <c r="D1083" s="1">
        <v>45271</v>
      </c>
      <c r="E1083" s="4">
        <v>425.48</v>
      </c>
      <c r="F1083" s="3">
        <v>1</v>
      </c>
      <c r="G1083" s="6" t="s">
        <v>15</v>
      </c>
    </row>
    <row r="1084" spans="1:7" x14ac:dyDescent="0.3">
      <c r="A1084" s="2" t="s">
        <v>1371</v>
      </c>
      <c r="B1084" s="2" t="s">
        <v>1372</v>
      </c>
      <c r="C1084" s="6" t="s">
        <v>1373</v>
      </c>
      <c r="D1084" s="1">
        <v>45024</v>
      </c>
      <c r="E1084" s="4">
        <v>193.98</v>
      </c>
      <c r="F1084" s="3">
        <v>2</v>
      </c>
      <c r="G1084" s="6" t="s">
        <v>10</v>
      </c>
    </row>
    <row r="1085" spans="1:7" x14ac:dyDescent="0.3">
      <c r="A1085" s="2" t="s">
        <v>1374</v>
      </c>
      <c r="B1085" s="2" t="s">
        <v>1375</v>
      </c>
      <c r="C1085" s="6" t="s">
        <v>1376</v>
      </c>
      <c r="D1085" s="1">
        <v>45316</v>
      </c>
      <c r="E1085" s="4">
        <v>283.94</v>
      </c>
      <c r="F1085" s="3">
        <v>3</v>
      </c>
      <c r="G1085" s="6" t="s">
        <v>10</v>
      </c>
    </row>
    <row r="1086" spans="1:7" x14ac:dyDescent="0.3">
      <c r="A1086" s="2" t="s">
        <v>1377</v>
      </c>
      <c r="B1086" s="2" t="s">
        <v>1375</v>
      </c>
      <c r="C1086" s="6" t="s">
        <v>1376</v>
      </c>
      <c r="D1086" s="1">
        <v>45098</v>
      </c>
      <c r="E1086" s="4">
        <v>181.76</v>
      </c>
      <c r="F1086" s="3">
        <v>3</v>
      </c>
      <c r="G1086" s="6" t="s">
        <v>12</v>
      </c>
    </row>
    <row r="1087" spans="1:7" x14ac:dyDescent="0.3">
      <c r="A1087" s="2" t="s">
        <v>1378</v>
      </c>
      <c r="B1087" s="2" t="s">
        <v>1375</v>
      </c>
      <c r="C1087" s="6" t="s">
        <v>1376</v>
      </c>
      <c r="D1087" s="1">
        <v>45602</v>
      </c>
      <c r="E1087" s="4">
        <v>191.05</v>
      </c>
      <c r="F1087" s="3">
        <v>2</v>
      </c>
      <c r="G1087" s="6" t="s">
        <v>12</v>
      </c>
    </row>
    <row r="1088" spans="1:7" x14ac:dyDescent="0.3">
      <c r="A1088" s="2" t="s">
        <v>1379</v>
      </c>
      <c r="B1088" s="2" t="s">
        <v>1375</v>
      </c>
      <c r="C1088" s="6" t="s">
        <v>1376</v>
      </c>
      <c r="D1088" s="1">
        <v>45574</v>
      </c>
      <c r="E1088" s="4">
        <v>357.3</v>
      </c>
      <c r="F1088" s="3">
        <v>2</v>
      </c>
      <c r="G1088" s="6" t="s">
        <v>12</v>
      </c>
    </row>
    <row r="1089" spans="1:7" x14ac:dyDescent="0.3">
      <c r="A1089" s="2" t="s">
        <v>1380</v>
      </c>
      <c r="B1089" s="2" t="s">
        <v>1375</v>
      </c>
      <c r="C1089" s="6" t="s">
        <v>1376</v>
      </c>
      <c r="D1089" s="1">
        <v>45330</v>
      </c>
      <c r="E1089" s="4">
        <v>417.37</v>
      </c>
      <c r="F1089" s="3">
        <v>1</v>
      </c>
      <c r="G1089" s="6" t="s">
        <v>38</v>
      </c>
    </row>
    <row r="1090" spans="1:7" x14ac:dyDescent="0.3">
      <c r="A1090" s="2" t="s">
        <v>1381</v>
      </c>
      <c r="B1090" s="2" t="s">
        <v>1375</v>
      </c>
      <c r="C1090" s="6" t="s">
        <v>1376</v>
      </c>
      <c r="D1090" s="1">
        <v>45443</v>
      </c>
      <c r="E1090" s="4">
        <v>319.67</v>
      </c>
      <c r="F1090" s="3">
        <v>1</v>
      </c>
      <c r="G1090" s="6" t="s">
        <v>26</v>
      </c>
    </row>
    <row r="1091" spans="1:7" x14ac:dyDescent="0.3">
      <c r="A1091" s="2" t="s">
        <v>1382</v>
      </c>
      <c r="B1091" s="2" t="s">
        <v>1375</v>
      </c>
      <c r="C1091" s="6" t="s">
        <v>1376</v>
      </c>
      <c r="D1091" s="1">
        <v>45599</v>
      </c>
      <c r="E1091" s="4">
        <v>278.73</v>
      </c>
      <c r="F1091" s="3">
        <v>4</v>
      </c>
      <c r="G1091" s="6" t="s">
        <v>38</v>
      </c>
    </row>
    <row r="1092" spans="1:7" x14ac:dyDescent="0.3">
      <c r="A1092" s="2" t="s">
        <v>1383</v>
      </c>
      <c r="B1092" s="2" t="s">
        <v>1375</v>
      </c>
      <c r="C1092" s="6" t="s">
        <v>1376</v>
      </c>
      <c r="D1092" s="1">
        <v>45231</v>
      </c>
      <c r="E1092" s="4">
        <v>218.77</v>
      </c>
      <c r="F1092" s="3">
        <v>1</v>
      </c>
      <c r="G1092" s="6" t="s">
        <v>26</v>
      </c>
    </row>
    <row r="1093" spans="1:7" x14ac:dyDescent="0.3">
      <c r="A1093" s="2" t="s">
        <v>1384</v>
      </c>
      <c r="B1093" s="2" t="s">
        <v>1375</v>
      </c>
      <c r="C1093" s="6" t="s">
        <v>1376</v>
      </c>
      <c r="D1093" s="1">
        <v>45463</v>
      </c>
      <c r="E1093" s="4">
        <v>378.36</v>
      </c>
      <c r="F1093" s="3">
        <v>4</v>
      </c>
      <c r="G1093" s="6" t="s">
        <v>26</v>
      </c>
    </row>
    <row r="1094" spans="1:7" x14ac:dyDescent="0.3">
      <c r="A1094" s="2" t="s">
        <v>1385</v>
      </c>
      <c r="B1094" s="2" t="s">
        <v>1375</v>
      </c>
      <c r="C1094" s="6" t="s">
        <v>1376</v>
      </c>
      <c r="D1094" s="1">
        <v>45450</v>
      </c>
      <c r="E1094" s="4">
        <v>338.87</v>
      </c>
      <c r="F1094" s="3">
        <v>1</v>
      </c>
      <c r="G1094" s="6" t="s">
        <v>15</v>
      </c>
    </row>
    <row r="1095" spans="1:7" x14ac:dyDescent="0.3">
      <c r="A1095" s="2" t="s">
        <v>1386</v>
      </c>
      <c r="B1095" s="2" t="s">
        <v>1375</v>
      </c>
      <c r="C1095" s="6" t="s">
        <v>1376</v>
      </c>
      <c r="D1095" s="1">
        <v>45187</v>
      </c>
      <c r="E1095" s="4">
        <v>105.54</v>
      </c>
      <c r="F1095" s="3">
        <v>2</v>
      </c>
      <c r="G1095" s="6" t="s">
        <v>15</v>
      </c>
    </row>
    <row r="1096" spans="1:7" x14ac:dyDescent="0.3">
      <c r="A1096" s="2" t="s">
        <v>1387</v>
      </c>
      <c r="B1096" s="2" t="s">
        <v>1375</v>
      </c>
      <c r="C1096" s="6" t="s">
        <v>1376</v>
      </c>
      <c r="D1096" s="1">
        <v>45537</v>
      </c>
      <c r="E1096" s="4">
        <v>455.03</v>
      </c>
      <c r="F1096" s="3">
        <v>1</v>
      </c>
      <c r="G1096" s="6" t="s">
        <v>12</v>
      </c>
    </row>
    <row r="1097" spans="1:7" x14ac:dyDescent="0.3">
      <c r="A1097" s="2" t="s">
        <v>1388</v>
      </c>
      <c r="B1097" s="2" t="s">
        <v>1375</v>
      </c>
      <c r="C1097" s="6" t="s">
        <v>1376</v>
      </c>
      <c r="D1097" s="1">
        <v>45585</v>
      </c>
      <c r="E1097" s="4">
        <v>293.62</v>
      </c>
      <c r="F1097" s="3">
        <v>2</v>
      </c>
      <c r="G1097" s="6" t="s">
        <v>18</v>
      </c>
    </row>
    <row r="1098" spans="1:7" x14ac:dyDescent="0.3">
      <c r="A1098" s="2" t="s">
        <v>1389</v>
      </c>
      <c r="B1098" s="2" t="s">
        <v>1375</v>
      </c>
      <c r="C1098" s="6" t="s">
        <v>1376</v>
      </c>
      <c r="D1098" s="1">
        <v>45540</v>
      </c>
      <c r="E1098" s="4">
        <v>361.03</v>
      </c>
      <c r="F1098" s="3">
        <v>4</v>
      </c>
      <c r="G1098" s="6" t="s">
        <v>18</v>
      </c>
    </row>
    <row r="1099" spans="1:7" x14ac:dyDescent="0.3">
      <c r="A1099" s="2" t="s">
        <v>1390</v>
      </c>
      <c r="B1099" s="2" t="s">
        <v>1375</v>
      </c>
      <c r="C1099" s="6" t="s">
        <v>1376</v>
      </c>
      <c r="D1099" s="1">
        <v>45615</v>
      </c>
      <c r="E1099" s="4">
        <v>298.37</v>
      </c>
      <c r="F1099" s="3">
        <v>4</v>
      </c>
      <c r="G1099" s="6" t="s">
        <v>38</v>
      </c>
    </row>
    <row r="1100" spans="1:7" x14ac:dyDescent="0.3">
      <c r="A1100" s="2" t="s">
        <v>1391</v>
      </c>
      <c r="B1100" s="2" t="s">
        <v>1392</v>
      </c>
      <c r="C1100" s="6" t="s">
        <v>1393</v>
      </c>
      <c r="D1100" s="1">
        <v>45335</v>
      </c>
      <c r="E1100" s="4">
        <v>435.63</v>
      </c>
      <c r="F1100" s="3">
        <v>4</v>
      </c>
      <c r="G1100" s="6" t="s">
        <v>26</v>
      </c>
    </row>
    <row r="1101" spans="1:7" x14ac:dyDescent="0.3">
      <c r="A1101" s="2" t="s">
        <v>1394</v>
      </c>
      <c r="B1101" s="2" t="s">
        <v>1392</v>
      </c>
      <c r="C1101" s="6" t="s">
        <v>1393</v>
      </c>
      <c r="D1101" s="1">
        <v>45636</v>
      </c>
      <c r="E1101" s="4">
        <v>102.08</v>
      </c>
      <c r="F1101" s="3">
        <v>2</v>
      </c>
      <c r="G1101" s="6" t="s">
        <v>38</v>
      </c>
    </row>
    <row r="1102" spans="1:7" x14ac:dyDescent="0.3">
      <c r="A1102" s="2" t="s">
        <v>1395</v>
      </c>
      <c r="B1102" s="2" t="s">
        <v>1392</v>
      </c>
      <c r="C1102" s="6" t="s">
        <v>1393</v>
      </c>
      <c r="D1102" s="1">
        <v>45243</v>
      </c>
      <c r="E1102" s="4">
        <v>75.489999999999995</v>
      </c>
      <c r="F1102" s="3">
        <v>2</v>
      </c>
      <c r="G1102" s="6" t="s">
        <v>12</v>
      </c>
    </row>
    <row r="1103" spans="1:7" x14ac:dyDescent="0.3">
      <c r="A1103" s="2" t="s">
        <v>1396</v>
      </c>
      <c r="B1103" s="2" t="s">
        <v>1392</v>
      </c>
      <c r="C1103" s="6" t="s">
        <v>1393</v>
      </c>
      <c r="D1103" s="1">
        <v>45520</v>
      </c>
      <c r="E1103" s="4">
        <v>333.16</v>
      </c>
      <c r="F1103" s="3">
        <v>4</v>
      </c>
      <c r="G1103" s="6" t="s">
        <v>38</v>
      </c>
    </row>
    <row r="1104" spans="1:7" x14ac:dyDescent="0.3">
      <c r="A1104" s="2" t="s">
        <v>1397</v>
      </c>
      <c r="B1104" s="2" t="s">
        <v>1392</v>
      </c>
      <c r="C1104" s="6" t="s">
        <v>1393</v>
      </c>
      <c r="D1104" s="1">
        <v>45303</v>
      </c>
      <c r="E1104" s="4">
        <v>349.26</v>
      </c>
      <c r="F1104" s="3">
        <v>2</v>
      </c>
      <c r="G1104" s="6" t="s">
        <v>12</v>
      </c>
    </row>
    <row r="1105" spans="1:7" x14ac:dyDescent="0.3">
      <c r="A1105" s="2" t="s">
        <v>1398</v>
      </c>
      <c r="B1105" s="2" t="s">
        <v>1392</v>
      </c>
      <c r="C1105" s="6" t="s">
        <v>1393</v>
      </c>
      <c r="D1105" s="1">
        <v>45463</v>
      </c>
      <c r="E1105" s="4">
        <v>120.27</v>
      </c>
      <c r="F1105" s="3">
        <v>1</v>
      </c>
      <c r="G1105" s="6" t="s">
        <v>18</v>
      </c>
    </row>
    <row r="1106" spans="1:7" x14ac:dyDescent="0.3">
      <c r="A1106" s="2" t="s">
        <v>1399</v>
      </c>
      <c r="B1106" s="2" t="s">
        <v>1392</v>
      </c>
      <c r="C1106" s="6" t="s">
        <v>1393</v>
      </c>
      <c r="D1106" s="1">
        <v>45397</v>
      </c>
      <c r="E1106" s="4">
        <v>236.93</v>
      </c>
      <c r="F1106" s="3">
        <v>1</v>
      </c>
      <c r="G1106" s="6" t="s">
        <v>18</v>
      </c>
    </row>
    <row r="1107" spans="1:7" x14ac:dyDescent="0.3">
      <c r="A1107" s="2" t="s">
        <v>1400</v>
      </c>
      <c r="B1107" s="2" t="s">
        <v>1392</v>
      </c>
      <c r="C1107" s="6" t="s">
        <v>1393</v>
      </c>
      <c r="D1107" s="1">
        <v>45652</v>
      </c>
      <c r="E1107" s="4">
        <v>301.7</v>
      </c>
      <c r="F1107" s="3">
        <v>2</v>
      </c>
      <c r="G1107" s="6" t="s">
        <v>18</v>
      </c>
    </row>
    <row r="1108" spans="1:7" x14ac:dyDescent="0.3">
      <c r="A1108" s="2" t="s">
        <v>1401</v>
      </c>
      <c r="B1108" s="2" t="s">
        <v>1392</v>
      </c>
      <c r="C1108" s="6" t="s">
        <v>1393</v>
      </c>
      <c r="D1108" s="1">
        <v>45448</v>
      </c>
      <c r="E1108" s="4">
        <v>391.23</v>
      </c>
      <c r="F1108" s="3">
        <v>4</v>
      </c>
      <c r="G1108" s="6" t="s">
        <v>18</v>
      </c>
    </row>
    <row r="1109" spans="1:7" x14ac:dyDescent="0.3">
      <c r="A1109" s="2" t="s">
        <v>1402</v>
      </c>
      <c r="B1109" s="2" t="s">
        <v>1392</v>
      </c>
      <c r="C1109" s="6" t="s">
        <v>1393</v>
      </c>
      <c r="D1109" s="1">
        <v>45581</v>
      </c>
      <c r="E1109" s="4">
        <v>389.09</v>
      </c>
      <c r="F1109" s="3">
        <v>4</v>
      </c>
      <c r="G1109" s="6" t="s">
        <v>15</v>
      </c>
    </row>
    <row r="1110" spans="1:7" x14ac:dyDescent="0.3">
      <c r="A1110" s="2" t="s">
        <v>1403</v>
      </c>
      <c r="B1110" s="2" t="s">
        <v>1392</v>
      </c>
      <c r="C1110" s="6" t="s">
        <v>1393</v>
      </c>
      <c r="D1110" s="1">
        <v>45402</v>
      </c>
      <c r="E1110" s="4">
        <v>221.85</v>
      </c>
      <c r="F1110" s="3">
        <v>1</v>
      </c>
      <c r="G1110" s="6" t="s">
        <v>38</v>
      </c>
    </row>
    <row r="1111" spans="1:7" x14ac:dyDescent="0.3">
      <c r="A1111" s="2" t="s">
        <v>1404</v>
      </c>
      <c r="B1111" s="2" t="s">
        <v>1392</v>
      </c>
      <c r="C1111" s="6" t="s">
        <v>1393</v>
      </c>
      <c r="D1111" s="1">
        <v>45304</v>
      </c>
      <c r="E1111" s="4">
        <v>139.36000000000001</v>
      </c>
      <c r="F1111" s="3">
        <v>1</v>
      </c>
      <c r="G1111" s="6" t="s">
        <v>10</v>
      </c>
    </row>
    <row r="1112" spans="1:7" x14ac:dyDescent="0.3">
      <c r="A1112" s="2" t="s">
        <v>1405</v>
      </c>
      <c r="B1112" s="2" t="s">
        <v>1392</v>
      </c>
      <c r="C1112" s="6" t="s">
        <v>1393</v>
      </c>
      <c r="D1112" s="1">
        <v>45337</v>
      </c>
      <c r="E1112" s="4">
        <v>129.26</v>
      </c>
      <c r="F1112" s="3">
        <v>4</v>
      </c>
      <c r="G1112" s="6" t="s">
        <v>10</v>
      </c>
    </row>
    <row r="1113" spans="1:7" x14ac:dyDescent="0.3">
      <c r="A1113" s="2" t="s">
        <v>1406</v>
      </c>
      <c r="B1113" s="2" t="s">
        <v>1407</v>
      </c>
      <c r="C1113" s="6" t="s">
        <v>1408</v>
      </c>
      <c r="D1113" s="1">
        <v>45625</v>
      </c>
      <c r="E1113" s="4">
        <v>168.28</v>
      </c>
      <c r="F1113" s="3">
        <v>3</v>
      </c>
      <c r="G1113" s="6" t="s">
        <v>18</v>
      </c>
    </row>
    <row r="1114" spans="1:7" x14ac:dyDescent="0.3">
      <c r="A1114" s="2" t="s">
        <v>1409</v>
      </c>
      <c r="B1114" s="2" t="s">
        <v>1407</v>
      </c>
      <c r="C1114" s="6" t="s">
        <v>1408</v>
      </c>
      <c r="D1114" s="1">
        <v>45441</v>
      </c>
      <c r="E1114" s="4">
        <v>169.39</v>
      </c>
      <c r="F1114" s="3">
        <v>3</v>
      </c>
      <c r="G1114" s="6" t="s">
        <v>10</v>
      </c>
    </row>
    <row r="1115" spans="1:7" x14ac:dyDescent="0.3">
      <c r="A1115" s="2" t="s">
        <v>1410</v>
      </c>
      <c r="B1115" s="2" t="s">
        <v>1407</v>
      </c>
      <c r="C1115" s="6" t="s">
        <v>1408</v>
      </c>
      <c r="D1115" s="1">
        <v>45041</v>
      </c>
      <c r="E1115" s="4">
        <v>336.72</v>
      </c>
      <c r="F1115" s="3">
        <v>2</v>
      </c>
      <c r="G1115" s="6" t="s">
        <v>26</v>
      </c>
    </row>
    <row r="1116" spans="1:7" x14ac:dyDescent="0.3">
      <c r="A1116" s="2" t="s">
        <v>1411</v>
      </c>
      <c r="B1116" s="2" t="s">
        <v>1407</v>
      </c>
      <c r="C1116" s="6" t="s">
        <v>1408</v>
      </c>
      <c r="D1116" s="1">
        <v>45201</v>
      </c>
      <c r="E1116" s="4">
        <v>132.01</v>
      </c>
      <c r="F1116" s="3">
        <v>1</v>
      </c>
      <c r="G1116" s="6" t="s">
        <v>18</v>
      </c>
    </row>
    <row r="1117" spans="1:7" x14ac:dyDescent="0.3">
      <c r="A1117" s="2" t="s">
        <v>1412</v>
      </c>
      <c r="B1117" s="2" t="s">
        <v>1407</v>
      </c>
      <c r="C1117" s="6" t="s">
        <v>1408</v>
      </c>
      <c r="D1117" s="1">
        <v>45487</v>
      </c>
      <c r="E1117" s="4">
        <v>56.51</v>
      </c>
      <c r="F1117" s="3">
        <v>4</v>
      </c>
      <c r="G1117" s="6" t="s">
        <v>15</v>
      </c>
    </row>
    <row r="1118" spans="1:7" x14ac:dyDescent="0.3">
      <c r="A1118" s="2" t="s">
        <v>1413</v>
      </c>
      <c r="B1118" s="2" t="s">
        <v>1407</v>
      </c>
      <c r="C1118" s="6" t="s">
        <v>1408</v>
      </c>
      <c r="D1118" s="1">
        <v>45236</v>
      </c>
      <c r="E1118" s="4">
        <v>467.45</v>
      </c>
      <c r="F1118" s="3">
        <v>4</v>
      </c>
      <c r="G1118" s="6" t="s">
        <v>12</v>
      </c>
    </row>
    <row r="1119" spans="1:7" x14ac:dyDescent="0.3">
      <c r="A1119" s="2" t="s">
        <v>1414</v>
      </c>
      <c r="B1119" s="2" t="s">
        <v>1407</v>
      </c>
      <c r="C1119" s="6" t="s">
        <v>1408</v>
      </c>
      <c r="D1119" s="1">
        <v>45510</v>
      </c>
      <c r="E1119" s="4">
        <v>430.43</v>
      </c>
      <c r="F1119" s="3">
        <v>3</v>
      </c>
      <c r="G1119" s="6" t="s">
        <v>10</v>
      </c>
    </row>
    <row r="1120" spans="1:7" x14ac:dyDescent="0.3">
      <c r="A1120" s="2" t="s">
        <v>1415</v>
      </c>
      <c r="B1120" s="2" t="s">
        <v>1407</v>
      </c>
      <c r="C1120" s="6" t="s">
        <v>1408</v>
      </c>
      <c r="D1120" s="1">
        <v>45612</v>
      </c>
      <c r="E1120" s="4">
        <v>289.87</v>
      </c>
      <c r="F1120" s="3">
        <v>1</v>
      </c>
      <c r="G1120" s="6" t="s">
        <v>10</v>
      </c>
    </row>
    <row r="1121" spans="1:7" x14ac:dyDescent="0.3">
      <c r="A1121" s="2" t="s">
        <v>1416</v>
      </c>
      <c r="B1121" s="2" t="s">
        <v>1417</v>
      </c>
      <c r="C1121" s="6" t="s">
        <v>1418</v>
      </c>
      <c r="D1121" s="1">
        <v>45355</v>
      </c>
      <c r="E1121" s="4">
        <v>426.1</v>
      </c>
      <c r="F1121" s="3">
        <v>3</v>
      </c>
      <c r="G1121" s="6" t="s">
        <v>18</v>
      </c>
    </row>
    <row r="1122" spans="1:7" x14ac:dyDescent="0.3">
      <c r="A1122" s="2" t="s">
        <v>1419</v>
      </c>
      <c r="B1122" s="2" t="s">
        <v>1420</v>
      </c>
      <c r="C1122" s="6" t="s">
        <v>1421</v>
      </c>
      <c r="D1122" s="1">
        <v>45423</v>
      </c>
      <c r="E1122" s="4">
        <v>162.97999999999999</v>
      </c>
      <c r="F1122" s="3">
        <v>2</v>
      </c>
      <c r="G1122" s="6" t="s">
        <v>18</v>
      </c>
    </row>
    <row r="1123" spans="1:7" x14ac:dyDescent="0.3">
      <c r="A1123" s="2" t="s">
        <v>1422</v>
      </c>
      <c r="B1123" s="2" t="s">
        <v>1420</v>
      </c>
      <c r="C1123" s="6" t="s">
        <v>1421</v>
      </c>
      <c r="D1123" s="1">
        <v>45534</v>
      </c>
      <c r="E1123" s="4">
        <v>384.53</v>
      </c>
      <c r="F1123" s="3">
        <v>1</v>
      </c>
      <c r="G1123" s="6" t="s">
        <v>26</v>
      </c>
    </row>
    <row r="1124" spans="1:7" x14ac:dyDescent="0.3">
      <c r="A1124" s="2" t="s">
        <v>1423</v>
      </c>
      <c r="B1124" s="2" t="s">
        <v>1420</v>
      </c>
      <c r="C1124" s="6" t="s">
        <v>1421</v>
      </c>
      <c r="D1124" s="1">
        <v>45475</v>
      </c>
      <c r="E1124" s="4">
        <v>29.08</v>
      </c>
      <c r="F1124" s="3">
        <v>2</v>
      </c>
      <c r="G1124" s="6" t="s">
        <v>12</v>
      </c>
    </row>
    <row r="1125" spans="1:7" x14ac:dyDescent="0.3">
      <c r="A1125" s="2" t="s">
        <v>1424</v>
      </c>
      <c r="B1125" s="2" t="s">
        <v>1420</v>
      </c>
      <c r="C1125" s="6" t="s">
        <v>1421</v>
      </c>
      <c r="D1125" s="1">
        <v>45474</v>
      </c>
      <c r="E1125" s="4">
        <v>469.82</v>
      </c>
      <c r="F1125" s="3">
        <v>1</v>
      </c>
      <c r="G1125" s="6" t="s">
        <v>10</v>
      </c>
    </row>
    <row r="1126" spans="1:7" x14ac:dyDescent="0.3">
      <c r="A1126" s="2" t="s">
        <v>1425</v>
      </c>
      <c r="B1126" s="2" t="s">
        <v>1420</v>
      </c>
      <c r="C1126" s="6" t="s">
        <v>1421</v>
      </c>
      <c r="D1126" s="1">
        <v>45244</v>
      </c>
      <c r="E1126" s="4">
        <v>297.60000000000002</v>
      </c>
      <c r="F1126" s="3">
        <v>4</v>
      </c>
      <c r="G1126" s="6" t="s">
        <v>38</v>
      </c>
    </row>
    <row r="1127" spans="1:7" x14ac:dyDescent="0.3">
      <c r="A1127" s="2" t="s">
        <v>1426</v>
      </c>
      <c r="B1127" s="2" t="s">
        <v>1420</v>
      </c>
      <c r="C1127" s="6" t="s">
        <v>1421</v>
      </c>
      <c r="D1127" s="1">
        <v>45502</v>
      </c>
      <c r="E1127" s="4">
        <v>369.17</v>
      </c>
      <c r="F1127" s="3">
        <v>2</v>
      </c>
      <c r="G1127" s="6" t="s">
        <v>26</v>
      </c>
    </row>
    <row r="1128" spans="1:7" x14ac:dyDescent="0.3">
      <c r="A1128" s="2" t="s">
        <v>1427</v>
      </c>
      <c r="B1128" s="2" t="s">
        <v>1420</v>
      </c>
      <c r="C1128" s="6" t="s">
        <v>1421</v>
      </c>
      <c r="D1128" s="1">
        <v>45395</v>
      </c>
      <c r="E1128" s="4">
        <v>289.05</v>
      </c>
      <c r="F1128" s="3">
        <v>2</v>
      </c>
      <c r="G1128" s="6" t="s">
        <v>12</v>
      </c>
    </row>
    <row r="1129" spans="1:7" x14ac:dyDescent="0.3">
      <c r="A1129" s="2" t="s">
        <v>1428</v>
      </c>
      <c r="B1129" s="2" t="s">
        <v>1420</v>
      </c>
      <c r="C1129" s="6" t="s">
        <v>1421</v>
      </c>
      <c r="D1129" s="1">
        <v>45310</v>
      </c>
      <c r="E1129" s="4">
        <v>113.7</v>
      </c>
      <c r="F1129" s="3">
        <v>1</v>
      </c>
      <c r="G1129" s="6" t="s">
        <v>12</v>
      </c>
    </row>
    <row r="1130" spans="1:7" x14ac:dyDescent="0.3">
      <c r="A1130" s="2" t="s">
        <v>1429</v>
      </c>
      <c r="B1130" s="2" t="s">
        <v>1420</v>
      </c>
      <c r="C1130" s="6" t="s">
        <v>1421</v>
      </c>
      <c r="D1130" s="1">
        <v>45232</v>
      </c>
      <c r="E1130" s="4">
        <v>235.97</v>
      </c>
      <c r="F1130" s="3">
        <v>1</v>
      </c>
      <c r="G1130" s="6" t="s">
        <v>18</v>
      </c>
    </row>
    <row r="1131" spans="1:7" x14ac:dyDescent="0.3">
      <c r="A1131" s="2" t="s">
        <v>1430</v>
      </c>
      <c r="B1131" s="2" t="s">
        <v>1420</v>
      </c>
      <c r="C1131" s="6" t="s">
        <v>1421</v>
      </c>
      <c r="D1131" s="1">
        <v>45133</v>
      </c>
      <c r="E1131" s="4">
        <v>36.14</v>
      </c>
      <c r="F1131" s="3">
        <v>1</v>
      </c>
      <c r="G1131" s="6" t="s">
        <v>12</v>
      </c>
    </row>
    <row r="1132" spans="1:7" x14ac:dyDescent="0.3">
      <c r="A1132" s="2" t="s">
        <v>1431</v>
      </c>
      <c r="B1132" s="2" t="s">
        <v>1420</v>
      </c>
      <c r="C1132" s="6" t="s">
        <v>1421</v>
      </c>
      <c r="D1132" s="1">
        <v>45274</v>
      </c>
      <c r="E1132" s="4">
        <v>341.99</v>
      </c>
      <c r="F1132" s="3">
        <v>4</v>
      </c>
      <c r="G1132" s="6" t="s">
        <v>26</v>
      </c>
    </row>
    <row r="1133" spans="1:7" x14ac:dyDescent="0.3">
      <c r="A1133" s="2" t="s">
        <v>1432</v>
      </c>
      <c r="B1133" s="2" t="s">
        <v>1420</v>
      </c>
      <c r="C1133" s="6" t="s">
        <v>1421</v>
      </c>
      <c r="D1133" s="1">
        <v>45590</v>
      </c>
      <c r="E1133" s="4">
        <v>463.27</v>
      </c>
      <c r="F1133" s="3">
        <v>1</v>
      </c>
      <c r="G1133" s="6" t="s">
        <v>15</v>
      </c>
    </row>
    <row r="1134" spans="1:7" x14ac:dyDescent="0.3">
      <c r="A1134" s="2" t="s">
        <v>1433</v>
      </c>
      <c r="B1134" s="2" t="s">
        <v>1420</v>
      </c>
      <c r="C1134" s="6" t="s">
        <v>1421</v>
      </c>
      <c r="D1134" s="1">
        <v>45462</v>
      </c>
      <c r="E1134" s="4">
        <v>348.53</v>
      </c>
      <c r="F1134" s="3">
        <v>1</v>
      </c>
      <c r="G1134" s="6" t="s">
        <v>38</v>
      </c>
    </row>
    <row r="1135" spans="1:7" x14ac:dyDescent="0.3">
      <c r="A1135" s="2" t="s">
        <v>1434</v>
      </c>
      <c r="B1135" s="2" t="s">
        <v>1420</v>
      </c>
      <c r="C1135" s="6" t="s">
        <v>1421</v>
      </c>
      <c r="D1135" s="1">
        <v>45301</v>
      </c>
      <c r="E1135" s="4">
        <v>144.88999999999999</v>
      </c>
      <c r="F1135" s="3">
        <v>1</v>
      </c>
      <c r="G1135" s="6" t="s">
        <v>12</v>
      </c>
    </row>
    <row r="1136" spans="1:7" x14ac:dyDescent="0.3">
      <c r="A1136" s="2" t="s">
        <v>1435</v>
      </c>
      <c r="B1136" s="2" t="s">
        <v>1436</v>
      </c>
      <c r="C1136" s="6" t="s">
        <v>1437</v>
      </c>
      <c r="D1136" s="1">
        <v>45560</v>
      </c>
      <c r="E1136" s="4">
        <v>97.88</v>
      </c>
      <c r="F1136" s="3">
        <v>2</v>
      </c>
      <c r="G1136" s="6" t="s">
        <v>15</v>
      </c>
    </row>
    <row r="1137" spans="1:7" x14ac:dyDescent="0.3">
      <c r="A1137" s="2" t="s">
        <v>1438</v>
      </c>
      <c r="B1137" s="2" t="s">
        <v>1436</v>
      </c>
      <c r="C1137" s="6" t="s">
        <v>1437</v>
      </c>
      <c r="D1137" s="1">
        <v>45581</v>
      </c>
      <c r="E1137" s="4">
        <v>294.07</v>
      </c>
      <c r="F1137" s="3">
        <v>1</v>
      </c>
      <c r="G1137" s="6" t="s">
        <v>38</v>
      </c>
    </row>
    <row r="1138" spans="1:7" x14ac:dyDescent="0.3">
      <c r="A1138" s="2" t="s">
        <v>1439</v>
      </c>
      <c r="B1138" s="2" t="s">
        <v>1436</v>
      </c>
      <c r="C1138" s="6" t="s">
        <v>1437</v>
      </c>
      <c r="D1138" s="1">
        <v>45509</v>
      </c>
      <c r="E1138" s="4">
        <v>39.700000000000003</v>
      </c>
      <c r="F1138" s="3">
        <v>4</v>
      </c>
      <c r="G1138" s="6" t="s">
        <v>26</v>
      </c>
    </row>
    <row r="1139" spans="1:7" x14ac:dyDescent="0.3">
      <c r="A1139" s="2" t="s">
        <v>1440</v>
      </c>
      <c r="B1139" s="2" t="s">
        <v>1436</v>
      </c>
      <c r="C1139" s="6" t="s">
        <v>1437</v>
      </c>
      <c r="D1139" s="1">
        <v>45426</v>
      </c>
      <c r="E1139" s="4">
        <v>352.82</v>
      </c>
      <c r="F1139" s="3">
        <v>4</v>
      </c>
      <c r="G1139" s="6" t="s">
        <v>15</v>
      </c>
    </row>
    <row r="1140" spans="1:7" x14ac:dyDescent="0.3">
      <c r="A1140" s="2" t="s">
        <v>1441</v>
      </c>
      <c r="B1140" s="2" t="s">
        <v>1436</v>
      </c>
      <c r="C1140" s="6" t="s">
        <v>1437</v>
      </c>
      <c r="D1140" s="1">
        <v>45485</v>
      </c>
      <c r="E1140" s="4">
        <v>345.99</v>
      </c>
      <c r="F1140" s="3">
        <v>3</v>
      </c>
      <c r="G1140" s="6" t="s">
        <v>18</v>
      </c>
    </row>
    <row r="1141" spans="1:7" x14ac:dyDescent="0.3">
      <c r="A1141" s="2" t="s">
        <v>1442</v>
      </c>
      <c r="B1141" s="2" t="s">
        <v>1436</v>
      </c>
      <c r="C1141" s="6" t="s">
        <v>1437</v>
      </c>
      <c r="D1141" s="1">
        <v>45523</v>
      </c>
      <c r="E1141" s="4">
        <v>249.36</v>
      </c>
      <c r="F1141" s="3">
        <v>1</v>
      </c>
      <c r="G1141" s="6" t="s">
        <v>18</v>
      </c>
    </row>
    <row r="1142" spans="1:7" x14ac:dyDescent="0.3">
      <c r="A1142" s="2" t="s">
        <v>1443</v>
      </c>
      <c r="B1142" s="2" t="s">
        <v>1436</v>
      </c>
      <c r="C1142" s="6" t="s">
        <v>1437</v>
      </c>
      <c r="D1142" s="1">
        <v>45597</v>
      </c>
      <c r="E1142" s="4">
        <v>324.86</v>
      </c>
      <c r="F1142" s="3">
        <v>2</v>
      </c>
      <c r="G1142" s="6" t="s">
        <v>18</v>
      </c>
    </row>
    <row r="1143" spans="1:7" x14ac:dyDescent="0.3">
      <c r="A1143" s="2" t="s">
        <v>1444</v>
      </c>
      <c r="B1143" s="2" t="s">
        <v>1445</v>
      </c>
      <c r="C1143" s="6" t="s">
        <v>1446</v>
      </c>
      <c r="D1143" s="1">
        <v>45625</v>
      </c>
      <c r="E1143" s="4">
        <v>25.55</v>
      </c>
      <c r="F1143" s="3">
        <v>2</v>
      </c>
      <c r="G1143" s="6" t="s">
        <v>26</v>
      </c>
    </row>
    <row r="1144" spans="1:7" x14ac:dyDescent="0.3">
      <c r="A1144" s="2" t="s">
        <v>1447</v>
      </c>
      <c r="B1144" s="2" t="s">
        <v>1445</v>
      </c>
      <c r="C1144" s="6" t="s">
        <v>1446</v>
      </c>
      <c r="D1144" s="1">
        <v>45605</v>
      </c>
      <c r="E1144" s="4">
        <v>311.99</v>
      </c>
      <c r="F1144" s="3">
        <v>2</v>
      </c>
      <c r="G1144" s="6" t="s">
        <v>18</v>
      </c>
    </row>
    <row r="1145" spans="1:7" x14ac:dyDescent="0.3">
      <c r="A1145" s="2" t="s">
        <v>1448</v>
      </c>
      <c r="B1145" s="2" t="s">
        <v>1445</v>
      </c>
      <c r="C1145" s="6" t="s">
        <v>1446</v>
      </c>
      <c r="D1145" s="1">
        <v>45484</v>
      </c>
      <c r="E1145" s="4">
        <v>255.77</v>
      </c>
      <c r="F1145" s="3">
        <v>3</v>
      </c>
      <c r="G1145" s="6" t="s">
        <v>12</v>
      </c>
    </row>
    <row r="1146" spans="1:7" x14ac:dyDescent="0.3">
      <c r="A1146" s="2" t="s">
        <v>1449</v>
      </c>
      <c r="B1146" s="2" t="s">
        <v>1445</v>
      </c>
      <c r="C1146" s="6" t="s">
        <v>1446</v>
      </c>
      <c r="D1146" s="1">
        <v>45653</v>
      </c>
      <c r="E1146" s="4">
        <v>193.97</v>
      </c>
      <c r="F1146" s="3">
        <v>3</v>
      </c>
      <c r="G1146" s="6" t="s">
        <v>38</v>
      </c>
    </row>
    <row r="1147" spans="1:7" x14ac:dyDescent="0.3">
      <c r="A1147" s="2" t="s">
        <v>1450</v>
      </c>
      <c r="B1147" s="2" t="s">
        <v>1445</v>
      </c>
      <c r="C1147" s="6" t="s">
        <v>1446</v>
      </c>
      <c r="D1147" s="1">
        <v>45656</v>
      </c>
      <c r="E1147" s="4">
        <v>24.71</v>
      </c>
      <c r="F1147" s="3">
        <v>1</v>
      </c>
      <c r="G1147" s="6" t="s">
        <v>26</v>
      </c>
    </row>
    <row r="1148" spans="1:7" x14ac:dyDescent="0.3">
      <c r="A1148" s="2" t="s">
        <v>1451</v>
      </c>
      <c r="B1148" s="2" t="s">
        <v>1445</v>
      </c>
      <c r="C1148" s="6" t="s">
        <v>1446</v>
      </c>
      <c r="D1148" s="1">
        <v>45596</v>
      </c>
      <c r="E1148" s="4">
        <v>313.31</v>
      </c>
      <c r="F1148" s="3">
        <v>2</v>
      </c>
      <c r="G1148" s="6" t="s">
        <v>10</v>
      </c>
    </row>
    <row r="1149" spans="1:7" x14ac:dyDescent="0.3">
      <c r="A1149" s="2" t="s">
        <v>1452</v>
      </c>
      <c r="B1149" s="2" t="s">
        <v>1445</v>
      </c>
      <c r="C1149" s="6" t="s">
        <v>1446</v>
      </c>
      <c r="D1149" s="1">
        <v>45587</v>
      </c>
      <c r="E1149" s="4">
        <v>174.29</v>
      </c>
      <c r="F1149" s="3">
        <v>3</v>
      </c>
      <c r="G1149" s="6" t="s">
        <v>10</v>
      </c>
    </row>
    <row r="1150" spans="1:7" x14ac:dyDescent="0.3">
      <c r="A1150" s="2" t="s">
        <v>1453</v>
      </c>
      <c r="B1150" s="2" t="s">
        <v>1445</v>
      </c>
      <c r="C1150" s="6" t="s">
        <v>1446</v>
      </c>
      <c r="D1150" s="1">
        <v>45489</v>
      </c>
      <c r="E1150" s="4">
        <v>410.32</v>
      </c>
      <c r="F1150" s="3">
        <v>2</v>
      </c>
      <c r="G1150" s="6" t="s">
        <v>26</v>
      </c>
    </row>
    <row r="1151" spans="1:7" x14ac:dyDescent="0.3">
      <c r="A1151" s="2" t="s">
        <v>1454</v>
      </c>
      <c r="B1151" s="2" t="s">
        <v>1445</v>
      </c>
      <c r="C1151" s="6" t="s">
        <v>1446</v>
      </c>
      <c r="D1151" s="1">
        <v>45634</v>
      </c>
      <c r="E1151" s="4">
        <v>51.7</v>
      </c>
      <c r="F1151" s="3">
        <v>2</v>
      </c>
      <c r="G1151" s="6" t="s">
        <v>12</v>
      </c>
    </row>
    <row r="1152" spans="1:7" x14ac:dyDescent="0.3">
      <c r="A1152" s="2" t="s">
        <v>1455</v>
      </c>
      <c r="B1152" s="2" t="s">
        <v>1445</v>
      </c>
      <c r="C1152" s="6" t="s">
        <v>1446</v>
      </c>
      <c r="D1152" s="1">
        <v>45655</v>
      </c>
      <c r="E1152" s="4">
        <v>213.95</v>
      </c>
      <c r="F1152" s="3">
        <v>2</v>
      </c>
      <c r="G1152" s="6" t="s">
        <v>26</v>
      </c>
    </row>
    <row r="1153" spans="1:7" x14ac:dyDescent="0.3">
      <c r="A1153" s="2" t="s">
        <v>1456</v>
      </c>
      <c r="B1153" s="2" t="s">
        <v>1445</v>
      </c>
      <c r="C1153" s="6" t="s">
        <v>1446</v>
      </c>
      <c r="D1153" s="1">
        <v>45497</v>
      </c>
      <c r="E1153" s="4">
        <v>37.06</v>
      </c>
      <c r="F1153" s="3">
        <v>4</v>
      </c>
      <c r="G1153" s="6" t="s">
        <v>26</v>
      </c>
    </row>
    <row r="1154" spans="1:7" x14ac:dyDescent="0.3">
      <c r="A1154" s="2" t="s">
        <v>1457</v>
      </c>
      <c r="B1154" s="2" t="s">
        <v>1458</v>
      </c>
      <c r="C1154" s="6" t="s">
        <v>1459</v>
      </c>
      <c r="D1154" s="1">
        <v>45226</v>
      </c>
      <c r="E1154" s="4">
        <v>486.81</v>
      </c>
      <c r="F1154" s="3">
        <v>1</v>
      </c>
      <c r="G1154" s="6" t="s">
        <v>18</v>
      </c>
    </row>
    <row r="1155" spans="1:7" x14ac:dyDescent="0.3">
      <c r="A1155" s="2" t="s">
        <v>1460</v>
      </c>
      <c r="B1155" s="2" t="s">
        <v>1458</v>
      </c>
      <c r="C1155" s="6" t="s">
        <v>1459</v>
      </c>
      <c r="D1155" s="1">
        <v>45438</v>
      </c>
      <c r="E1155" s="4">
        <v>14.27</v>
      </c>
      <c r="F1155" s="3">
        <v>2</v>
      </c>
      <c r="G1155" s="6" t="s">
        <v>12</v>
      </c>
    </row>
    <row r="1156" spans="1:7" x14ac:dyDescent="0.3">
      <c r="A1156" s="2" t="s">
        <v>1461</v>
      </c>
      <c r="B1156" s="2" t="s">
        <v>1458</v>
      </c>
      <c r="C1156" s="6" t="s">
        <v>1459</v>
      </c>
      <c r="D1156" s="1">
        <v>45334</v>
      </c>
      <c r="E1156" s="4">
        <v>156.69999999999999</v>
      </c>
      <c r="F1156" s="3">
        <v>4</v>
      </c>
      <c r="G1156" s="6" t="s">
        <v>18</v>
      </c>
    </row>
    <row r="1157" spans="1:7" x14ac:dyDescent="0.3">
      <c r="A1157" s="2" t="s">
        <v>1462</v>
      </c>
      <c r="B1157" s="2" t="s">
        <v>1458</v>
      </c>
      <c r="C1157" s="6" t="s">
        <v>1459</v>
      </c>
      <c r="D1157" s="1">
        <v>45202</v>
      </c>
      <c r="E1157" s="4">
        <v>415.04</v>
      </c>
      <c r="F1157" s="3">
        <v>1</v>
      </c>
      <c r="G1157" s="6" t="s">
        <v>15</v>
      </c>
    </row>
    <row r="1158" spans="1:7" x14ac:dyDescent="0.3">
      <c r="A1158" s="2" t="s">
        <v>1463</v>
      </c>
      <c r="B1158" s="2" t="s">
        <v>1464</v>
      </c>
      <c r="C1158" s="6" t="s">
        <v>1465</v>
      </c>
      <c r="D1158" s="1">
        <v>45003</v>
      </c>
      <c r="E1158" s="4">
        <v>40.659999999999997</v>
      </c>
      <c r="F1158" s="3">
        <v>2</v>
      </c>
      <c r="G1158" s="6" t="s">
        <v>10</v>
      </c>
    </row>
    <row r="1159" spans="1:7" x14ac:dyDescent="0.3">
      <c r="A1159" s="2" t="s">
        <v>1466</v>
      </c>
      <c r="B1159" s="2" t="s">
        <v>1464</v>
      </c>
      <c r="C1159" s="6" t="s">
        <v>1465</v>
      </c>
      <c r="D1159" s="1">
        <v>45076</v>
      </c>
      <c r="E1159" s="4">
        <v>450.14</v>
      </c>
      <c r="F1159" s="3">
        <v>4</v>
      </c>
      <c r="G1159" s="6" t="s">
        <v>26</v>
      </c>
    </row>
    <row r="1160" spans="1:7" x14ac:dyDescent="0.3">
      <c r="A1160" s="2" t="s">
        <v>1467</v>
      </c>
      <c r="B1160" s="2" t="s">
        <v>1464</v>
      </c>
      <c r="C1160" s="6" t="s">
        <v>1465</v>
      </c>
      <c r="D1160" s="1">
        <v>45156</v>
      </c>
      <c r="E1160" s="4">
        <v>433.68</v>
      </c>
      <c r="F1160" s="3">
        <v>2</v>
      </c>
      <c r="G1160" s="6" t="s">
        <v>18</v>
      </c>
    </row>
    <row r="1161" spans="1:7" x14ac:dyDescent="0.3">
      <c r="A1161" s="2" t="s">
        <v>1468</v>
      </c>
      <c r="B1161" s="2" t="s">
        <v>1464</v>
      </c>
      <c r="C1161" s="6" t="s">
        <v>1465</v>
      </c>
      <c r="D1161" s="1">
        <v>45021</v>
      </c>
      <c r="E1161" s="4">
        <v>158.19</v>
      </c>
      <c r="F1161" s="3">
        <v>2</v>
      </c>
      <c r="G1161" s="6" t="s">
        <v>15</v>
      </c>
    </row>
    <row r="1162" spans="1:7" x14ac:dyDescent="0.3">
      <c r="A1162" s="2" t="s">
        <v>1469</v>
      </c>
      <c r="B1162" s="2" t="s">
        <v>1470</v>
      </c>
      <c r="C1162" s="6" t="s">
        <v>1471</v>
      </c>
      <c r="D1162" s="1">
        <v>45366</v>
      </c>
      <c r="E1162" s="4">
        <v>294.54000000000002</v>
      </c>
      <c r="F1162" s="3">
        <v>4</v>
      </c>
      <c r="G1162" s="6" t="s">
        <v>18</v>
      </c>
    </row>
    <row r="1163" spans="1:7" x14ac:dyDescent="0.3">
      <c r="A1163" s="2" t="s">
        <v>1472</v>
      </c>
      <c r="B1163" s="2" t="s">
        <v>1470</v>
      </c>
      <c r="C1163" s="6" t="s">
        <v>1471</v>
      </c>
      <c r="D1163" s="1">
        <v>45529</v>
      </c>
      <c r="E1163" s="4">
        <v>11.54</v>
      </c>
      <c r="F1163" s="3">
        <v>2</v>
      </c>
      <c r="G1163" s="6" t="s">
        <v>15</v>
      </c>
    </row>
    <row r="1164" spans="1:7" x14ac:dyDescent="0.3">
      <c r="A1164" s="2" t="s">
        <v>1473</v>
      </c>
      <c r="B1164" s="2" t="s">
        <v>1470</v>
      </c>
      <c r="C1164" s="6" t="s">
        <v>1471</v>
      </c>
      <c r="D1164" s="1">
        <v>45517</v>
      </c>
      <c r="E1164" s="4">
        <v>50.31</v>
      </c>
      <c r="F1164" s="3">
        <v>1</v>
      </c>
      <c r="G1164" s="6" t="s">
        <v>26</v>
      </c>
    </row>
    <row r="1165" spans="1:7" x14ac:dyDescent="0.3">
      <c r="A1165" s="2" t="s">
        <v>1474</v>
      </c>
      <c r="B1165" s="2" t="s">
        <v>1470</v>
      </c>
      <c r="C1165" s="6" t="s">
        <v>1471</v>
      </c>
      <c r="D1165" s="1">
        <v>45613</v>
      </c>
      <c r="E1165" s="4">
        <v>37.92</v>
      </c>
      <c r="F1165" s="3">
        <v>1</v>
      </c>
      <c r="G1165" s="6" t="s">
        <v>26</v>
      </c>
    </row>
    <row r="1166" spans="1:7" x14ac:dyDescent="0.3">
      <c r="A1166" s="2" t="s">
        <v>1475</v>
      </c>
      <c r="B1166" s="2" t="s">
        <v>1470</v>
      </c>
      <c r="C1166" s="6" t="s">
        <v>1471</v>
      </c>
      <c r="D1166" s="1">
        <v>45452</v>
      </c>
      <c r="E1166" s="4">
        <v>365.25</v>
      </c>
      <c r="F1166" s="3">
        <v>3</v>
      </c>
      <c r="G1166" s="6" t="s">
        <v>26</v>
      </c>
    </row>
    <row r="1167" spans="1:7" x14ac:dyDescent="0.3">
      <c r="A1167" s="2" t="s">
        <v>1476</v>
      </c>
      <c r="B1167" s="2" t="s">
        <v>1470</v>
      </c>
      <c r="C1167" s="6" t="s">
        <v>1471</v>
      </c>
      <c r="D1167" s="1">
        <v>45634</v>
      </c>
      <c r="E1167" s="4">
        <v>390.75</v>
      </c>
      <c r="F1167" s="3">
        <v>3</v>
      </c>
      <c r="G1167" s="6" t="s">
        <v>26</v>
      </c>
    </row>
    <row r="1168" spans="1:7" x14ac:dyDescent="0.3">
      <c r="A1168" s="2" t="s">
        <v>1477</v>
      </c>
      <c r="B1168" s="2" t="s">
        <v>1470</v>
      </c>
      <c r="C1168" s="6" t="s">
        <v>1471</v>
      </c>
      <c r="D1168" s="1">
        <v>45637</v>
      </c>
      <c r="E1168" s="4">
        <v>273.63</v>
      </c>
      <c r="F1168" s="3">
        <v>1</v>
      </c>
      <c r="G1168" s="6" t="s">
        <v>10</v>
      </c>
    </row>
    <row r="1169" spans="1:7" x14ac:dyDescent="0.3">
      <c r="A1169" s="2" t="s">
        <v>1478</v>
      </c>
      <c r="B1169" s="2" t="s">
        <v>1470</v>
      </c>
      <c r="C1169" s="6" t="s">
        <v>1471</v>
      </c>
      <c r="D1169" s="1">
        <v>45206</v>
      </c>
      <c r="E1169" s="4">
        <v>445.86</v>
      </c>
      <c r="F1169" s="3">
        <v>2</v>
      </c>
      <c r="G1169" s="6" t="s">
        <v>15</v>
      </c>
    </row>
    <row r="1170" spans="1:7" x14ac:dyDescent="0.3">
      <c r="A1170" s="2" t="s">
        <v>1479</v>
      </c>
      <c r="B1170" s="2" t="s">
        <v>1470</v>
      </c>
      <c r="C1170" s="6" t="s">
        <v>1471</v>
      </c>
      <c r="D1170" s="1">
        <v>45393</v>
      </c>
      <c r="E1170" s="4">
        <v>266.14999999999998</v>
      </c>
      <c r="F1170" s="3">
        <v>4</v>
      </c>
      <c r="G1170" s="6" t="s">
        <v>10</v>
      </c>
    </row>
    <row r="1171" spans="1:7" x14ac:dyDescent="0.3">
      <c r="A1171" s="2" t="s">
        <v>1480</v>
      </c>
      <c r="B1171" s="2" t="s">
        <v>1470</v>
      </c>
      <c r="C1171" s="6" t="s">
        <v>1471</v>
      </c>
      <c r="D1171" s="1">
        <v>45375</v>
      </c>
      <c r="E1171" s="4">
        <v>251.36</v>
      </c>
      <c r="F1171" s="3">
        <v>2</v>
      </c>
      <c r="G1171" s="6" t="s">
        <v>15</v>
      </c>
    </row>
    <row r="1172" spans="1:7" x14ac:dyDescent="0.3">
      <c r="A1172" s="2" t="s">
        <v>1481</v>
      </c>
      <c r="B1172" s="2" t="s">
        <v>1470</v>
      </c>
      <c r="C1172" s="6" t="s">
        <v>1471</v>
      </c>
      <c r="D1172" s="1">
        <v>45385</v>
      </c>
      <c r="E1172" s="4">
        <v>332.46</v>
      </c>
      <c r="F1172" s="3">
        <v>3</v>
      </c>
      <c r="G1172" s="6" t="s">
        <v>38</v>
      </c>
    </row>
    <row r="1173" spans="1:7" x14ac:dyDescent="0.3">
      <c r="A1173" s="2" t="s">
        <v>1482</v>
      </c>
      <c r="B1173" s="2" t="s">
        <v>1470</v>
      </c>
      <c r="C1173" s="6" t="s">
        <v>1471</v>
      </c>
      <c r="D1173" s="1">
        <v>45222</v>
      </c>
      <c r="E1173" s="4">
        <v>209.33</v>
      </c>
      <c r="F1173" s="3">
        <v>3</v>
      </c>
      <c r="G1173" s="6" t="s">
        <v>15</v>
      </c>
    </row>
    <row r="1174" spans="1:7" x14ac:dyDescent="0.3">
      <c r="A1174" s="2" t="s">
        <v>1483</v>
      </c>
      <c r="B1174" s="2" t="s">
        <v>1470</v>
      </c>
      <c r="C1174" s="6" t="s">
        <v>1471</v>
      </c>
      <c r="D1174" s="1">
        <v>45519</v>
      </c>
      <c r="E1174" s="4">
        <v>261.79000000000002</v>
      </c>
      <c r="F1174" s="3">
        <v>1</v>
      </c>
      <c r="G1174" s="6" t="s">
        <v>10</v>
      </c>
    </row>
    <row r="1175" spans="1:7" x14ac:dyDescent="0.3">
      <c r="A1175" s="2" t="s">
        <v>1484</v>
      </c>
      <c r="B1175" s="2" t="s">
        <v>1470</v>
      </c>
      <c r="C1175" s="6" t="s">
        <v>1471</v>
      </c>
      <c r="D1175" s="1">
        <v>45511</v>
      </c>
      <c r="E1175" s="4">
        <v>410.75</v>
      </c>
      <c r="F1175" s="3">
        <v>3</v>
      </c>
      <c r="G1175" s="6" t="s">
        <v>18</v>
      </c>
    </row>
    <row r="1176" spans="1:7" x14ac:dyDescent="0.3">
      <c r="A1176" s="2" t="s">
        <v>1485</v>
      </c>
      <c r="B1176" s="2" t="s">
        <v>1486</v>
      </c>
      <c r="C1176" s="6" t="s">
        <v>1487</v>
      </c>
      <c r="D1176" s="1">
        <v>45529</v>
      </c>
      <c r="E1176" s="4">
        <v>436.11</v>
      </c>
      <c r="F1176" s="3">
        <v>4</v>
      </c>
      <c r="G1176" s="6" t="s">
        <v>18</v>
      </c>
    </row>
    <row r="1177" spans="1:7" x14ac:dyDescent="0.3">
      <c r="A1177" s="2" t="s">
        <v>1488</v>
      </c>
      <c r="B1177" s="2" t="s">
        <v>1486</v>
      </c>
      <c r="C1177" s="6" t="s">
        <v>1487</v>
      </c>
      <c r="D1177" s="1">
        <v>45478</v>
      </c>
      <c r="E1177" s="4">
        <v>466.84</v>
      </c>
      <c r="F1177" s="3">
        <v>4</v>
      </c>
      <c r="G1177" s="6" t="s">
        <v>10</v>
      </c>
    </row>
    <row r="1178" spans="1:7" x14ac:dyDescent="0.3">
      <c r="A1178" s="2" t="s">
        <v>1489</v>
      </c>
      <c r="B1178" s="2" t="s">
        <v>1486</v>
      </c>
      <c r="C1178" s="6" t="s">
        <v>1487</v>
      </c>
      <c r="D1178" s="1">
        <v>45626</v>
      </c>
      <c r="E1178" s="4">
        <v>79.2</v>
      </c>
      <c r="F1178" s="3">
        <v>4</v>
      </c>
      <c r="G1178" s="6" t="s">
        <v>18</v>
      </c>
    </row>
    <row r="1179" spans="1:7" x14ac:dyDescent="0.3">
      <c r="A1179" s="2" t="s">
        <v>1490</v>
      </c>
      <c r="B1179" s="2" t="s">
        <v>1486</v>
      </c>
      <c r="C1179" s="6" t="s">
        <v>1487</v>
      </c>
      <c r="D1179" s="1">
        <v>45492</v>
      </c>
      <c r="E1179" s="4">
        <v>146.54</v>
      </c>
      <c r="F1179" s="3">
        <v>3</v>
      </c>
      <c r="G1179" s="6" t="s">
        <v>15</v>
      </c>
    </row>
    <row r="1180" spans="1:7" x14ac:dyDescent="0.3">
      <c r="A1180" s="2" t="s">
        <v>1491</v>
      </c>
      <c r="B1180" s="2" t="s">
        <v>1486</v>
      </c>
      <c r="C1180" s="6" t="s">
        <v>1487</v>
      </c>
      <c r="D1180" s="1">
        <v>45647</v>
      </c>
      <c r="E1180" s="4">
        <v>150</v>
      </c>
      <c r="F1180" s="3">
        <v>2</v>
      </c>
      <c r="G1180" s="6" t="s">
        <v>10</v>
      </c>
    </row>
    <row r="1181" spans="1:7" x14ac:dyDescent="0.3">
      <c r="A1181" s="2" t="s">
        <v>1492</v>
      </c>
      <c r="B1181" s="2" t="s">
        <v>1486</v>
      </c>
      <c r="C1181" s="6" t="s">
        <v>1487</v>
      </c>
      <c r="D1181" s="1">
        <v>45639</v>
      </c>
      <c r="E1181" s="4">
        <v>283.8</v>
      </c>
      <c r="F1181" s="3">
        <v>1</v>
      </c>
      <c r="G1181" s="6" t="s">
        <v>18</v>
      </c>
    </row>
    <row r="1182" spans="1:7" x14ac:dyDescent="0.3">
      <c r="A1182" s="2" t="s">
        <v>1493</v>
      </c>
      <c r="B1182" s="2" t="s">
        <v>1486</v>
      </c>
      <c r="C1182" s="6" t="s">
        <v>1487</v>
      </c>
      <c r="D1182" s="1">
        <v>45445</v>
      </c>
      <c r="E1182" s="4">
        <v>193.53</v>
      </c>
      <c r="F1182" s="3">
        <v>2</v>
      </c>
      <c r="G1182" s="6" t="s">
        <v>12</v>
      </c>
    </row>
    <row r="1183" spans="1:7" x14ac:dyDescent="0.3">
      <c r="A1183" s="2" t="s">
        <v>1494</v>
      </c>
      <c r="B1183" s="2" t="s">
        <v>1486</v>
      </c>
      <c r="C1183" s="6" t="s">
        <v>1487</v>
      </c>
      <c r="D1183" s="1">
        <v>45570</v>
      </c>
      <c r="E1183" s="4">
        <v>448.05</v>
      </c>
      <c r="F1183" s="3">
        <v>1</v>
      </c>
      <c r="G1183" s="6" t="s">
        <v>15</v>
      </c>
    </row>
    <row r="1184" spans="1:7" x14ac:dyDescent="0.3">
      <c r="A1184" s="2" t="s">
        <v>1495</v>
      </c>
      <c r="B1184" s="2" t="s">
        <v>1486</v>
      </c>
      <c r="C1184" s="6" t="s">
        <v>1487</v>
      </c>
      <c r="D1184" s="1">
        <v>45498</v>
      </c>
      <c r="E1184" s="4">
        <v>424.11</v>
      </c>
      <c r="F1184" s="3">
        <v>2</v>
      </c>
      <c r="G1184" s="6" t="s">
        <v>10</v>
      </c>
    </row>
    <row r="1185" spans="1:7" x14ac:dyDescent="0.3">
      <c r="A1185" s="2" t="s">
        <v>1496</v>
      </c>
      <c r="B1185" s="2" t="s">
        <v>1486</v>
      </c>
      <c r="C1185" s="6" t="s">
        <v>1487</v>
      </c>
      <c r="D1185" s="1">
        <v>45491</v>
      </c>
      <c r="E1185" s="4">
        <v>339.65</v>
      </c>
      <c r="F1185" s="3">
        <v>3</v>
      </c>
      <c r="G1185" s="6" t="s">
        <v>38</v>
      </c>
    </row>
    <row r="1186" spans="1:7" x14ac:dyDescent="0.3">
      <c r="A1186" s="2" t="s">
        <v>1497</v>
      </c>
      <c r="B1186" s="2" t="s">
        <v>1486</v>
      </c>
      <c r="C1186" s="6" t="s">
        <v>1487</v>
      </c>
      <c r="D1186" s="1">
        <v>45652</v>
      </c>
      <c r="E1186" s="4">
        <v>438.3</v>
      </c>
      <c r="F1186" s="3">
        <v>4</v>
      </c>
      <c r="G1186" s="6" t="s">
        <v>18</v>
      </c>
    </row>
    <row r="1187" spans="1:7" x14ac:dyDescent="0.3">
      <c r="A1187" s="2" t="s">
        <v>1498</v>
      </c>
      <c r="B1187" s="2" t="s">
        <v>1486</v>
      </c>
      <c r="C1187" s="6" t="s">
        <v>1487</v>
      </c>
      <c r="D1187" s="1">
        <v>45452</v>
      </c>
      <c r="E1187" s="4">
        <v>315.5</v>
      </c>
      <c r="F1187" s="3">
        <v>2</v>
      </c>
      <c r="G1187" s="6" t="s">
        <v>26</v>
      </c>
    </row>
    <row r="1188" spans="1:7" x14ac:dyDescent="0.3">
      <c r="A1188" s="2" t="s">
        <v>1499</v>
      </c>
      <c r="B1188" s="2" t="s">
        <v>1486</v>
      </c>
      <c r="C1188" s="6" t="s">
        <v>1487</v>
      </c>
      <c r="D1188" s="1">
        <v>45616</v>
      </c>
      <c r="E1188" s="4">
        <v>317.39</v>
      </c>
      <c r="F1188" s="3">
        <v>1</v>
      </c>
      <c r="G1188" s="6" t="s">
        <v>10</v>
      </c>
    </row>
    <row r="1189" spans="1:7" x14ac:dyDescent="0.3">
      <c r="A1189" s="2" t="s">
        <v>1500</v>
      </c>
      <c r="B1189" s="2" t="s">
        <v>1501</v>
      </c>
      <c r="C1189" s="6" t="s">
        <v>1502</v>
      </c>
      <c r="D1189" s="1">
        <v>45531</v>
      </c>
      <c r="E1189" s="4">
        <v>182.1</v>
      </c>
      <c r="F1189" s="3">
        <v>4</v>
      </c>
      <c r="G1189" s="6" t="s">
        <v>38</v>
      </c>
    </row>
    <row r="1190" spans="1:7" x14ac:dyDescent="0.3">
      <c r="A1190" s="2" t="s">
        <v>1503</v>
      </c>
      <c r="B1190" s="2" t="s">
        <v>1501</v>
      </c>
      <c r="C1190" s="6" t="s">
        <v>1502</v>
      </c>
      <c r="D1190" s="1">
        <v>45204</v>
      </c>
      <c r="E1190" s="4">
        <v>126.17</v>
      </c>
      <c r="F1190" s="3">
        <v>1</v>
      </c>
      <c r="G1190" s="6" t="s">
        <v>12</v>
      </c>
    </row>
    <row r="1191" spans="1:7" x14ac:dyDescent="0.3">
      <c r="A1191" s="2" t="s">
        <v>1504</v>
      </c>
      <c r="B1191" s="2" t="s">
        <v>1501</v>
      </c>
      <c r="C1191" s="6" t="s">
        <v>1502</v>
      </c>
      <c r="D1191" s="1">
        <v>45425</v>
      </c>
      <c r="E1191" s="4">
        <v>152.82</v>
      </c>
      <c r="F1191" s="3">
        <v>2</v>
      </c>
      <c r="G1191" s="6" t="s">
        <v>12</v>
      </c>
    </row>
    <row r="1192" spans="1:7" x14ac:dyDescent="0.3">
      <c r="A1192" s="2" t="s">
        <v>1505</v>
      </c>
      <c r="B1192" s="2" t="s">
        <v>1501</v>
      </c>
      <c r="C1192" s="6" t="s">
        <v>1502</v>
      </c>
      <c r="D1192" s="1">
        <v>45257</v>
      </c>
      <c r="E1192" s="4">
        <v>455.13</v>
      </c>
      <c r="F1192" s="3">
        <v>1</v>
      </c>
      <c r="G1192" s="6" t="s">
        <v>10</v>
      </c>
    </row>
    <row r="1193" spans="1:7" x14ac:dyDescent="0.3">
      <c r="A1193" s="2" t="s">
        <v>1506</v>
      </c>
      <c r="B1193" s="2" t="s">
        <v>1501</v>
      </c>
      <c r="C1193" s="6" t="s">
        <v>1502</v>
      </c>
      <c r="D1193" s="1">
        <v>45302</v>
      </c>
      <c r="E1193" s="4">
        <v>382.68</v>
      </c>
      <c r="F1193" s="3">
        <v>2</v>
      </c>
      <c r="G1193" s="6" t="s">
        <v>26</v>
      </c>
    </row>
    <row r="1194" spans="1:7" x14ac:dyDescent="0.3">
      <c r="A1194" s="2" t="s">
        <v>1507</v>
      </c>
      <c r="B1194" s="2" t="s">
        <v>1501</v>
      </c>
      <c r="C1194" s="6" t="s">
        <v>1502</v>
      </c>
      <c r="D1194" s="1">
        <v>45356</v>
      </c>
      <c r="E1194" s="4">
        <v>261.33</v>
      </c>
      <c r="F1194" s="3">
        <v>3</v>
      </c>
      <c r="G1194" s="6" t="s">
        <v>18</v>
      </c>
    </row>
    <row r="1195" spans="1:7" x14ac:dyDescent="0.3">
      <c r="A1195" s="2" t="s">
        <v>1508</v>
      </c>
      <c r="B1195" s="2" t="s">
        <v>1509</v>
      </c>
      <c r="C1195" s="6" t="s">
        <v>1510</v>
      </c>
      <c r="D1195" s="1">
        <v>45517</v>
      </c>
      <c r="E1195" s="4">
        <v>204.95</v>
      </c>
      <c r="F1195" s="3">
        <v>2</v>
      </c>
      <c r="G1195" s="6" t="s">
        <v>18</v>
      </c>
    </row>
    <row r="1196" spans="1:7" x14ac:dyDescent="0.3">
      <c r="A1196" s="2" t="s">
        <v>1511</v>
      </c>
      <c r="B1196" s="2" t="s">
        <v>1509</v>
      </c>
      <c r="C1196" s="6" t="s">
        <v>1510</v>
      </c>
      <c r="D1196" s="1">
        <v>45190</v>
      </c>
      <c r="E1196" s="4">
        <v>24.93</v>
      </c>
      <c r="F1196" s="3">
        <v>4</v>
      </c>
      <c r="G1196" s="6" t="s">
        <v>10</v>
      </c>
    </row>
    <row r="1197" spans="1:7" x14ac:dyDescent="0.3">
      <c r="A1197" s="2" t="s">
        <v>1512</v>
      </c>
      <c r="B1197" s="2" t="s">
        <v>1509</v>
      </c>
      <c r="C1197" s="6" t="s">
        <v>1510</v>
      </c>
      <c r="D1197" s="1">
        <v>45586</v>
      </c>
      <c r="E1197" s="4">
        <v>326.83</v>
      </c>
      <c r="F1197" s="3">
        <v>4</v>
      </c>
      <c r="G1197" s="6" t="s">
        <v>12</v>
      </c>
    </row>
    <row r="1198" spans="1:7" x14ac:dyDescent="0.3">
      <c r="A1198" s="2" t="s">
        <v>1513</v>
      </c>
      <c r="B1198" s="2" t="s">
        <v>1509</v>
      </c>
      <c r="C1198" s="6" t="s">
        <v>1510</v>
      </c>
      <c r="D1198" s="1">
        <v>45162</v>
      </c>
      <c r="E1198" s="4">
        <v>456.2</v>
      </c>
      <c r="F1198" s="3">
        <v>4</v>
      </c>
      <c r="G1198" s="6" t="s">
        <v>26</v>
      </c>
    </row>
    <row r="1199" spans="1:7" x14ac:dyDescent="0.3">
      <c r="A1199" s="2" t="s">
        <v>1514</v>
      </c>
      <c r="B1199" s="2" t="s">
        <v>1509</v>
      </c>
      <c r="C1199" s="6" t="s">
        <v>1510</v>
      </c>
      <c r="D1199" s="1">
        <v>45498</v>
      </c>
      <c r="E1199" s="4">
        <v>70.47</v>
      </c>
      <c r="F1199" s="3">
        <v>2</v>
      </c>
      <c r="G1199" s="6" t="s">
        <v>15</v>
      </c>
    </row>
    <row r="1200" spans="1:7" x14ac:dyDescent="0.3">
      <c r="A1200" s="2" t="s">
        <v>1515</v>
      </c>
      <c r="B1200" s="2" t="s">
        <v>1509</v>
      </c>
      <c r="C1200" s="6" t="s">
        <v>1510</v>
      </c>
      <c r="D1200" s="1">
        <v>45436</v>
      </c>
      <c r="E1200" s="4">
        <v>427.96</v>
      </c>
      <c r="F1200" s="3">
        <v>2</v>
      </c>
      <c r="G1200" s="6" t="s">
        <v>38</v>
      </c>
    </row>
    <row r="1201" spans="1:7" x14ac:dyDescent="0.3">
      <c r="A1201" s="2" t="s">
        <v>1516</v>
      </c>
      <c r="B1201" s="2" t="s">
        <v>1509</v>
      </c>
      <c r="C1201" s="6" t="s">
        <v>1510</v>
      </c>
      <c r="D1201" s="1">
        <v>45386</v>
      </c>
      <c r="E1201" s="4">
        <v>88.73</v>
      </c>
      <c r="F1201" s="3">
        <v>3</v>
      </c>
      <c r="G1201" s="6" t="s">
        <v>12</v>
      </c>
    </row>
    <row r="1202" spans="1:7" x14ac:dyDescent="0.3">
      <c r="A1202" s="2" t="s">
        <v>1517</v>
      </c>
      <c r="B1202" s="2" t="s">
        <v>1509</v>
      </c>
      <c r="C1202" s="6" t="s">
        <v>1510</v>
      </c>
      <c r="D1202" s="1">
        <v>45117</v>
      </c>
      <c r="E1202" s="4">
        <v>115.6</v>
      </c>
      <c r="F1202" s="3">
        <v>1</v>
      </c>
      <c r="G1202" s="6" t="s">
        <v>15</v>
      </c>
    </row>
    <row r="1203" spans="1:7" x14ac:dyDescent="0.3">
      <c r="A1203" s="2" t="s">
        <v>1518</v>
      </c>
      <c r="B1203" s="2" t="s">
        <v>1509</v>
      </c>
      <c r="C1203" s="6" t="s">
        <v>1510</v>
      </c>
      <c r="D1203" s="1">
        <v>45256</v>
      </c>
      <c r="E1203" s="4">
        <v>64.680000000000007</v>
      </c>
      <c r="F1203" s="3">
        <v>4</v>
      </c>
      <c r="G1203" s="6" t="s">
        <v>38</v>
      </c>
    </row>
    <row r="1204" spans="1:7" x14ac:dyDescent="0.3">
      <c r="A1204" s="2" t="s">
        <v>1519</v>
      </c>
      <c r="B1204" s="2" t="s">
        <v>1509</v>
      </c>
      <c r="C1204" s="6" t="s">
        <v>1510</v>
      </c>
      <c r="D1204" s="1">
        <v>45091</v>
      </c>
      <c r="E1204" s="4">
        <v>461.96</v>
      </c>
      <c r="F1204" s="3">
        <v>1</v>
      </c>
      <c r="G1204" s="6" t="s">
        <v>15</v>
      </c>
    </row>
    <row r="1205" spans="1:7" x14ac:dyDescent="0.3">
      <c r="A1205" s="2" t="s">
        <v>1520</v>
      </c>
      <c r="B1205" s="2" t="s">
        <v>1509</v>
      </c>
      <c r="C1205" s="6" t="s">
        <v>1510</v>
      </c>
      <c r="D1205" s="1">
        <v>45126</v>
      </c>
      <c r="E1205" s="4">
        <v>402.71</v>
      </c>
      <c r="F1205" s="3">
        <v>3</v>
      </c>
      <c r="G1205" s="6" t="s">
        <v>18</v>
      </c>
    </row>
    <row r="1206" spans="1:7" x14ac:dyDescent="0.3">
      <c r="A1206" s="2" t="s">
        <v>1521</v>
      </c>
      <c r="B1206" s="2" t="s">
        <v>1509</v>
      </c>
      <c r="C1206" s="6" t="s">
        <v>1510</v>
      </c>
      <c r="D1206" s="1">
        <v>45158</v>
      </c>
      <c r="E1206" s="4">
        <v>288.55</v>
      </c>
      <c r="F1206" s="3">
        <v>1</v>
      </c>
      <c r="G1206" s="6" t="s">
        <v>38</v>
      </c>
    </row>
    <row r="1207" spans="1:7" x14ac:dyDescent="0.3">
      <c r="A1207" s="2" t="s">
        <v>1522</v>
      </c>
      <c r="B1207" s="2" t="s">
        <v>1509</v>
      </c>
      <c r="C1207" s="6" t="s">
        <v>1510</v>
      </c>
      <c r="D1207" s="1">
        <v>45435</v>
      </c>
      <c r="E1207" s="4">
        <v>282.66000000000003</v>
      </c>
      <c r="F1207" s="3">
        <v>1</v>
      </c>
      <c r="G1207" s="6" t="s">
        <v>10</v>
      </c>
    </row>
    <row r="1208" spans="1:7" x14ac:dyDescent="0.3">
      <c r="A1208" s="2" t="s">
        <v>1523</v>
      </c>
      <c r="B1208" s="2" t="s">
        <v>1524</v>
      </c>
      <c r="C1208" s="6" t="s">
        <v>1525</v>
      </c>
      <c r="D1208" s="1">
        <v>45276</v>
      </c>
      <c r="E1208" s="4">
        <v>199.79</v>
      </c>
      <c r="F1208" s="3">
        <v>2</v>
      </c>
      <c r="G1208" s="6" t="s">
        <v>26</v>
      </c>
    </row>
    <row r="1209" spans="1:7" x14ac:dyDescent="0.3">
      <c r="A1209" s="2" t="s">
        <v>1526</v>
      </c>
      <c r="B1209" s="2" t="s">
        <v>1524</v>
      </c>
      <c r="C1209" s="6" t="s">
        <v>1525</v>
      </c>
      <c r="D1209" s="1">
        <v>45641</v>
      </c>
      <c r="E1209" s="4">
        <v>377.22</v>
      </c>
      <c r="F1209" s="3">
        <v>2</v>
      </c>
      <c r="G1209" s="6" t="s">
        <v>12</v>
      </c>
    </row>
    <row r="1210" spans="1:7" x14ac:dyDescent="0.3">
      <c r="A1210" s="2" t="s">
        <v>1527</v>
      </c>
      <c r="B1210" s="2" t="s">
        <v>1524</v>
      </c>
      <c r="C1210" s="6" t="s">
        <v>1525</v>
      </c>
      <c r="D1210" s="1">
        <v>45420</v>
      </c>
      <c r="E1210" s="4">
        <v>389.87</v>
      </c>
      <c r="F1210" s="3">
        <v>3</v>
      </c>
      <c r="G1210" s="6" t="s">
        <v>12</v>
      </c>
    </row>
    <row r="1211" spans="1:7" x14ac:dyDescent="0.3">
      <c r="A1211" s="2" t="s">
        <v>1528</v>
      </c>
      <c r="B1211" s="2" t="s">
        <v>1524</v>
      </c>
      <c r="C1211" s="6" t="s">
        <v>1525</v>
      </c>
      <c r="D1211" s="1">
        <v>45359</v>
      </c>
      <c r="E1211" s="4">
        <v>153.33000000000001</v>
      </c>
      <c r="F1211" s="3">
        <v>3</v>
      </c>
      <c r="G1211" s="6" t="s">
        <v>10</v>
      </c>
    </row>
    <row r="1212" spans="1:7" x14ac:dyDescent="0.3">
      <c r="A1212" s="2" t="s">
        <v>1529</v>
      </c>
      <c r="B1212" s="2" t="s">
        <v>1524</v>
      </c>
      <c r="C1212" s="6" t="s">
        <v>1525</v>
      </c>
      <c r="D1212" s="1">
        <v>45283</v>
      </c>
      <c r="E1212" s="4">
        <v>30.33</v>
      </c>
      <c r="F1212" s="3">
        <v>3</v>
      </c>
      <c r="G1212" s="6" t="s">
        <v>15</v>
      </c>
    </row>
    <row r="1213" spans="1:7" x14ac:dyDescent="0.3">
      <c r="A1213" s="2" t="s">
        <v>1530</v>
      </c>
      <c r="B1213" s="2" t="s">
        <v>1524</v>
      </c>
      <c r="C1213" s="6" t="s">
        <v>1525</v>
      </c>
      <c r="D1213" s="1">
        <v>45493</v>
      </c>
      <c r="E1213" s="4">
        <v>330.16</v>
      </c>
      <c r="F1213" s="3">
        <v>4</v>
      </c>
      <c r="G1213" s="6" t="s">
        <v>18</v>
      </c>
    </row>
    <row r="1214" spans="1:7" x14ac:dyDescent="0.3">
      <c r="A1214" s="2" t="s">
        <v>1531</v>
      </c>
      <c r="B1214" s="2" t="s">
        <v>1524</v>
      </c>
      <c r="C1214" s="6" t="s">
        <v>1525</v>
      </c>
      <c r="D1214" s="1">
        <v>45258</v>
      </c>
      <c r="E1214" s="4">
        <v>474.11</v>
      </c>
      <c r="F1214" s="3">
        <v>4</v>
      </c>
      <c r="G1214" s="6" t="s">
        <v>12</v>
      </c>
    </row>
    <row r="1215" spans="1:7" x14ac:dyDescent="0.3">
      <c r="A1215" s="2" t="s">
        <v>1532</v>
      </c>
      <c r="B1215" s="2" t="s">
        <v>1524</v>
      </c>
      <c r="C1215" s="6" t="s">
        <v>1525</v>
      </c>
      <c r="D1215" s="1">
        <v>45288</v>
      </c>
      <c r="E1215" s="4">
        <v>181.7</v>
      </c>
      <c r="F1215" s="3">
        <v>3</v>
      </c>
      <c r="G1215" s="6" t="s">
        <v>38</v>
      </c>
    </row>
    <row r="1216" spans="1:7" x14ac:dyDescent="0.3">
      <c r="A1216" s="2" t="s">
        <v>1533</v>
      </c>
      <c r="B1216" s="2" t="s">
        <v>1534</v>
      </c>
      <c r="C1216" s="6" t="s">
        <v>1535</v>
      </c>
      <c r="D1216" s="1">
        <v>45582</v>
      </c>
      <c r="E1216" s="4">
        <v>15.04</v>
      </c>
      <c r="F1216" s="3">
        <v>1</v>
      </c>
      <c r="G1216" s="6" t="s">
        <v>38</v>
      </c>
    </row>
    <row r="1217" spans="1:7" x14ac:dyDescent="0.3">
      <c r="A1217" s="2" t="s">
        <v>1536</v>
      </c>
      <c r="B1217" s="2" t="s">
        <v>1534</v>
      </c>
      <c r="C1217" s="6" t="s">
        <v>1535</v>
      </c>
      <c r="D1217" s="1">
        <v>45629</v>
      </c>
      <c r="E1217" s="4">
        <v>495.15</v>
      </c>
      <c r="F1217" s="3">
        <v>4</v>
      </c>
      <c r="G1217" s="6" t="s">
        <v>26</v>
      </c>
    </row>
    <row r="1218" spans="1:7" x14ac:dyDescent="0.3">
      <c r="A1218" s="2" t="s">
        <v>1537</v>
      </c>
      <c r="B1218" s="2" t="s">
        <v>1534</v>
      </c>
      <c r="C1218" s="6" t="s">
        <v>1535</v>
      </c>
      <c r="D1218" s="1">
        <v>45625</v>
      </c>
      <c r="E1218" s="4">
        <v>226.97</v>
      </c>
      <c r="F1218" s="3">
        <v>2</v>
      </c>
      <c r="G1218" s="6" t="s">
        <v>38</v>
      </c>
    </row>
    <row r="1219" spans="1:7" x14ac:dyDescent="0.3">
      <c r="A1219" s="2" t="s">
        <v>1538</v>
      </c>
      <c r="B1219" s="2" t="s">
        <v>1534</v>
      </c>
      <c r="C1219" s="6" t="s">
        <v>1535</v>
      </c>
      <c r="D1219" s="1">
        <v>45651</v>
      </c>
      <c r="E1219" s="4">
        <v>495.93</v>
      </c>
      <c r="F1219" s="3">
        <v>3</v>
      </c>
      <c r="G1219" s="6" t="s">
        <v>38</v>
      </c>
    </row>
    <row r="1220" spans="1:7" x14ac:dyDescent="0.3">
      <c r="A1220" s="2" t="s">
        <v>1539</v>
      </c>
      <c r="B1220" s="2" t="s">
        <v>1540</v>
      </c>
      <c r="C1220" s="6" t="s">
        <v>1541</v>
      </c>
      <c r="D1220" s="1">
        <v>45363</v>
      </c>
      <c r="E1220" s="4">
        <v>231.88</v>
      </c>
      <c r="F1220" s="3">
        <v>4</v>
      </c>
      <c r="G1220" s="6" t="s">
        <v>18</v>
      </c>
    </row>
    <row r="1221" spans="1:7" x14ac:dyDescent="0.3">
      <c r="A1221" s="2" t="s">
        <v>1542</v>
      </c>
      <c r="B1221" s="2" t="s">
        <v>1540</v>
      </c>
      <c r="C1221" s="6" t="s">
        <v>1541</v>
      </c>
      <c r="D1221" s="1">
        <v>45566</v>
      </c>
      <c r="E1221" s="4">
        <v>55.26</v>
      </c>
      <c r="F1221" s="3">
        <v>3</v>
      </c>
      <c r="G1221" s="6" t="s">
        <v>15</v>
      </c>
    </row>
    <row r="1222" spans="1:7" x14ac:dyDescent="0.3">
      <c r="A1222" s="2" t="s">
        <v>1543</v>
      </c>
      <c r="B1222" s="2" t="s">
        <v>1540</v>
      </c>
      <c r="C1222" s="6" t="s">
        <v>1541</v>
      </c>
      <c r="D1222" s="1">
        <v>45627</v>
      </c>
      <c r="E1222" s="4">
        <v>177.3</v>
      </c>
      <c r="F1222" s="3">
        <v>1</v>
      </c>
      <c r="G1222" s="6" t="s">
        <v>10</v>
      </c>
    </row>
    <row r="1223" spans="1:7" x14ac:dyDescent="0.3">
      <c r="A1223" s="2" t="s">
        <v>1544</v>
      </c>
      <c r="B1223" s="2" t="s">
        <v>1540</v>
      </c>
      <c r="C1223" s="6" t="s">
        <v>1541</v>
      </c>
      <c r="D1223" s="1">
        <v>45445</v>
      </c>
      <c r="E1223" s="4">
        <v>102.8</v>
      </c>
      <c r="F1223" s="3">
        <v>2</v>
      </c>
      <c r="G1223" s="6" t="s">
        <v>18</v>
      </c>
    </row>
    <row r="1224" spans="1:7" x14ac:dyDescent="0.3">
      <c r="A1224" s="2" t="s">
        <v>1545</v>
      </c>
      <c r="B1224" s="2" t="s">
        <v>1540</v>
      </c>
      <c r="C1224" s="6" t="s">
        <v>1541</v>
      </c>
      <c r="D1224" s="1">
        <v>45645</v>
      </c>
      <c r="E1224" s="4">
        <v>453.34</v>
      </c>
      <c r="F1224" s="3">
        <v>4</v>
      </c>
      <c r="G1224" s="6" t="s">
        <v>15</v>
      </c>
    </row>
    <row r="1225" spans="1:7" x14ac:dyDescent="0.3">
      <c r="A1225" s="2" t="s">
        <v>1546</v>
      </c>
      <c r="B1225" s="2" t="s">
        <v>1540</v>
      </c>
      <c r="C1225" s="6" t="s">
        <v>1541</v>
      </c>
      <c r="D1225" s="1">
        <v>45515</v>
      </c>
      <c r="E1225" s="4">
        <v>293.17</v>
      </c>
      <c r="F1225" s="3">
        <v>4</v>
      </c>
      <c r="G1225" s="6" t="s">
        <v>12</v>
      </c>
    </row>
    <row r="1226" spans="1:7" x14ac:dyDescent="0.3">
      <c r="A1226" s="2" t="s">
        <v>1547</v>
      </c>
      <c r="B1226" s="2" t="s">
        <v>1540</v>
      </c>
      <c r="C1226" s="6" t="s">
        <v>1541</v>
      </c>
      <c r="D1226" s="1">
        <v>45160</v>
      </c>
      <c r="E1226" s="4">
        <v>66.25</v>
      </c>
      <c r="F1226" s="3">
        <v>4</v>
      </c>
      <c r="G1226" s="6" t="s">
        <v>12</v>
      </c>
    </row>
    <row r="1227" spans="1:7" x14ac:dyDescent="0.3">
      <c r="A1227" s="2" t="s">
        <v>1548</v>
      </c>
      <c r="B1227" s="2" t="s">
        <v>1540</v>
      </c>
      <c r="C1227" s="6" t="s">
        <v>1541</v>
      </c>
      <c r="D1227" s="1">
        <v>45268</v>
      </c>
      <c r="E1227" s="4">
        <v>13.37</v>
      </c>
      <c r="F1227" s="3">
        <v>1</v>
      </c>
      <c r="G1227" s="6" t="s">
        <v>15</v>
      </c>
    </row>
    <row r="1228" spans="1:7" x14ac:dyDescent="0.3">
      <c r="A1228" s="2" t="s">
        <v>1549</v>
      </c>
      <c r="B1228" s="2" t="s">
        <v>1540</v>
      </c>
      <c r="C1228" s="6" t="s">
        <v>1541</v>
      </c>
      <c r="D1228" s="1">
        <v>45336</v>
      </c>
      <c r="E1228" s="4">
        <v>132.22999999999999</v>
      </c>
      <c r="F1228" s="3">
        <v>3</v>
      </c>
      <c r="G1228" s="6" t="s">
        <v>26</v>
      </c>
    </row>
    <row r="1229" spans="1:7" x14ac:dyDescent="0.3">
      <c r="A1229" s="2" t="s">
        <v>1550</v>
      </c>
      <c r="B1229" s="2" t="s">
        <v>1540</v>
      </c>
      <c r="C1229" s="6" t="s">
        <v>1541</v>
      </c>
      <c r="D1229" s="1">
        <v>45506</v>
      </c>
      <c r="E1229" s="4">
        <v>184.82</v>
      </c>
      <c r="F1229" s="3">
        <v>3</v>
      </c>
      <c r="G1229" s="6" t="s">
        <v>15</v>
      </c>
    </row>
    <row r="1230" spans="1:7" x14ac:dyDescent="0.3">
      <c r="A1230" s="2" t="s">
        <v>1551</v>
      </c>
      <c r="B1230" s="2" t="s">
        <v>1540</v>
      </c>
      <c r="C1230" s="6" t="s">
        <v>1541</v>
      </c>
      <c r="D1230" s="1">
        <v>45287</v>
      </c>
      <c r="E1230" s="4">
        <v>163.80000000000001</v>
      </c>
      <c r="F1230" s="3">
        <v>2</v>
      </c>
      <c r="G1230" s="6" t="s">
        <v>38</v>
      </c>
    </row>
    <row r="1231" spans="1:7" x14ac:dyDescent="0.3">
      <c r="A1231" s="2" t="s">
        <v>1552</v>
      </c>
      <c r="B1231" s="2" t="s">
        <v>1540</v>
      </c>
      <c r="C1231" s="6" t="s">
        <v>1541</v>
      </c>
      <c r="D1231" s="1">
        <v>45244</v>
      </c>
      <c r="E1231" s="4">
        <v>367.56</v>
      </c>
      <c r="F1231" s="3">
        <v>2</v>
      </c>
      <c r="G1231" s="6" t="s">
        <v>12</v>
      </c>
    </row>
    <row r="1232" spans="1:7" x14ac:dyDescent="0.3">
      <c r="A1232" s="2" t="s">
        <v>1553</v>
      </c>
      <c r="B1232" s="2" t="s">
        <v>1554</v>
      </c>
      <c r="C1232" s="6" t="s">
        <v>1555</v>
      </c>
      <c r="D1232" s="1">
        <v>45310</v>
      </c>
      <c r="E1232" s="4">
        <v>68.75</v>
      </c>
      <c r="F1232" s="3">
        <v>1</v>
      </c>
      <c r="G1232" s="6" t="s">
        <v>18</v>
      </c>
    </row>
    <row r="1233" spans="1:7" x14ac:dyDescent="0.3">
      <c r="A1233" s="2" t="s">
        <v>1556</v>
      </c>
      <c r="B1233" s="2" t="s">
        <v>1554</v>
      </c>
      <c r="C1233" s="6" t="s">
        <v>1555</v>
      </c>
      <c r="D1233" s="1">
        <v>45566</v>
      </c>
      <c r="E1233" s="4">
        <v>151.09</v>
      </c>
      <c r="F1233" s="3">
        <v>2</v>
      </c>
      <c r="G1233" s="6" t="s">
        <v>26</v>
      </c>
    </row>
    <row r="1234" spans="1:7" x14ac:dyDescent="0.3">
      <c r="A1234" s="2" t="s">
        <v>1557</v>
      </c>
      <c r="B1234" s="2" t="s">
        <v>1554</v>
      </c>
      <c r="C1234" s="6" t="s">
        <v>1555</v>
      </c>
      <c r="D1234" s="1">
        <v>45560</v>
      </c>
      <c r="E1234" s="4">
        <v>302.08</v>
      </c>
      <c r="F1234" s="3">
        <v>1</v>
      </c>
      <c r="G1234" s="6" t="s">
        <v>18</v>
      </c>
    </row>
    <row r="1235" spans="1:7" x14ac:dyDescent="0.3">
      <c r="A1235" s="2" t="s">
        <v>1558</v>
      </c>
      <c r="B1235" s="2" t="s">
        <v>1554</v>
      </c>
      <c r="C1235" s="6" t="s">
        <v>1555</v>
      </c>
      <c r="D1235" s="1">
        <v>45471</v>
      </c>
      <c r="E1235" s="4">
        <v>295.97000000000003</v>
      </c>
      <c r="F1235" s="3">
        <v>1</v>
      </c>
      <c r="G1235" s="6" t="s">
        <v>26</v>
      </c>
    </row>
    <row r="1236" spans="1:7" x14ac:dyDescent="0.3">
      <c r="A1236" s="2" t="s">
        <v>1559</v>
      </c>
      <c r="B1236" s="2" t="s">
        <v>1554</v>
      </c>
      <c r="C1236" s="6" t="s">
        <v>1555</v>
      </c>
      <c r="D1236" s="1">
        <v>45264</v>
      </c>
      <c r="E1236" s="4">
        <v>452.18</v>
      </c>
      <c r="F1236" s="3">
        <v>3</v>
      </c>
      <c r="G1236" s="6" t="s">
        <v>15</v>
      </c>
    </row>
    <row r="1237" spans="1:7" x14ac:dyDescent="0.3">
      <c r="A1237" s="2" t="s">
        <v>1560</v>
      </c>
      <c r="B1237" s="2" t="s">
        <v>1561</v>
      </c>
      <c r="C1237" s="6" t="s">
        <v>1562</v>
      </c>
      <c r="D1237" s="1">
        <v>45554</v>
      </c>
      <c r="E1237" s="4">
        <v>61.87</v>
      </c>
      <c r="F1237" s="3">
        <v>2</v>
      </c>
      <c r="G1237" s="6" t="s">
        <v>12</v>
      </c>
    </row>
    <row r="1238" spans="1:7" x14ac:dyDescent="0.3">
      <c r="A1238" s="2" t="s">
        <v>1563</v>
      </c>
      <c r="B1238" s="2" t="s">
        <v>1561</v>
      </c>
      <c r="C1238" s="6" t="s">
        <v>1562</v>
      </c>
      <c r="D1238" s="1">
        <v>45640</v>
      </c>
      <c r="E1238" s="4">
        <v>331.94</v>
      </c>
      <c r="F1238" s="3">
        <v>4</v>
      </c>
      <c r="G1238" s="6" t="s">
        <v>12</v>
      </c>
    </row>
    <row r="1239" spans="1:7" x14ac:dyDescent="0.3">
      <c r="A1239" s="2" t="s">
        <v>1564</v>
      </c>
      <c r="B1239" s="2" t="s">
        <v>1561</v>
      </c>
      <c r="C1239" s="6" t="s">
        <v>1562</v>
      </c>
      <c r="D1239" s="1">
        <v>45650</v>
      </c>
      <c r="E1239" s="4">
        <v>284.68</v>
      </c>
      <c r="F1239" s="3">
        <v>1</v>
      </c>
      <c r="G1239" s="6" t="s">
        <v>15</v>
      </c>
    </row>
    <row r="1240" spans="1:7" x14ac:dyDescent="0.3">
      <c r="A1240" s="2" t="s">
        <v>1565</v>
      </c>
      <c r="B1240" s="2" t="s">
        <v>1561</v>
      </c>
      <c r="C1240" s="6" t="s">
        <v>1562</v>
      </c>
      <c r="D1240" s="1">
        <v>45608</v>
      </c>
      <c r="E1240" s="4">
        <v>415.01</v>
      </c>
      <c r="F1240" s="3">
        <v>4</v>
      </c>
      <c r="G1240" s="6" t="s">
        <v>10</v>
      </c>
    </row>
    <row r="1241" spans="1:7" x14ac:dyDescent="0.3">
      <c r="A1241" s="2" t="s">
        <v>1566</v>
      </c>
      <c r="B1241" s="2" t="s">
        <v>1561</v>
      </c>
      <c r="C1241" s="6" t="s">
        <v>1562</v>
      </c>
      <c r="D1241" s="1">
        <v>45541</v>
      </c>
      <c r="E1241" s="4">
        <v>58.38</v>
      </c>
      <c r="F1241" s="3">
        <v>3</v>
      </c>
      <c r="G1241" s="6" t="s">
        <v>10</v>
      </c>
    </row>
    <row r="1242" spans="1:7" x14ac:dyDescent="0.3">
      <c r="A1242" s="2" t="s">
        <v>1567</v>
      </c>
      <c r="B1242" s="2" t="s">
        <v>1561</v>
      </c>
      <c r="C1242" s="6" t="s">
        <v>1562</v>
      </c>
      <c r="D1242" s="1">
        <v>45573</v>
      </c>
      <c r="E1242" s="4">
        <v>68.17</v>
      </c>
      <c r="F1242" s="3">
        <v>2</v>
      </c>
      <c r="G1242" s="6" t="s">
        <v>10</v>
      </c>
    </row>
    <row r="1243" spans="1:7" x14ac:dyDescent="0.3">
      <c r="A1243" s="2" t="s">
        <v>1568</v>
      </c>
      <c r="B1243" s="2" t="s">
        <v>1561</v>
      </c>
      <c r="C1243" s="6" t="s">
        <v>1562</v>
      </c>
      <c r="D1243" s="1">
        <v>45629</v>
      </c>
      <c r="E1243" s="4">
        <v>120.87</v>
      </c>
      <c r="F1243" s="3">
        <v>4</v>
      </c>
      <c r="G1243" s="6" t="s">
        <v>12</v>
      </c>
    </row>
    <row r="1244" spans="1:7" x14ac:dyDescent="0.3">
      <c r="A1244" s="2" t="s">
        <v>1569</v>
      </c>
      <c r="B1244" s="2" t="s">
        <v>1570</v>
      </c>
      <c r="C1244" s="6" t="s">
        <v>1571</v>
      </c>
      <c r="D1244" s="1">
        <v>45538</v>
      </c>
      <c r="E1244" s="4">
        <v>25.9</v>
      </c>
      <c r="F1244" s="3">
        <v>3</v>
      </c>
      <c r="G1244" s="6" t="s">
        <v>18</v>
      </c>
    </row>
    <row r="1245" spans="1:7" x14ac:dyDescent="0.3">
      <c r="A1245" s="2" t="s">
        <v>1572</v>
      </c>
      <c r="B1245" s="2" t="s">
        <v>1570</v>
      </c>
      <c r="C1245" s="6" t="s">
        <v>1571</v>
      </c>
      <c r="D1245" s="1">
        <v>45654</v>
      </c>
      <c r="E1245" s="4">
        <v>119.3</v>
      </c>
      <c r="F1245" s="3">
        <v>1</v>
      </c>
      <c r="G1245" s="6" t="s">
        <v>26</v>
      </c>
    </row>
    <row r="1246" spans="1:7" x14ac:dyDescent="0.3">
      <c r="A1246" s="2" t="s">
        <v>1573</v>
      </c>
      <c r="B1246" s="2" t="s">
        <v>1574</v>
      </c>
      <c r="C1246" s="6" t="s">
        <v>1575</v>
      </c>
      <c r="D1246" s="1">
        <v>45563</v>
      </c>
      <c r="E1246" s="4">
        <v>411.18</v>
      </c>
      <c r="F1246" s="3">
        <v>2</v>
      </c>
      <c r="G1246" s="6" t="s">
        <v>26</v>
      </c>
    </row>
    <row r="1247" spans="1:7" x14ac:dyDescent="0.3">
      <c r="A1247" s="2" t="s">
        <v>1576</v>
      </c>
      <c r="B1247" s="2" t="s">
        <v>1574</v>
      </c>
      <c r="C1247" s="6" t="s">
        <v>1575</v>
      </c>
      <c r="D1247" s="1">
        <v>45639</v>
      </c>
      <c r="E1247" s="4">
        <v>25.57</v>
      </c>
      <c r="F1247" s="3">
        <v>1</v>
      </c>
      <c r="G1247" s="6" t="s">
        <v>26</v>
      </c>
    </row>
    <row r="1248" spans="1:7" x14ac:dyDescent="0.3">
      <c r="A1248" s="2" t="s">
        <v>1577</v>
      </c>
      <c r="B1248" s="2" t="s">
        <v>1574</v>
      </c>
      <c r="C1248" s="6" t="s">
        <v>1575</v>
      </c>
      <c r="D1248" s="1">
        <v>45366</v>
      </c>
      <c r="E1248" s="4">
        <v>180.28</v>
      </c>
      <c r="F1248" s="3">
        <v>1</v>
      </c>
      <c r="G1248" s="6" t="s">
        <v>15</v>
      </c>
    </row>
    <row r="1249" spans="1:7" x14ac:dyDescent="0.3">
      <c r="A1249" s="2" t="s">
        <v>1578</v>
      </c>
      <c r="B1249" s="2" t="s">
        <v>1574</v>
      </c>
      <c r="C1249" s="6" t="s">
        <v>1575</v>
      </c>
      <c r="D1249" s="1">
        <v>45258</v>
      </c>
      <c r="E1249" s="4">
        <v>266.56</v>
      </c>
      <c r="F1249" s="3">
        <v>4</v>
      </c>
      <c r="G1249" s="6" t="s">
        <v>18</v>
      </c>
    </row>
    <row r="1250" spans="1:7" x14ac:dyDescent="0.3">
      <c r="A1250" s="2" t="s">
        <v>1579</v>
      </c>
      <c r="B1250" s="2" t="s">
        <v>1574</v>
      </c>
      <c r="C1250" s="6" t="s">
        <v>1575</v>
      </c>
      <c r="D1250" s="1">
        <v>45283</v>
      </c>
      <c r="E1250" s="4">
        <v>310.85000000000002</v>
      </c>
      <c r="F1250" s="3">
        <v>1</v>
      </c>
      <c r="G1250" s="6" t="s">
        <v>38</v>
      </c>
    </row>
    <row r="1251" spans="1:7" x14ac:dyDescent="0.3">
      <c r="A1251" s="2" t="s">
        <v>1580</v>
      </c>
      <c r="B1251" s="2" t="s">
        <v>1574</v>
      </c>
      <c r="C1251" s="6" t="s">
        <v>1575</v>
      </c>
      <c r="D1251" s="1">
        <v>45373</v>
      </c>
      <c r="E1251" s="4">
        <v>347.49</v>
      </c>
      <c r="F1251" s="3">
        <v>1</v>
      </c>
      <c r="G1251" s="6" t="s">
        <v>26</v>
      </c>
    </row>
    <row r="1252" spans="1:7" x14ac:dyDescent="0.3">
      <c r="A1252" s="2" t="s">
        <v>1581</v>
      </c>
      <c r="B1252" s="2" t="s">
        <v>1574</v>
      </c>
      <c r="C1252" s="6" t="s">
        <v>1575</v>
      </c>
      <c r="D1252" s="1">
        <v>45517</v>
      </c>
      <c r="E1252" s="4">
        <v>412.14</v>
      </c>
      <c r="F1252" s="3">
        <v>3</v>
      </c>
      <c r="G1252" s="6" t="s">
        <v>18</v>
      </c>
    </row>
    <row r="1253" spans="1:7" x14ac:dyDescent="0.3">
      <c r="A1253" s="2" t="s">
        <v>1582</v>
      </c>
      <c r="B1253" s="2" t="s">
        <v>1574</v>
      </c>
      <c r="C1253" s="6" t="s">
        <v>1575</v>
      </c>
      <c r="D1253" s="1">
        <v>45390</v>
      </c>
      <c r="E1253" s="4">
        <v>187.65</v>
      </c>
      <c r="F1253" s="3">
        <v>1</v>
      </c>
      <c r="G1253" s="6" t="s">
        <v>38</v>
      </c>
    </row>
    <row r="1254" spans="1:7" x14ac:dyDescent="0.3">
      <c r="A1254" s="2" t="s">
        <v>1583</v>
      </c>
      <c r="B1254" s="2" t="s">
        <v>1574</v>
      </c>
      <c r="C1254" s="6" t="s">
        <v>1575</v>
      </c>
      <c r="D1254" s="1">
        <v>45272</v>
      </c>
      <c r="E1254" s="4">
        <v>86.46</v>
      </c>
      <c r="F1254" s="3">
        <v>1</v>
      </c>
      <c r="G1254" s="6" t="s">
        <v>18</v>
      </c>
    </row>
    <row r="1255" spans="1:7" x14ac:dyDescent="0.3">
      <c r="A1255" s="2" t="s">
        <v>1584</v>
      </c>
      <c r="B1255" s="2" t="s">
        <v>1574</v>
      </c>
      <c r="C1255" s="6" t="s">
        <v>1575</v>
      </c>
      <c r="D1255" s="1">
        <v>45260</v>
      </c>
      <c r="E1255" s="4">
        <v>457.32</v>
      </c>
      <c r="F1255" s="3">
        <v>2</v>
      </c>
      <c r="G1255" s="6" t="s">
        <v>12</v>
      </c>
    </row>
    <row r="1256" spans="1:7" x14ac:dyDescent="0.3">
      <c r="A1256" s="2" t="s">
        <v>1585</v>
      </c>
      <c r="B1256" s="2" t="s">
        <v>1574</v>
      </c>
      <c r="C1256" s="6" t="s">
        <v>1575</v>
      </c>
      <c r="D1256" s="1">
        <v>45196</v>
      </c>
      <c r="E1256" s="4">
        <v>196.69</v>
      </c>
      <c r="F1256" s="3">
        <v>3</v>
      </c>
      <c r="G1256" s="6" t="s">
        <v>10</v>
      </c>
    </row>
    <row r="1257" spans="1:7" x14ac:dyDescent="0.3">
      <c r="A1257" s="2" t="s">
        <v>1586</v>
      </c>
      <c r="B1257" s="2" t="s">
        <v>1587</v>
      </c>
      <c r="C1257" s="6" t="s">
        <v>1588</v>
      </c>
      <c r="D1257" s="1">
        <v>45387</v>
      </c>
      <c r="E1257" s="4">
        <v>234.97</v>
      </c>
      <c r="F1257" s="3">
        <v>4</v>
      </c>
      <c r="G1257" s="6" t="s">
        <v>10</v>
      </c>
    </row>
    <row r="1258" spans="1:7" x14ac:dyDescent="0.3">
      <c r="A1258" s="2" t="s">
        <v>1589</v>
      </c>
      <c r="B1258" s="2" t="s">
        <v>1587</v>
      </c>
      <c r="C1258" s="6" t="s">
        <v>1588</v>
      </c>
      <c r="D1258" s="1">
        <v>45178</v>
      </c>
      <c r="E1258" s="4">
        <v>68.14</v>
      </c>
      <c r="F1258" s="3">
        <v>2</v>
      </c>
      <c r="G1258" s="6" t="s">
        <v>18</v>
      </c>
    </row>
    <row r="1259" spans="1:7" x14ac:dyDescent="0.3">
      <c r="A1259" s="2" t="s">
        <v>1590</v>
      </c>
      <c r="B1259" s="2" t="s">
        <v>1587</v>
      </c>
      <c r="C1259" s="6" t="s">
        <v>1588</v>
      </c>
      <c r="D1259" s="1">
        <v>45525</v>
      </c>
      <c r="E1259" s="4">
        <v>270.47000000000003</v>
      </c>
      <c r="F1259" s="3">
        <v>3</v>
      </c>
      <c r="G1259" s="6" t="s">
        <v>26</v>
      </c>
    </row>
    <row r="1260" spans="1:7" x14ac:dyDescent="0.3">
      <c r="A1260" s="2" t="s">
        <v>1591</v>
      </c>
      <c r="B1260" s="2" t="s">
        <v>1587</v>
      </c>
      <c r="C1260" s="6" t="s">
        <v>1588</v>
      </c>
      <c r="D1260" s="1">
        <v>45123</v>
      </c>
      <c r="E1260" s="4">
        <v>162.78</v>
      </c>
      <c r="F1260" s="3">
        <v>2</v>
      </c>
      <c r="G1260" s="6" t="s">
        <v>18</v>
      </c>
    </row>
    <row r="1261" spans="1:7" x14ac:dyDescent="0.3">
      <c r="A1261" s="2" t="s">
        <v>1592</v>
      </c>
      <c r="B1261" s="2" t="s">
        <v>1587</v>
      </c>
      <c r="C1261" s="6" t="s">
        <v>1588</v>
      </c>
      <c r="D1261" s="1">
        <v>45566</v>
      </c>
      <c r="E1261" s="4">
        <v>313.43</v>
      </c>
      <c r="F1261" s="3">
        <v>1</v>
      </c>
      <c r="G1261" s="6" t="s">
        <v>15</v>
      </c>
    </row>
    <row r="1262" spans="1:7" x14ac:dyDescent="0.3">
      <c r="A1262" s="2" t="s">
        <v>1593</v>
      </c>
      <c r="B1262" s="2" t="s">
        <v>1587</v>
      </c>
      <c r="C1262" s="6" t="s">
        <v>1588</v>
      </c>
      <c r="D1262" s="1">
        <v>45367</v>
      </c>
      <c r="E1262" s="4">
        <v>360.23</v>
      </c>
      <c r="F1262" s="3">
        <v>3</v>
      </c>
      <c r="G1262" s="6" t="s">
        <v>10</v>
      </c>
    </row>
    <row r="1263" spans="1:7" x14ac:dyDescent="0.3">
      <c r="A1263" s="2" t="s">
        <v>1594</v>
      </c>
      <c r="B1263" s="2" t="s">
        <v>1595</v>
      </c>
      <c r="C1263" s="6" t="s">
        <v>1596</v>
      </c>
      <c r="D1263" s="1">
        <v>45247</v>
      </c>
      <c r="E1263" s="4">
        <v>389.05</v>
      </c>
      <c r="F1263" s="3">
        <v>3</v>
      </c>
      <c r="G1263" s="6" t="s">
        <v>15</v>
      </c>
    </row>
    <row r="1264" spans="1:7" x14ac:dyDescent="0.3">
      <c r="A1264" s="2" t="s">
        <v>1597</v>
      </c>
      <c r="B1264" s="2" t="s">
        <v>1595</v>
      </c>
      <c r="C1264" s="6" t="s">
        <v>1596</v>
      </c>
      <c r="D1264" s="1">
        <v>45565</v>
      </c>
      <c r="E1264" s="4">
        <v>327.64</v>
      </c>
      <c r="F1264" s="3">
        <v>4</v>
      </c>
      <c r="G1264" s="6" t="s">
        <v>15</v>
      </c>
    </row>
    <row r="1265" spans="1:7" x14ac:dyDescent="0.3">
      <c r="A1265" s="2" t="s">
        <v>1598</v>
      </c>
      <c r="B1265" s="2" t="s">
        <v>1595</v>
      </c>
      <c r="C1265" s="6" t="s">
        <v>1596</v>
      </c>
      <c r="D1265" s="1">
        <v>45391</v>
      </c>
      <c r="E1265" s="4">
        <v>207.57</v>
      </c>
      <c r="F1265" s="3">
        <v>4</v>
      </c>
      <c r="G1265" s="6" t="s">
        <v>15</v>
      </c>
    </row>
    <row r="1266" spans="1:7" x14ac:dyDescent="0.3">
      <c r="A1266" s="2" t="s">
        <v>1599</v>
      </c>
      <c r="B1266" s="2" t="s">
        <v>1595</v>
      </c>
      <c r="C1266" s="6" t="s">
        <v>1596</v>
      </c>
      <c r="D1266" s="1">
        <v>45636</v>
      </c>
      <c r="E1266" s="4">
        <v>309.8</v>
      </c>
      <c r="F1266" s="3">
        <v>3</v>
      </c>
      <c r="G1266" s="6" t="s">
        <v>38</v>
      </c>
    </row>
    <row r="1267" spans="1:7" x14ac:dyDescent="0.3">
      <c r="A1267" s="2" t="s">
        <v>1600</v>
      </c>
      <c r="B1267" s="2" t="s">
        <v>1595</v>
      </c>
      <c r="C1267" s="6" t="s">
        <v>1596</v>
      </c>
      <c r="D1267" s="1">
        <v>45591</v>
      </c>
      <c r="E1267" s="4">
        <v>481.51</v>
      </c>
      <c r="F1267" s="3">
        <v>4</v>
      </c>
      <c r="G1267" s="6" t="s">
        <v>12</v>
      </c>
    </row>
    <row r="1268" spans="1:7" x14ac:dyDescent="0.3">
      <c r="A1268" s="2" t="s">
        <v>1601</v>
      </c>
      <c r="B1268" s="2" t="s">
        <v>1595</v>
      </c>
      <c r="C1268" s="6" t="s">
        <v>1596</v>
      </c>
      <c r="D1268" s="1">
        <v>45392</v>
      </c>
      <c r="E1268" s="4">
        <v>212.45</v>
      </c>
      <c r="F1268" s="3">
        <v>4</v>
      </c>
      <c r="G1268" s="6" t="s">
        <v>26</v>
      </c>
    </row>
    <row r="1269" spans="1:7" x14ac:dyDescent="0.3">
      <c r="A1269" s="2" t="s">
        <v>1602</v>
      </c>
      <c r="B1269" s="2" t="s">
        <v>1595</v>
      </c>
      <c r="C1269" s="6" t="s">
        <v>1596</v>
      </c>
      <c r="D1269" s="1">
        <v>45626</v>
      </c>
      <c r="E1269" s="4">
        <v>146.27000000000001</v>
      </c>
      <c r="F1269" s="3">
        <v>4</v>
      </c>
      <c r="G1269" s="6" t="s">
        <v>18</v>
      </c>
    </row>
    <row r="1270" spans="1:7" x14ac:dyDescent="0.3">
      <c r="A1270" s="2" t="s">
        <v>1603</v>
      </c>
      <c r="B1270" s="2" t="s">
        <v>1595</v>
      </c>
      <c r="C1270" s="6" t="s">
        <v>1596</v>
      </c>
      <c r="D1270" s="1">
        <v>45524</v>
      </c>
      <c r="E1270" s="4">
        <v>86.84</v>
      </c>
      <c r="F1270" s="3">
        <v>4</v>
      </c>
      <c r="G1270" s="6" t="s">
        <v>15</v>
      </c>
    </row>
    <row r="1271" spans="1:7" x14ac:dyDescent="0.3">
      <c r="A1271" s="2" t="s">
        <v>1604</v>
      </c>
      <c r="B1271" s="2" t="s">
        <v>1595</v>
      </c>
      <c r="C1271" s="6" t="s">
        <v>1596</v>
      </c>
      <c r="D1271" s="1">
        <v>45418</v>
      </c>
      <c r="E1271" s="4">
        <v>86.58</v>
      </c>
      <c r="F1271" s="3">
        <v>4</v>
      </c>
      <c r="G1271" s="6" t="s">
        <v>26</v>
      </c>
    </row>
    <row r="1272" spans="1:7" x14ac:dyDescent="0.3">
      <c r="A1272" s="2" t="s">
        <v>1605</v>
      </c>
      <c r="B1272" s="2" t="s">
        <v>1595</v>
      </c>
      <c r="C1272" s="6" t="s">
        <v>1596</v>
      </c>
      <c r="D1272" s="1">
        <v>45580</v>
      </c>
      <c r="E1272" s="4">
        <v>440.87</v>
      </c>
      <c r="F1272" s="3">
        <v>2</v>
      </c>
      <c r="G1272" s="6" t="s">
        <v>12</v>
      </c>
    </row>
    <row r="1273" spans="1:7" x14ac:dyDescent="0.3">
      <c r="A1273" s="2" t="s">
        <v>1606</v>
      </c>
      <c r="B1273" s="2" t="s">
        <v>1595</v>
      </c>
      <c r="C1273" s="6" t="s">
        <v>1596</v>
      </c>
      <c r="D1273" s="1">
        <v>45364</v>
      </c>
      <c r="E1273" s="4">
        <v>256.19</v>
      </c>
      <c r="F1273" s="3">
        <v>3</v>
      </c>
      <c r="G1273" s="6" t="s">
        <v>12</v>
      </c>
    </row>
    <row r="1274" spans="1:7" x14ac:dyDescent="0.3">
      <c r="A1274" s="2" t="s">
        <v>1607</v>
      </c>
      <c r="B1274" s="2" t="s">
        <v>1595</v>
      </c>
      <c r="C1274" s="6" t="s">
        <v>1596</v>
      </c>
      <c r="D1274" s="1">
        <v>45429</v>
      </c>
      <c r="E1274" s="4">
        <v>163.38999999999999</v>
      </c>
      <c r="F1274" s="3">
        <v>4</v>
      </c>
      <c r="G1274" s="6" t="s">
        <v>26</v>
      </c>
    </row>
    <row r="1275" spans="1:7" x14ac:dyDescent="0.3">
      <c r="A1275" s="2" t="s">
        <v>1608</v>
      </c>
      <c r="B1275" s="2" t="s">
        <v>1609</v>
      </c>
      <c r="C1275" s="6" t="s">
        <v>1610</v>
      </c>
      <c r="D1275" s="1">
        <v>45494</v>
      </c>
      <c r="E1275" s="4">
        <v>196.01</v>
      </c>
      <c r="F1275" s="3">
        <v>1</v>
      </c>
      <c r="G1275" s="6" t="s">
        <v>10</v>
      </c>
    </row>
    <row r="1276" spans="1:7" x14ac:dyDescent="0.3">
      <c r="A1276" s="2" t="s">
        <v>1611</v>
      </c>
      <c r="B1276" s="2" t="s">
        <v>1609</v>
      </c>
      <c r="C1276" s="6" t="s">
        <v>1610</v>
      </c>
      <c r="D1276" s="1">
        <v>45581</v>
      </c>
      <c r="E1276" s="4">
        <v>164.26</v>
      </c>
      <c r="F1276" s="3">
        <v>1</v>
      </c>
      <c r="G1276" s="6" t="s">
        <v>26</v>
      </c>
    </row>
    <row r="1277" spans="1:7" x14ac:dyDescent="0.3">
      <c r="A1277" s="2" t="s">
        <v>1612</v>
      </c>
      <c r="B1277" s="2" t="s">
        <v>1609</v>
      </c>
      <c r="C1277" s="6" t="s">
        <v>1610</v>
      </c>
      <c r="D1277" s="1">
        <v>45546</v>
      </c>
      <c r="E1277" s="4">
        <v>368.43</v>
      </c>
      <c r="F1277" s="3">
        <v>2</v>
      </c>
      <c r="G1277" s="6" t="s">
        <v>12</v>
      </c>
    </row>
    <row r="1278" spans="1:7" x14ac:dyDescent="0.3">
      <c r="A1278" s="2" t="s">
        <v>1613</v>
      </c>
      <c r="B1278" s="2" t="s">
        <v>1609</v>
      </c>
      <c r="C1278" s="6" t="s">
        <v>1610</v>
      </c>
      <c r="D1278" s="1">
        <v>45296</v>
      </c>
      <c r="E1278" s="4">
        <v>332.45</v>
      </c>
      <c r="F1278" s="3">
        <v>2</v>
      </c>
      <c r="G1278" s="6" t="s">
        <v>18</v>
      </c>
    </row>
    <row r="1279" spans="1:7" x14ac:dyDescent="0.3">
      <c r="A1279" s="2" t="s">
        <v>1614</v>
      </c>
      <c r="B1279" s="2" t="s">
        <v>1609</v>
      </c>
      <c r="C1279" s="6" t="s">
        <v>1610</v>
      </c>
      <c r="D1279" s="1">
        <v>45617</v>
      </c>
      <c r="E1279" s="4">
        <v>62.73</v>
      </c>
      <c r="F1279" s="3">
        <v>3</v>
      </c>
      <c r="G1279" s="6" t="s">
        <v>10</v>
      </c>
    </row>
    <row r="1280" spans="1:7" x14ac:dyDescent="0.3">
      <c r="A1280" s="2" t="s">
        <v>1615</v>
      </c>
      <c r="B1280" s="2" t="s">
        <v>1609</v>
      </c>
      <c r="C1280" s="6" t="s">
        <v>1610</v>
      </c>
      <c r="D1280" s="1">
        <v>45129</v>
      </c>
      <c r="E1280" s="4">
        <v>133.07</v>
      </c>
      <c r="F1280" s="3">
        <v>3</v>
      </c>
      <c r="G1280" s="6" t="s">
        <v>26</v>
      </c>
    </row>
    <row r="1281" spans="1:7" x14ac:dyDescent="0.3">
      <c r="A1281" s="2" t="s">
        <v>1616</v>
      </c>
      <c r="B1281" s="2" t="s">
        <v>1609</v>
      </c>
      <c r="C1281" s="6" t="s">
        <v>1610</v>
      </c>
      <c r="D1281" s="1">
        <v>45547</v>
      </c>
      <c r="E1281" s="4">
        <v>278.26</v>
      </c>
      <c r="F1281" s="3">
        <v>1</v>
      </c>
      <c r="G1281" s="6" t="s">
        <v>38</v>
      </c>
    </row>
    <row r="1282" spans="1:7" x14ac:dyDescent="0.3">
      <c r="A1282" s="2" t="s">
        <v>1617</v>
      </c>
      <c r="B1282" s="2" t="s">
        <v>1618</v>
      </c>
      <c r="C1282" s="6" t="s">
        <v>1619</v>
      </c>
      <c r="D1282" s="1">
        <v>45421</v>
      </c>
      <c r="E1282" s="4">
        <v>169.35</v>
      </c>
      <c r="F1282" s="3">
        <v>3</v>
      </c>
      <c r="G1282" s="6" t="s">
        <v>12</v>
      </c>
    </row>
    <row r="1283" spans="1:7" x14ac:dyDescent="0.3">
      <c r="A1283" s="2" t="s">
        <v>1620</v>
      </c>
      <c r="B1283" s="2" t="s">
        <v>1618</v>
      </c>
      <c r="C1283" s="6" t="s">
        <v>1619</v>
      </c>
      <c r="D1283" s="1">
        <v>45482</v>
      </c>
      <c r="E1283" s="4">
        <v>415.96</v>
      </c>
      <c r="F1283" s="3">
        <v>1</v>
      </c>
      <c r="G1283" s="6" t="s">
        <v>12</v>
      </c>
    </row>
    <row r="1284" spans="1:7" x14ac:dyDescent="0.3">
      <c r="A1284" s="2" t="s">
        <v>1621</v>
      </c>
      <c r="B1284" s="2" t="s">
        <v>1618</v>
      </c>
      <c r="C1284" s="6" t="s">
        <v>1619</v>
      </c>
      <c r="D1284" s="1">
        <v>45511</v>
      </c>
      <c r="E1284" s="4">
        <v>483.22</v>
      </c>
      <c r="F1284" s="3">
        <v>1</v>
      </c>
      <c r="G1284" s="6" t="s">
        <v>15</v>
      </c>
    </row>
    <row r="1285" spans="1:7" x14ac:dyDescent="0.3">
      <c r="A1285" s="2" t="s">
        <v>1622</v>
      </c>
      <c r="B1285" s="2" t="s">
        <v>1618</v>
      </c>
      <c r="C1285" s="6" t="s">
        <v>1619</v>
      </c>
      <c r="D1285" s="1">
        <v>45456</v>
      </c>
      <c r="E1285" s="4">
        <v>113.33</v>
      </c>
      <c r="F1285" s="3">
        <v>4</v>
      </c>
      <c r="G1285" s="6" t="s">
        <v>18</v>
      </c>
    </row>
    <row r="1286" spans="1:7" x14ac:dyDescent="0.3">
      <c r="A1286" s="2" t="s">
        <v>1623</v>
      </c>
      <c r="B1286" s="2" t="s">
        <v>1618</v>
      </c>
      <c r="C1286" s="6" t="s">
        <v>1619</v>
      </c>
      <c r="D1286" s="1">
        <v>45613</v>
      </c>
      <c r="E1286" s="4">
        <v>225.88</v>
      </c>
      <c r="F1286" s="3">
        <v>4</v>
      </c>
      <c r="G1286" s="6" t="s">
        <v>38</v>
      </c>
    </row>
    <row r="1287" spans="1:7" x14ac:dyDescent="0.3">
      <c r="A1287" s="2" t="s">
        <v>1624</v>
      </c>
      <c r="B1287" s="2" t="s">
        <v>1618</v>
      </c>
      <c r="C1287" s="6" t="s">
        <v>1619</v>
      </c>
      <c r="D1287" s="1">
        <v>45565</v>
      </c>
      <c r="E1287" s="4">
        <v>393.82</v>
      </c>
      <c r="F1287" s="3">
        <v>1</v>
      </c>
      <c r="G1287" s="6" t="s">
        <v>12</v>
      </c>
    </row>
    <row r="1288" spans="1:7" x14ac:dyDescent="0.3">
      <c r="A1288" s="2" t="s">
        <v>1625</v>
      </c>
      <c r="B1288" s="2" t="s">
        <v>1618</v>
      </c>
      <c r="C1288" s="6" t="s">
        <v>1619</v>
      </c>
      <c r="D1288" s="1">
        <v>45649</v>
      </c>
      <c r="E1288" s="4">
        <v>22.63</v>
      </c>
      <c r="F1288" s="3">
        <v>4</v>
      </c>
      <c r="G1288" s="6" t="s">
        <v>15</v>
      </c>
    </row>
    <row r="1289" spans="1:7" x14ac:dyDescent="0.3">
      <c r="A1289" s="2" t="s">
        <v>1626</v>
      </c>
      <c r="B1289" s="2" t="s">
        <v>1618</v>
      </c>
      <c r="C1289" s="6" t="s">
        <v>1619</v>
      </c>
      <c r="D1289" s="1">
        <v>45502</v>
      </c>
      <c r="E1289" s="4">
        <v>235.23</v>
      </c>
      <c r="F1289" s="3">
        <v>1</v>
      </c>
      <c r="G1289" s="6" t="s">
        <v>26</v>
      </c>
    </row>
    <row r="1290" spans="1:7" x14ac:dyDescent="0.3">
      <c r="A1290" s="2" t="s">
        <v>1627</v>
      </c>
      <c r="B1290" s="2" t="s">
        <v>1618</v>
      </c>
      <c r="C1290" s="6" t="s">
        <v>1619</v>
      </c>
      <c r="D1290" s="1">
        <v>45648</v>
      </c>
      <c r="E1290" s="4">
        <v>107.07</v>
      </c>
      <c r="F1290" s="3">
        <v>3</v>
      </c>
      <c r="G1290" s="6" t="s">
        <v>26</v>
      </c>
    </row>
    <row r="1291" spans="1:7" x14ac:dyDescent="0.3">
      <c r="A1291" s="2" t="s">
        <v>1628</v>
      </c>
      <c r="B1291" s="2" t="s">
        <v>1618</v>
      </c>
      <c r="C1291" s="6" t="s">
        <v>1619</v>
      </c>
      <c r="D1291" s="1">
        <v>45540</v>
      </c>
      <c r="E1291" s="4">
        <v>119.11</v>
      </c>
      <c r="F1291" s="3">
        <v>4</v>
      </c>
      <c r="G1291" s="6" t="s">
        <v>15</v>
      </c>
    </row>
    <row r="1292" spans="1:7" x14ac:dyDescent="0.3">
      <c r="A1292" s="2" t="s">
        <v>1629</v>
      </c>
      <c r="B1292" s="2" t="s">
        <v>1630</v>
      </c>
      <c r="C1292" s="6" t="s">
        <v>1631</v>
      </c>
      <c r="D1292" s="1">
        <v>45622</v>
      </c>
      <c r="E1292" s="4">
        <v>88.51</v>
      </c>
      <c r="F1292" s="3">
        <v>4</v>
      </c>
      <c r="G1292" s="6" t="s">
        <v>10</v>
      </c>
    </row>
    <row r="1293" spans="1:7" x14ac:dyDescent="0.3">
      <c r="A1293" s="2" t="s">
        <v>1632</v>
      </c>
      <c r="B1293" s="2" t="s">
        <v>1630</v>
      </c>
      <c r="C1293" s="6" t="s">
        <v>1631</v>
      </c>
      <c r="D1293" s="1">
        <v>45645</v>
      </c>
      <c r="E1293" s="4">
        <v>226.7</v>
      </c>
      <c r="F1293" s="3">
        <v>2</v>
      </c>
      <c r="G1293" s="6" t="s">
        <v>26</v>
      </c>
    </row>
    <row r="1294" spans="1:7" x14ac:dyDescent="0.3">
      <c r="A1294" s="2" t="s">
        <v>1633</v>
      </c>
      <c r="B1294" s="2" t="s">
        <v>1630</v>
      </c>
      <c r="C1294" s="6" t="s">
        <v>1631</v>
      </c>
      <c r="D1294" s="1">
        <v>45639</v>
      </c>
      <c r="E1294" s="4">
        <v>51.22</v>
      </c>
      <c r="F1294" s="3">
        <v>2</v>
      </c>
      <c r="G1294" s="6" t="s">
        <v>26</v>
      </c>
    </row>
    <row r="1295" spans="1:7" x14ac:dyDescent="0.3">
      <c r="A1295" s="2" t="s">
        <v>1634</v>
      </c>
      <c r="B1295" s="2" t="s">
        <v>1630</v>
      </c>
      <c r="C1295" s="6" t="s">
        <v>1631</v>
      </c>
      <c r="D1295" s="1">
        <v>45652</v>
      </c>
      <c r="E1295" s="4">
        <v>404.43</v>
      </c>
      <c r="F1295" s="3">
        <v>2</v>
      </c>
      <c r="G1295" s="6" t="s">
        <v>38</v>
      </c>
    </row>
    <row r="1296" spans="1:7" x14ac:dyDescent="0.3">
      <c r="A1296" s="2" t="s">
        <v>1635</v>
      </c>
      <c r="B1296" s="2" t="s">
        <v>1630</v>
      </c>
      <c r="C1296" s="6" t="s">
        <v>1631</v>
      </c>
      <c r="D1296" s="1">
        <v>45632</v>
      </c>
      <c r="E1296" s="4">
        <v>305.2</v>
      </c>
      <c r="F1296" s="3">
        <v>2</v>
      </c>
      <c r="G1296" s="6" t="s">
        <v>26</v>
      </c>
    </row>
    <row r="1297" spans="1:7" x14ac:dyDescent="0.3">
      <c r="A1297" s="2" t="s">
        <v>1636</v>
      </c>
      <c r="B1297" s="2" t="s">
        <v>1630</v>
      </c>
      <c r="C1297" s="6" t="s">
        <v>1631</v>
      </c>
      <c r="D1297" s="1">
        <v>45632</v>
      </c>
      <c r="E1297" s="4">
        <v>125.15</v>
      </c>
      <c r="F1297" s="3">
        <v>1</v>
      </c>
      <c r="G1297" s="6" t="s">
        <v>10</v>
      </c>
    </row>
    <row r="1298" spans="1:7" x14ac:dyDescent="0.3">
      <c r="A1298" s="2" t="s">
        <v>1637</v>
      </c>
      <c r="B1298" s="2" t="s">
        <v>1630</v>
      </c>
      <c r="C1298" s="6" t="s">
        <v>1631</v>
      </c>
      <c r="D1298" s="1">
        <v>45619</v>
      </c>
      <c r="E1298" s="4">
        <v>487.6</v>
      </c>
      <c r="F1298" s="3">
        <v>4</v>
      </c>
      <c r="G1298" s="6" t="s">
        <v>38</v>
      </c>
    </row>
    <row r="1299" spans="1:7" x14ac:dyDescent="0.3">
      <c r="A1299" s="2" t="s">
        <v>1638</v>
      </c>
      <c r="B1299" s="2" t="s">
        <v>1639</v>
      </c>
      <c r="C1299" s="6" t="s">
        <v>1640</v>
      </c>
      <c r="D1299" s="1">
        <v>45309</v>
      </c>
      <c r="E1299" s="4">
        <v>463.97</v>
      </c>
      <c r="F1299" s="3">
        <v>2</v>
      </c>
      <c r="G1299" s="6" t="s">
        <v>26</v>
      </c>
    </row>
    <row r="1300" spans="1:7" x14ac:dyDescent="0.3">
      <c r="A1300" s="2" t="s">
        <v>1641</v>
      </c>
      <c r="B1300" s="2" t="s">
        <v>1639</v>
      </c>
      <c r="C1300" s="6" t="s">
        <v>1640</v>
      </c>
      <c r="D1300" s="1">
        <v>45105</v>
      </c>
      <c r="E1300" s="4">
        <v>114.71</v>
      </c>
      <c r="F1300" s="3">
        <v>3</v>
      </c>
      <c r="G1300" s="6" t="s">
        <v>38</v>
      </c>
    </row>
    <row r="1301" spans="1:7" x14ac:dyDescent="0.3">
      <c r="A1301" s="2" t="s">
        <v>1642</v>
      </c>
      <c r="B1301" s="2" t="s">
        <v>1639</v>
      </c>
      <c r="C1301" s="6" t="s">
        <v>1640</v>
      </c>
      <c r="D1301" s="1">
        <v>45581</v>
      </c>
      <c r="E1301" s="4">
        <v>430.4</v>
      </c>
      <c r="F1301" s="3">
        <v>2</v>
      </c>
      <c r="G1301" s="6" t="s">
        <v>12</v>
      </c>
    </row>
    <row r="1302" spans="1:7" x14ac:dyDescent="0.3">
      <c r="A1302" s="2" t="s">
        <v>1643</v>
      </c>
      <c r="B1302" s="2" t="s">
        <v>1639</v>
      </c>
      <c r="C1302" s="6" t="s">
        <v>1640</v>
      </c>
      <c r="D1302" s="1">
        <v>45313</v>
      </c>
      <c r="E1302" s="4">
        <v>392.99</v>
      </c>
      <c r="F1302" s="3">
        <v>3</v>
      </c>
      <c r="G1302" s="6" t="s">
        <v>12</v>
      </c>
    </row>
    <row r="1303" spans="1:7" x14ac:dyDescent="0.3">
      <c r="A1303" s="2" t="s">
        <v>1644</v>
      </c>
      <c r="B1303" s="2" t="s">
        <v>1639</v>
      </c>
      <c r="C1303" s="6" t="s">
        <v>1640</v>
      </c>
      <c r="D1303" s="1">
        <v>45290</v>
      </c>
      <c r="E1303" s="4">
        <v>29.73</v>
      </c>
      <c r="F1303" s="3">
        <v>4</v>
      </c>
      <c r="G1303" s="6" t="s">
        <v>15</v>
      </c>
    </row>
    <row r="1304" spans="1:7" x14ac:dyDescent="0.3">
      <c r="A1304" s="2" t="s">
        <v>1645</v>
      </c>
      <c r="B1304" s="2" t="s">
        <v>1639</v>
      </c>
      <c r="C1304" s="6" t="s">
        <v>1640</v>
      </c>
      <c r="D1304" s="1">
        <v>45384</v>
      </c>
      <c r="E1304" s="4">
        <v>287.45</v>
      </c>
      <c r="F1304" s="3">
        <v>2</v>
      </c>
      <c r="G1304" s="6" t="s">
        <v>18</v>
      </c>
    </row>
    <row r="1305" spans="1:7" x14ac:dyDescent="0.3">
      <c r="A1305" s="2" t="s">
        <v>1646</v>
      </c>
      <c r="B1305" s="2" t="s">
        <v>1639</v>
      </c>
      <c r="C1305" s="6" t="s">
        <v>1640</v>
      </c>
      <c r="D1305" s="1">
        <v>45525</v>
      </c>
      <c r="E1305" s="4">
        <v>144.87</v>
      </c>
      <c r="F1305" s="3">
        <v>3</v>
      </c>
      <c r="G1305" s="6" t="s">
        <v>12</v>
      </c>
    </row>
    <row r="1306" spans="1:7" x14ac:dyDescent="0.3">
      <c r="A1306" s="2" t="s">
        <v>1647</v>
      </c>
      <c r="B1306" s="2" t="s">
        <v>1639</v>
      </c>
      <c r="C1306" s="6" t="s">
        <v>1640</v>
      </c>
      <c r="D1306" s="1">
        <v>45123</v>
      </c>
      <c r="E1306" s="4">
        <v>453.08</v>
      </c>
      <c r="F1306" s="3">
        <v>3</v>
      </c>
      <c r="G1306" s="6" t="s">
        <v>18</v>
      </c>
    </row>
    <row r="1307" spans="1:7" x14ac:dyDescent="0.3">
      <c r="A1307" s="2" t="s">
        <v>1648</v>
      </c>
      <c r="B1307" s="2" t="s">
        <v>1639</v>
      </c>
      <c r="C1307" s="6" t="s">
        <v>1640</v>
      </c>
      <c r="D1307" s="1">
        <v>45063</v>
      </c>
      <c r="E1307" s="4">
        <v>211.14</v>
      </c>
      <c r="F1307" s="3">
        <v>1</v>
      </c>
      <c r="G1307" s="6" t="s">
        <v>12</v>
      </c>
    </row>
    <row r="1308" spans="1:7" x14ac:dyDescent="0.3">
      <c r="A1308" s="2" t="s">
        <v>1649</v>
      </c>
      <c r="B1308" s="2" t="s">
        <v>1639</v>
      </c>
      <c r="C1308" s="6" t="s">
        <v>1640</v>
      </c>
      <c r="D1308" s="1">
        <v>45114</v>
      </c>
      <c r="E1308" s="4">
        <v>119.92</v>
      </c>
      <c r="F1308" s="3">
        <v>1</v>
      </c>
      <c r="G1308" s="6" t="s">
        <v>15</v>
      </c>
    </row>
    <row r="1309" spans="1:7" x14ac:dyDescent="0.3">
      <c r="A1309" s="2" t="s">
        <v>1650</v>
      </c>
      <c r="B1309" s="2" t="s">
        <v>1639</v>
      </c>
      <c r="C1309" s="6" t="s">
        <v>1640</v>
      </c>
      <c r="D1309" s="1">
        <v>45571</v>
      </c>
      <c r="E1309" s="4">
        <v>465.9</v>
      </c>
      <c r="F1309" s="3">
        <v>4</v>
      </c>
      <c r="G1309" s="6" t="s">
        <v>15</v>
      </c>
    </row>
    <row r="1310" spans="1:7" x14ac:dyDescent="0.3">
      <c r="A1310" s="2" t="s">
        <v>1651</v>
      </c>
      <c r="B1310" s="2" t="s">
        <v>1639</v>
      </c>
      <c r="C1310" s="6" t="s">
        <v>1640</v>
      </c>
      <c r="D1310" s="1">
        <v>45226</v>
      </c>
      <c r="E1310" s="4">
        <v>436.64</v>
      </c>
      <c r="F1310" s="3">
        <v>3</v>
      </c>
      <c r="G1310" s="6" t="s">
        <v>18</v>
      </c>
    </row>
    <row r="1311" spans="1:7" x14ac:dyDescent="0.3">
      <c r="A1311" s="2" t="s">
        <v>1652</v>
      </c>
      <c r="B1311" s="2" t="s">
        <v>1639</v>
      </c>
      <c r="C1311" s="6" t="s">
        <v>1640</v>
      </c>
      <c r="D1311" s="1">
        <v>45451</v>
      </c>
      <c r="E1311" s="4">
        <v>172.68</v>
      </c>
      <c r="F1311" s="3">
        <v>4</v>
      </c>
      <c r="G1311" s="6" t="s">
        <v>10</v>
      </c>
    </row>
    <row r="1312" spans="1:7" x14ac:dyDescent="0.3">
      <c r="A1312" s="2" t="s">
        <v>1653</v>
      </c>
      <c r="B1312" s="2" t="s">
        <v>1639</v>
      </c>
      <c r="C1312" s="6" t="s">
        <v>1640</v>
      </c>
      <c r="D1312" s="1">
        <v>45175</v>
      </c>
      <c r="E1312" s="4">
        <v>381.95</v>
      </c>
      <c r="F1312" s="3">
        <v>3</v>
      </c>
      <c r="G1312" s="6" t="s">
        <v>10</v>
      </c>
    </row>
    <row r="1313" spans="1:7" x14ac:dyDescent="0.3">
      <c r="A1313" s="2" t="s">
        <v>1654</v>
      </c>
      <c r="B1313" s="2" t="s">
        <v>1655</v>
      </c>
      <c r="C1313" s="6" t="s">
        <v>1656</v>
      </c>
      <c r="D1313" s="1">
        <v>45505</v>
      </c>
      <c r="E1313" s="4">
        <v>112.21</v>
      </c>
      <c r="F1313" s="3">
        <v>3</v>
      </c>
      <c r="G1313" s="6" t="s">
        <v>10</v>
      </c>
    </row>
    <row r="1314" spans="1:7" x14ac:dyDescent="0.3">
      <c r="A1314" s="2" t="s">
        <v>1657</v>
      </c>
      <c r="B1314" s="2" t="s">
        <v>1655</v>
      </c>
      <c r="C1314" s="6" t="s">
        <v>1656</v>
      </c>
      <c r="D1314" s="1">
        <v>45547</v>
      </c>
      <c r="E1314" s="4">
        <v>369.61</v>
      </c>
      <c r="F1314" s="3">
        <v>2</v>
      </c>
      <c r="G1314" s="6" t="s">
        <v>15</v>
      </c>
    </row>
    <row r="1315" spans="1:7" x14ac:dyDescent="0.3">
      <c r="A1315" s="2" t="s">
        <v>1658</v>
      </c>
      <c r="B1315" s="2" t="s">
        <v>1655</v>
      </c>
      <c r="C1315" s="6" t="s">
        <v>1656</v>
      </c>
      <c r="D1315" s="1">
        <v>45623</v>
      </c>
      <c r="E1315" s="4">
        <v>343.05</v>
      </c>
      <c r="F1315" s="3">
        <v>2</v>
      </c>
      <c r="G1315" s="6" t="s">
        <v>10</v>
      </c>
    </row>
    <row r="1316" spans="1:7" x14ac:dyDescent="0.3">
      <c r="A1316" s="2" t="s">
        <v>1659</v>
      </c>
      <c r="B1316" s="2" t="s">
        <v>1655</v>
      </c>
      <c r="C1316" s="6" t="s">
        <v>1656</v>
      </c>
      <c r="D1316" s="1">
        <v>45429</v>
      </c>
      <c r="E1316" s="4">
        <v>202.04</v>
      </c>
      <c r="F1316" s="3">
        <v>1</v>
      </c>
      <c r="G1316" s="6" t="s">
        <v>26</v>
      </c>
    </row>
    <row r="1317" spans="1:7" x14ac:dyDescent="0.3">
      <c r="A1317" s="2" t="s">
        <v>1660</v>
      </c>
      <c r="B1317" s="2" t="s">
        <v>1655</v>
      </c>
      <c r="C1317" s="6" t="s">
        <v>1656</v>
      </c>
      <c r="D1317" s="1">
        <v>45620</v>
      </c>
      <c r="E1317" s="4">
        <v>178.96</v>
      </c>
      <c r="F1317" s="3">
        <v>4</v>
      </c>
      <c r="G1317" s="6" t="s">
        <v>15</v>
      </c>
    </row>
    <row r="1318" spans="1:7" x14ac:dyDescent="0.3">
      <c r="A1318" s="2" t="s">
        <v>1661</v>
      </c>
      <c r="B1318" s="2" t="s">
        <v>1655</v>
      </c>
      <c r="C1318" s="6" t="s">
        <v>1656</v>
      </c>
      <c r="D1318" s="1">
        <v>45630</v>
      </c>
      <c r="E1318" s="4">
        <v>64.459999999999994</v>
      </c>
      <c r="F1318" s="3">
        <v>2</v>
      </c>
      <c r="G1318" s="6" t="s">
        <v>18</v>
      </c>
    </row>
    <row r="1319" spans="1:7" x14ac:dyDescent="0.3">
      <c r="A1319" s="2" t="s">
        <v>1662</v>
      </c>
      <c r="B1319" s="2" t="s">
        <v>1655</v>
      </c>
      <c r="C1319" s="6" t="s">
        <v>1656</v>
      </c>
      <c r="D1319" s="1">
        <v>45515</v>
      </c>
      <c r="E1319" s="4">
        <v>339.47</v>
      </c>
      <c r="F1319" s="3">
        <v>4</v>
      </c>
      <c r="G1319" s="6" t="s">
        <v>38</v>
      </c>
    </row>
    <row r="1320" spans="1:7" x14ac:dyDescent="0.3">
      <c r="A1320" s="2" t="s">
        <v>1663</v>
      </c>
      <c r="B1320" s="2" t="s">
        <v>1655</v>
      </c>
      <c r="C1320" s="6" t="s">
        <v>1656</v>
      </c>
      <c r="D1320" s="1">
        <v>45408</v>
      </c>
      <c r="E1320" s="4">
        <v>277.33999999999997</v>
      </c>
      <c r="F1320" s="3">
        <v>2</v>
      </c>
      <c r="G1320" s="6" t="s">
        <v>26</v>
      </c>
    </row>
    <row r="1321" spans="1:7" x14ac:dyDescent="0.3">
      <c r="A1321" s="2" t="s">
        <v>1664</v>
      </c>
      <c r="B1321" s="2" t="s">
        <v>1655</v>
      </c>
      <c r="C1321" s="6" t="s">
        <v>1656</v>
      </c>
      <c r="D1321" s="1">
        <v>45404</v>
      </c>
      <c r="E1321" s="4">
        <v>86.6</v>
      </c>
      <c r="F1321" s="3">
        <v>3</v>
      </c>
      <c r="G1321" s="6" t="s">
        <v>18</v>
      </c>
    </row>
    <row r="1322" spans="1:7" x14ac:dyDescent="0.3">
      <c r="A1322" s="2" t="s">
        <v>1665</v>
      </c>
      <c r="B1322" s="2" t="s">
        <v>1655</v>
      </c>
      <c r="C1322" s="6" t="s">
        <v>1656</v>
      </c>
      <c r="D1322" s="1">
        <v>45564</v>
      </c>
      <c r="E1322" s="4">
        <v>50.19</v>
      </c>
      <c r="F1322" s="3">
        <v>1</v>
      </c>
      <c r="G1322" s="6" t="s">
        <v>15</v>
      </c>
    </row>
    <row r="1323" spans="1:7" x14ac:dyDescent="0.3">
      <c r="A1323" s="2" t="s">
        <v>1666</v>
      </c>
      <c r="B1323" s="2" t="s">
        <v>1655</v>
      </c>
      <c r="C1323" s="6" t="s">
        <v>1656</v>
      </c>
      <c r="D1323" s="1">
        <v>45476</v>
      </c>
      <c r="E1323" s="4">
        <v>496.37</v>
      </c>
      <c r="F1323" s="3">
        <v>3</v>
      </c>
      <c r="G1323" s="6" t="s">
        <v>26</v>
      </c>
    </row>
    <row r="1324" spans="1:7" x14ac:dyDescent="0.3">
      <c r="A1324" s="2" t="s">
        <v>1667</v>
      </c>
      <c r="B1324" s="2" t="s">
        <v>1655</v>
      </c>
      <c r="C1324" s="6" t="s">
        <v>1656</v>
      </c>
      <c r="D1324" s="1">
        <v>45534</v>
      </c>
      <c r="E1324" s="4">
        <v>67.47</v>
      </c>
      <c r="F1324" s="3">
        <v>2</v>
      </c>
      <c r="G1324" s="6" t="s">
        <v>26</v>
      </c>
    </row>
    <row r="1325" spans="1:7" x14ac:dyDescent="0.3">
      <c r="A1325" s="2" t="s">
        <v>1668</v>
      </c>
      <c r="B1325" s="2" t="s">
        <v>1655</v>
      </c>
      <c r="C1325" s="6" t="s">
        <v>1656</v>
      </c>
      <c r="D1325" s="1">
        <v>45558</v>
      </c>
      <c r="E1325" s="4">
        <v>333.12</v>
      </c>
      <c r="F1325" s="3">
        <v>1</v>
      </c>
      <c r="G1325" s="6" t="s">
        <v>38</v>
      </c>
    </row>
    <row r="1326" spans="1:7" x14ac:dyDescent="0.3">
      <c r="A1326" s="2" t="s">
        <v>1669</v>
      </c>
      <c r="B1326" s="2" t="s">
        <v>1655</v>
      </c>
      <c r="C1326" s="6" t="s">
        <v>1656</v>
      </c>
      <c r="D1326" s="1">
        <v>45588</v>
      </c>
      <c r="E1326" s="4">
        <v>322.57</v>
      </c>
      <c r="F1326" s="3">
        <v>4</v>
      </c>
      <c r="G1326" s="6" t="s">
        <v>10</v>
      </c>
    </row>
    <row r="1327" spans="1:7" x14ac:dyDescent="0.3">
      <c r="A1327" s="2" t="s">
        <v>1670</v>
      </c>
      <c r="B1327" s="2" t="s">
        <v>1655</v>
      </c>
      <c r="C1327" s="6" t="s">
        <v>1656</v>
      </c>
      <c r="D1327" s="1">
        <v>45586</v>
      </c>
      <c r="E1327" s="4">
        <v>211.48</v>
      </c>
      <c r="F1327" s="3">
        <v>2</v>
      </c>
      <c r="G1327" s="6" t="s">
        <v>26</v>
      </c>
    </row>
    <row r="1328" spans="1:7" x14ac:dyDescent="0.3">
      <c r="A1328" s="2" t="s">
        <v>1671</v>
      </c>
      <c r="B1328" s="2" t="s">
        <v>1672</v>
      </c>
      <c r="C1328" s="6" t="s">
        <v>1673</v>
      </c>
      <c r="D1328" s="1">
        <v>45499</v>
      </c>
      <c r="E1328" s="4">
        <v>108.75</v>
      </c>
      <c r="F1328" s="3">
        <v>3</v>
      </c>
      <c r="G1328" s="6" t="s">
        <v>10</v>
      </c>
    </row>
    <row r="1329" spans="1:7" x14ac:dyDescent="0.3">
      <c r="A1329" s="2" t="s">
        <v>1674</v>
      </c>
      <c r="B1329" s="2" t="s">
        <v>1672</v>
      </c>
      <c r="C1329" s="6" t="s">
        <v>1673</v>
      </c>
      <c r="D1329" s="1">
        <v>45590</v>
      </c>
      <c r="E1329" s="4">
        <v>146.68</v>
      </c>
      <c r="F1329" s="3">
        <v>3</v>
      </c>
      <c r="G1329" s="6" t="s">
        <v>12</v>
      </c>
    </row>
    <row r="1330" spans="1:7" x14ac:dyDescent="0.3">
      <c r="A1330" s="2" t="s">
        <v>1675</v>
      </c>
      <c r="B1330" s="2" t="s">
        <v>1672</v>
      </c>
      <c r="C1330" s="6" t="s">
        <v>1673</v>
      </c>
      <c r="D1330" s="1">
        <v>45568</v>
      </c>
      <c r="E1330" s="4">
        <v>391.96</v>
      </c>
      <c r="F1330" s="3">
        <v>3</v>
      </c>
      <c r="G1330" s="6" t="s">
        <v>26</v>
      </c>
    </row>
    <row r="1331" spans="1:7" x14ac:dyDescent="0.3">
      <c r="A1331" s="2" t="s">
        <v>1676</v>
      </c>
      <c r="B1331" s="2" t="s">
        <v>1672</v>
      </c>
      <c r="C1331" s="6" t="s">
        <v>1673</v>
      </c>
      <c r="D1331" s="1">
        <v>45533</v>
      </c>
      <c r="E1331" s="4">
        <v>134.26</v>
      </c>
      <c r="F1331" s="3">
        <v>1</v>
      </c>
      <c r="G1331" s="6" t="s">
        <v>38</v>
      </c>
    </row>
    <row r="1332" spans="1:7" x14ac:dyDescent="0.3">
      <c r="A1332" s="2" t="s">
        <v>1677</v>
      </c>
      <c r="B1332" s="2" t="s">
        <v>1672</v>
      </c>
      <c r="C1332" s="6" t="s">
        <v>1673</v>
      </c>
      <c r="D1332" s="1">
        <v>45575</v>
      </c>
      <c r="E1332" s="4">
        <v>105.55</v>
      </c>
      <c r="F1332" s="3">
        <v>1</v>
      </c>
      <c r="G1332" s="6" t="s">
        <v>15</v>
      </c>
    </row>
    <row r="1333" spans="1:7" x14ac:dyDescent="0.3">
      <c r="A1333" s="2" t="s">
        <v>1678</v>
      </c>
      <c r="B1333" s="2" t="s">
        <v>1672</v>
      </c>
      <c r="C1333" s="6" t="s">
        <v>1673</v>
      </c>
      <c r="D1333" s="1">
        <v>45589</v>
      </c>
      <c r="E1333" s="4">
        <v>397.82</v>
      </c>
      <c r="F1333" s="3">
        <v>4</v>
      </c>
      <c r="G1333" s="6" t="s">
        <v>26</v>
      </c>
    </row>
    <row r="1334" spans="1:7" x14ac:dyDescent="0.3">
      <c r="A1334" s="2" t="s">
        <v>1679</v>
      </c>
      <c r="B1334" s="2" t="s">
        <v>1672</v>
      </c>
      <c r="C1334" s="6" t="s">
        <v>1673</v>
      </c>
      <c r="D1334" s="1">
        <v>45487</v>
      </c>
      <c r="E1334" s="4">
        <v>60.39</v>
      </c>
      <c r="F1334" s="3">
        <v>3</v>
      </c>
      <c r="G1334" s="6" t="s">
        <v>26</v>
      </c>
    </row>
    <row r="1335" spans="1:7" x14ac:dyDescent="0.3">
      <c r="A1335" s="2" t="s">
        <v>1680</v>
      </c>
      <c r="B1335" s="2" t="s">
        <v>1672</v>
      </c>
      <c r="C1335" s="6" t="s">
        <v>1673</v>
      </c>
      <c r="D1335" s="1">
        <v>45523</v>
      </c>
      <c r="E1335" s="4">
        <v>55.7</v>
      </c>
      <c r="F1335" s="3">
        <v>1</v>
      </c>
      <c r="G1335" s="6" t="s">
        <v>12</v>
      </c>
    </row>
    <row r="1336" spans="1:7" x14ac:dyDescent="0.3">
      <c r="A1336" s="2" t="s">
        <v>1681</v>
      </c>
      <c r="B1336" s="2" t="s">
        <v>1672</v>
      </c>
      <c r="C1336" s="6" t="s">
        <v>1673</v>
      </c>
      <c r="D1336" s="1">
        <v>45495</v>
      </c>
      <c r="E1336" s="4">
        <v>84.37</v>
      </c>
      <c r="F1336" s="3">
        <v>1</v>
      </c>
      <c r="G1336" s="6" t="s">
        <v>12</v>
      </c>
    </row>
    <row r="1337" spans="1:7" x14ac:dyDescent="0.3">
      <c r="A1337" s="2" t="s">
        <v>1682</v>
      </c>
      <c r="B1337" s="2" t="s">
        <v>1672</v>
      </c>
      <c r="C1337" s="6" t="s">
        <v>1673</v>
      </c>
      <c r="D1337" s="1">
        <v>45532</v>
      </c>
      <c r="E1337" s="4">
        <v>344.44</v>
      </c>
      <c r="F1337" s="3">
        <v>2</v>
      </c>
      <c r="G1337" s="6" t="s">
        <v>15</v>
      </c>
    </row>
    <row r="1338" spans="1:7" x14ac:dyDescent="0.3">
      <c r="A1338" s="2" t="s">
        <v>1683</v>
      </c>
      <c r="B1338" s="2" t="s">
        <v>1672</v>
      </c>
      <c r="C1338" s="6" t="s">
        <v>1673</v>
      </c>
      <c r="D1338" s="1">
        <v>45513</v>
      </c>
      <c r="E1338" s="4">
        <v>195.27</v>
      </c>
      <c r="F1338" s="3">
        <v>1</v>
      </c>
      <c r="G1338" s="6" t="s">
        <v>15</v>
      </c>
    </row>
    <row r="1339" spans="1:7" x14ac:dyDescent="0.3">
      <c r="A1339" s="2" t="s">
        <v>1684</v>
      </c>
      <c r="B1339" s="2" t="s">
        <v>1672</v>
      </c>
      <c r="C1339" s="6" t="s">
        <v>1673</v>
      </c>
      <c r="D1339" s="1">
        <v>45579</v>
      </c>
      <c r="E1339" s="4">
        <v>120.87</v>
      </c>
      <c r="F1339" s="3">
        <v>2</v>
      </c>
      <c r="G1339" s="6" t="s">
        <v>15</v>
      </c>
    </row>
    <row r="1340" spans="1:7" x14ac:dyDescent="0.3">
      <c r="A1340" s="2" t="s">
        <v>1685</v>
      </c>
      <c r="B1340" s="2" t="s">
        <v>1686</v>
      </c>
      <c r="C1340" s="6" t="s">
        <v>1687</v>
      </c>
      <c r="D1340" s="1">
        <v>45640</v>
      </c>
      <c r="E1340" s="4">
        <v>117.17</v>
      </c>
      <c r="F1340" s="3">
        <v>2</v>
      </c>
      <c r="G1340" s="6" t="s">
        <v>10</v>
      </c>
    </row>
    <row r="1341" spans="1:7" x14ac:dyDescent="0.3">
      <c r="A1341" s="2" t="s">
        <v>1688</v>
      </c>
      <c r="B1341" s="2" t="s">
        <v>1686</v>
      </c>
      <c r="C1341" s="6" t="s">
        <v>1687</v>
      </c>
      <c r="D1341" s="1">
        <v>45474</v>
      </c>
      <c r="E1341" s="4">
        <v>114.04</v>
      </c>
      <c r="F1341" s="3">
        <v>4</v>
      </c>
      <c r="G1341" s="6" t="s">
        <v>38</v>
      </c>
    </row>
    <row r="1342" spans="1:7" x14ac:dyDescent="0.3">
      <c r="A1342" s="2" t="s">
        <v>1689</v>
      </c>
      <c r="B1342" s="2" t="s">
        <v>1686</v>
      </c>
      <c r="C1342" s="6" t="s">
        <v>1687</v>
      </c>
      <c r="D1342" s="1">
        <v>45508</v>
      </c>
      <c r="E1342" s="4">
        <v>32.049999999999997</v>
      </c>
      <c r="F1342" s="3">
        <v>4</v>
      </c>
      <c r="G1342" s="6" t="s">
        <v>38</v>
      </c>
    </row>
    <row r="1343" spans="1:7" x14ac:dyDescent="0.3">
      <c r="A1343" s="2" t="s">
        <v>1690</v>
      </c>
      <c r="B1343" s="2" t="s">
        <v>1686</v>
      </c>
      <c r="C1343" s="6" t="s">
        <v>1687</v>
      </c>
      <c r="D1343" s="1">
        <v>45428</v>
      </c>
      <c r="E1343" s="4">
        <v>99.89</v>
      </c>
      <c r="F1343" s="3">
        <v>2</v>
      </c>
      <c r="G1343" s="6" t="s">
        <v>38</v>
      </c>
    </row>
    <row r="1344" spans="1:7" x14ac:dyDescent="0.3">
      <c r="A1344" s="2" t="s">
        <v>1691</v>
      </c>
      <c r="B1344" s="2" t="s">
        <v>1686</v>
      </c>
      <c r="C1344" s="6" t="s">
        <v>1687</v>
      </c>
      <c r="D1344" s="1">
        <v>45278</v>
      </c>
      <c r="E1344" s="4">
        <v>172.67</v>
      </c>
      <c r="F1344" s="3">
        <v>2</v>
      </c>
      <c r="G1344" s="6" t="s">
        <v>15</v>
      </c>
    </row>
    <row r="1345" spans="1:7" x14ac:dyDescent="0.3">
      <c r="A1345" s="2" t="s">
        <v>1692</v>
      </c>
      <c r="B1345" s="2" t="s">
        <v>1686</v>
      </c>
      <c r="C1345" s="6" t="s">
        <v>1687</v>
      </c>
      <c r="D1345" s="1">
        <v>45467</v>
      </c>
      <c r="E1345" s="4">
        <v>315.14</v>
      </c>
      <c r="F1345" s="3">
        <v>2</v>
      </c>
      <c r="G1345" s="6" t="s">
        <v>38</v>
      </c>
    </row>
    <row r="1346" spans="1:7" x14ac:dyDescent="0.3">
      <c r="A1346" s="2" t="s">
        <v>1693</v>
      </c>
      <c r="B1346" s="2" t="s">
        <v>1686</v>
      </c>
      <c r="C1346" s="6" t="s">
        <v>1687</v>
      </c>
      <c r="D1346" s="1">
        <v>45442</v>
      </c>
      <c r="E1346" s="4">
        <v>23.65</v>
      </c>
      <c r="F1346" s="3">
        <v>2</v>
      </c>
      <c r="G1346" s="6" t="s">
        <v>15</v>
      </c>
    </row>
    <row r="1347" spans="1:7" x14ac:dyDescent="0.3">
      <c r="A1347" s="2" t="s">
        <v>1694</v>
      </c>
      <c r="B1347" s="2" t="s">
        <v>1686</v>
      </c>
      <c r="C1347" s="6" t="s">
        <v>1687</v>
      </c>
      <c r="D1347" s="1">
        <v>45587</v>
      </c>
      <c r="E1347" s="4">
        <v>339.7</v>
      </c>
      <c r="F1347" s="3">
        <v>4</v>
      </c>
      <c r="G1347" s="6" t="s">
        <v>15</v>
      </c>
    </row>
    <row r="1348" spans="1:7" x14ac:dyDescent="0.3">
      <c r="A1348" s="2" t="s">
        <v>1695</v>
      </c>
      <c r="B1348" s="2" t="s">
        <v>1696</v>
      </c>
      <c r="C1348" s="6" t="s">
        <v>1697</v>
      </c>
      <c r="D1348" s="1">
        <v>45400</v>
      </c>
      <c r="E1348" s="4">
        <v>404.71</v>
      </c>
      <c r="F1348" s="3">
        <v>1</v>
      </c>
      <c r="G1348" s="6" t="s">
        <v>26</v>
      </c>
    </row>
    <row r="1349" spans="1:7" x14ac:dyDescent="0.3">
      <c r="A1349" s="2" t="s">
        <v>1698</v>
      </c>
      <c r="B1349" s="2" t="s">
        <v>1696</v>
      </c>
      <c r="C1349" s="6" t="s">
        <v>1697</v>
      </c>
      <c r="D1349" s="1">
        <v>45256</v>
      </c>
      <c r="E1349" s="4">
        <v>446.29</v>
      </c>
      <c r="F1349" s="3">
        <v>4</v>
      </c>
      <c r="G1349" s="6" t="s">
        <v>15</v>
      </c>
    </row>
    <row r="1350" spans="1:7" x14ac:dyDescent="0.3">
      <c r="A1350" s="2" t="s">
        <v>1699</v>
      </c>
      <c r="B1350" s="2" t="s">
        <v>1696</v>
      </c>
      <c r="C1350" s="6" t="s">
        <v>1697</v>
      </c>
      <c r="D1350" s="1">
        <v>45366</v>
      </c>
      <c r="E1350" s="4">
        <v>22.1</v>
      </c>
      <c r="F1350" s="3">
        <v>2</v>
      </c>
      <c r="G1350" s="6" t="s">
        <v>10</v>
      </c>
    </row>
    <row r="1351" spans="1:7" x14ac:dyDescent="0.3">
      <c r="A1351" s="2" t="s">
        <v>1700</v>
      </c>
      <c r="B1351" s="2" t="s">
        <v>1696</v>
      </c>
      <c r="C1351" s="6" t="s">
        <v>1697</v>
      </c>
      <c r="D1351" s="1">
        <v>45351</v>
      </c>
      <c r="E1351" s="4">
        <v>54.04</v>
      </c>
      <c r="F1351" s="3">
        <v>4</v>
      </c>
      <c r="G1351" s="6" t="s">
        <v>26</v>
      </c>
    </row>
    <row r="1352" spans="1:7" x14ac:dyDescent="0.3">
      <c r="A1352" s="2" t="s">
        <v>1701</v>
      </c>
      <c r="B1352" s="2" t="s">
        <v>1696</v>
      </c>
      <c r="C1352" s="6" t="s">
        <v>1697</v>
      </c>
      <c r="D1352" s="1">
        <v>45639</v>
      </c>
      <c r="E1352" s="4">
        <v>402.1</v>
      </c>
      <c r="F1352" s="3">
        <v>4</v>
      </c>
      <c r="G1352" s="6" t="s">
        <v>26</v>
      </c>
    </row>
    <row r="1353" spans="1:7" x14ac:dyDescent="0.3">
      <c r="A1353" s="2" t="s">
        <v>1702</v>
      </c>
      <c r="B1353" s="2" t="s">
        <v>1696</v>
      </c>
      <c r="C1353" s="6" t="s">
        <v>1697</v>
      </c>
      <c r="D1353" s="1">
        <v>45391</v>
      </c>
      <c r="E1353" s="4">
        <v>80.209999999999994</v>
      </c>
      <c r="F1353" s="3">
        <v>1</v>
      </c>
      <c r="G1353" s="6" t="s">
        <v>15</v>
      </c>
    </row>
    <row r="1354" spans="1:7" x14ac:dyDescent="0.3">
      <c r="A1354" s="2" t="s">
        <v>1703</v>
      </c>
      <c r="B1354" s="2" t="s">
        <v>1704</v>
      </c>
      <c r="C1354" s="6" t="s">
        <v>1705</v>
      </c>
      <c r="D1354" s="1">
        <v>45619</v>
      </c>
      <c r="E1354" s="4">
        <v>394.54</v>
      </c>
      <c r="F1354" s="3">
        <v>4</v>
      </c>
      <c r="G1354" s="6" t="s">
        <v>10</v>
      </c>
    </row>
    <row r="1355" spans="1:7" x14ac:dyDescent="0.3">
      <c r="A1355" s="2" t="s">
        <v>1706</v>
      </c>
      <c r="B1355" s="2" t="s">
        <v>1704</v>
      </c>
      <c r="C1355" s="6" t="s">
        <v>1705</v>
      </c>
      <c r="D1355" s="1">
        <v>45630</v>
      </c>
      <c r="E1355" s="4">
        <v>160.86000000000001</v>
      </c>
      <c r="F1355" s="3">
        <v>4</v>
      </c>
      <c r="G1355" s="6" t="s">
        <v>10</v>
      </c>
    </row>
    <row r="1356" spans="1:7" x14ac:dyDescent="0.3">
      <c r="A1356" s="2" t="s">
        <v>1707</v>
      </c>
      <c r="B1356" s="2" t="s">
        <v>1704</v>
      </c>
      <c r="C1356" s="6" t="s">
        <v>1705</v>
      </c>
      <c r="D1356" s="1">
        <v>45625</v>
      </c>
      <c r="E1356" s="4">
        <v>473.5</v>
      </c>
      <c r="F1356" s="3">
        <v>3</v>
      </c>
      <c r="G1356" s="6" t="s">
        <v>12</v>
      </c>
    </row>
    <row r="1357" spans="1:7" x14ac:dyDescent="0.3">
      <c r="A1357" s="2" t="s">
        <v>1708</v>
      </c>
      <c r="B1357" s="2" t="s">
        <v>1704</v>
      </c>
      <c r="C1357" s="6" t="s">
        <v>1705</v>
      </c>
      <c r="D1357" s="1">
        <v>45637</v>
      </c>
      <c r="E1357" s="4">
        <v>380.6</v>
      </c>
      <c r="F1357" s="3">
        <v>1</v>
      </c>
      <c r="G1357" s="6" t="s">
        <v>12</v>
      </c>
    </row>
    <row r="1358" spans="1:7" x14ac:dyDescent="0.3">
      <c r="A1358" s="2" t="s">
        <v>1709</v>
      </c>
      <c r="B1358" s="2" t="s">
        <v>1710</v>
      </c>
      <c r="C1358" s="6" t="s">
        <v>1711</v>
      </c>
      <c r="D1358" s="1">
        <v>45070</v>
      </c>
      <c r="E1358" s="4">
        <v>72.61</v>
      </c>
      <c r="F1358" s="3">
        <v>2</v>
      </c>
      <c r="G1358" s="6" t="s">
        <v>18</v>
      </c>
    </row>
    <row r="1359" spans="1:7" x14ac:dyDescent="0.3">
      <c r="A1359" s="2" t="s">
        <v>1712</v>
      </c>
      <c r="B1359" s="2" t="s">
        <v>1710</v>
      </c>
      <c r="C1359" s="6" t="s">
        <v>1711</v>
      </c>
      <c r="D1359" s="1">
        <v>45362</v>
      </c>
      <c r="E1359" s="4">
        <v>168.53</v>
      </c>
      <c r="F1359" s="3">
        <v>3</v>
      </c>
      <c r="G1359" s="6" t="s">
        <v>10</v>
      </c>
    </row>
    <row r="1360" spans="1:7" x14ac:dyDescent="0.3">
      <c r="A1360" s="2" t="s">
        <v>1713</v>
      </c>
      <c r="B1360" s="2" t="s">
        <v>1710</v>
      </c>
      <c r="C1360" s="6" t="s">
        <v>1711</v>
      </c>
      <c r="D1360" s="1">
        <v>45108</v>
      </c>
      <c r="E1360" s="4">
        <v>72.41</v>
      </c>
      <c r="F1360" s="3">
        <v>4</v>
      </c>
      <c r="G1360" s="6" t="s">
        <v>18</v>
      </c>
    </row>
    <row r="1361" spans="1:7" x14ac:dyDescent="0.3">
      <c r="A1361" s="2" t="s">
        <v>1714</v>
      </c>
      <c r="B1361" s="2" t="s">
        <v>1710</v>
      </c>
      <c r="C1361" s="6" t="s">
        <v>1711</v>
      </c>
      <c r="D1361" s="1">
        <v>45493</v>
      </c>
      <c r="E1361" s="4">
        <v>56.27</v>
      </c>
      <c r="F1361" s="3">
        <v>2</v>
      </c>
      <c r="G1361" s="6" t="s">
        <v>38</v>
      </c>
    </row>
    <row r="1362" spans="1:7" x14ac:dyDescent="0.3">
      <c r="A1362" s="2" t="s">
        <v>1715</v>
      </c>
      <c r="B1362" s="2" t="s">
        <v>1716</v>
      </c>
      <c r="C1362" s="6" t="s">
        <v>1717</v>
      </c>
      <c r="D1362" s="1">
        <v>45180</v>
      </c>
      <c r="E1362" s="4">
        <v>448.19</v>
      </c>
      <c r="F1362" s="3">
        <v>2</v>
      </c>
      <c r="G1362" s="6" t="s">
        <v>12</v>
      </c>
    </row>
    <row r="1363" spans="1:7" x14ac:dyDescent="0.3">
      <c r="A1363" s="2" t="s">
        <v>1718</v>
      </c>
      <c r="B1363" s="2" t="s">
        <v>1716</v>
      </c>
      <c r="C1363" s="6" t="s">
        <v>1717</v>
      </c>
      <c r="D1363" s="1">
        <v>45114</v>
      </c>
      <c r="E1363" s="4">
        <v>10.02</v>
      </c>
      <c r="F1363" s="3">
        <v>1</v>
      </c>
      <c r="G1363" s="6" t="s">
        <v>12</v>
      </c>
    </row>
    <row r="1364" spans="1:7" x14ac:dyDescent="0.3">
      <c r="A1364" s="2" t="s">
        <v>1719</v>
      </c>
      <c r="B1364" s="2" t="s">
        <v>1716</v>
      </c>
      <c r="C1364" s="6" t="s">
        <v>1717</v>
      </c>
      <c r="D1364" s="1">
        <v>45547</v>
      </c>
      <c r="E1364" s="4">
        <v>134.69999999999999</v>
      </c>
      <c r="F1364" s="3">
        <v>2</v>
      </c>
      <c r="G1364" s="6" t="s">
        <v>18</v>
      </c>
    </row>
    <row r="1365" spans="1:7" x14ac:dyDescent="0.3">
      <c r="A1365" s="2" t="s">
        <v>1720</v>
      </c>
      <c r="B1365" s="2" t="s">
        <v>1716</v>
      </c>
      <c r="C1365" s="6" t="s">
        <v>1717</v>
      </c>
      <c r="D1365" s="1">
        <v>45322</v>
      </c>
      <c r="E1365" s="4">
        <v>413.57</v>
      </c>
      <c r="F1365" s="3">
        <v>1</v>
      </c>
      <c r="G1365" s="6" t="s">
        <v>10</v>
      </c>
    </row>
    <row r="1366" spans="1:7" x14ac:dyDescent="0.3">
      <c r="A1366" s="2" t="s">
        <v>1721</v>
      </c>
      <c r="B1366" s="2" t="s">
        <v>1716</v>
      </c>
      <c r="C1366" s="6" t="s">
        <v>1717</v>
      </c>
      <c r="D1366" s="1">
        <v>45397</v>
      </c>
      <c r="E1366" s="4">
        <v>408.01</v>
      </c>
      <c r="F1366" s="3">
        <v>2</v>
      </c>
      <c r="G1366" s="6" t="s">
        <v>18</v>
      </c>
    </row>
    <row r="1367" spans="1:7" x14ac:dyDescent="0.3">
      <c r="A1367" s="2" t="s">
        <v>1722</v>
      </c>
      <c r="B1367" s="2" t="s">
        <v>1716</v>
      </c>
      <c r="C1367" s="6" t="s">
        <v>1717</v>
      </c>
      <c r="D1367" s="1">
        <v>45579</v>
      </c>
      <c r="E1367" s="4">
        <v>120.61</v>
      </c>
      <c r="F1367" s="3">
        <v>4</v>
      </c>
      <c r="G1367" s="6" t="s">
        <v>38</v>
      </c>
    </row>
    <row r="1368" spans="1:7" x14ac:dyDescent="0.3">
      <c r="A1368" s="2" t="s">
        <v>1723</v>
      </c>
      <c r="B1368" s="2" t="s">
        <v>1716</v>
      </c>
      <c r="C1368" s="6" t="s">
        <v>1717</v>
      </c>
      <c r="D1368" s="1">
        <v>45637</v>
      </c>
      <c r="E1368" s="4">
        <v>227.61</v>
      </c>
      <c r="F1368" s="3">
        <v>2</v>
      </c>
      <c r="G1368" s="6" t="s">
        <v>10</v>
      </c>
    </row>
    <row r="1369" spans="1:7" x14ac:dyDescent="0.3">
      <c r="A1369" s="2" t="s">
        <v>1724</v>
      </c>
      <c r="B1369" s="2" t="s">
        <v>1716</v>
      </c>
      <c r="C1369" s="6" t="s">
        <v>1717</v>
      </c>
      <c r="D1369" s="1">
        <v>45599</v>
      </c>
      <c r="E1369" s="4">
        <v>497.83</v>
      </c>
      <c r="F1369" s="3">
        <v>3</v>
      </c>
      <c r="G1369" s="6" t="s">
        <v>18</v>
      </c>
    </row>
    <row r="1370" spans="1:7" x14ac:dyDescent="0.3">
      <c r="A1370" s="2" t="s">
        <v>1725</v>
      </c>
      <c r="B1370" s="2" t="s">
        <v>1716</v>
      </c>
      <c r="C1370" s="6" t="s">
        <v>1717</v>
      </c>
      <c r="D1370" s="1">
        <v>45264</v>
      </c>
      <c r="E1370" s="4">
        <v>166.81</v>
      </c>
      <c r="F1370" s="3">
        <v>3</v>
      </c>
      <c r="G1370" s="6" t="s">
        <v>10</v>
      </c>
    </row>
    <row r="1371" spans="1:7" x14ac:dyDescent="0.3">
      <c r="A1371" s="2" t="s">
        <v>1726</v>
      </c>
      <c r="B1371" s="2" t="s">
        <v>1716</v>
      </c>
      <c r="C1371" s="6" t="s">
        <v>1717</v>
      </c>
      <c r="D1371" s="1">
        <v>45200</v>
      </c>
      <c r="E1371" s="4">
        <v>207.32</v>
      </c>
      <c r="F1371" s="3">
        <v>4</v>
      </c>
      <c r="G1371" s="6" t="s">
        <v>10</v>
      </c>
    </row>
    <row r="1372" spans="1:7" x14ac:dyDescent="0.3">
      <c r="A1372" s="2" t="s">
        <v>1727</v>
      </c>
      <c r="B1372" s="2" t="s">
        <v>1716</v>
      </c>
      <c r="C1372" s="6" t="s">
        <v>1717</v>
      </c>
      <c r="D1372" s="1">
        <v>45397</v>
      </c>
      <c r="E1372" s="4">
        <v>300.23</v>
      </c>
      <c r="F1372" s="3">
        <v>1</v>
      </c>
      <c r="G1372" s="6" t="s">
        <v>12</v>
      </c>
    </row>
    <row r="1373" spans="1:7" x14ac:dyDescent="0.3">
      <c r="A1373" s="2" t="s">
        <v>1728</v>
      </c>
      <c r="B1373" s="2" t="s">
        <v>1716</v>
      </c>
      <c r="C1373" s="6" t="s">
        <v>1717</v>
      </c>
      <c r="D1373" s="1">
        <v>45202</v>
      </c>
      <c r="E1373" s="4">
        <v>371.87</v>
      </c>
      <c r="F1373" s="3">
        <v>3</v>
      </c>
      <c r="G1373" s="6" t="s">
        <v>10</v>
      </c>
    </row>
    <row r="1374" spans="1:7" x14ac:dyDescent="0.3">
      <c r="A1374" s="2" t="s">
        <v>1729</v>
      </c>
      <c r="B1374" s="2" t="s">
        <v>1716</v>
      </c>
      <c r="C1374" s="6" t="s">
        <v>1717</v>
      </c>
      <c r="D1374" s="1">
        <v>45435</v>
      </c>
      <c r="E1374" s="4">
        <v>349.78</v>
      </c>
      <c r="F1374" s="3">
        <v>4</v>
      </c>
      <c r="G1374" s="6" t="s">
        <v>10</v>
      </c>
    </row>
    <row r="1375" spans="1:7" x14ac:dyDescent="0.3">
      <c r="A1375" s="2" t="s">
        <v>1730</v>
      </c>
      <c r="B1375" s="2" t="s">
        <v>1716</v>
      </c>
      <c r="C1375" s="6" t="s">
        <v>1717</v>
      </c>
      <c r="D1375" s="1">
        <v>45144</v>
      </c>
      <c r="E1375" s="4">
        <v>404.01</v>
      </c>
      <c r="F1375" s="3">
        <v>2</v>
      </c>
      <c r="G1375" s="6" t="s">
        <v>12</v>
      </c>
    </row>
    <row r="1376" spans="1:7" x14ac:dyDescent="0.3">
      <c r="A1376" s="2" t="s">
        <v>1731</v>
      </c>
      <c r="B1376" s="2" t="s">
        <v>1716</v>
      </c>
      <c r="C1376" s="6" t="s">
        <v>1717</v>
      </c>
      <c r="D1376" s="1">
        <v>45173</v>
      </c>
      <c r="E1376" s="4">
        <v>55.33</v>
      </c>
      <c r="F1376" s="3">
        <v>1</v>
      </c>
      <c r="G1376" s="6" t="s">
        <v>12</v>
      </c>
    </row>
    <row r="1377" spans="1:7" x14ac:dyDescent="0.3">
      <c r="A1377" s="2" t="s">
        <v>1732</v>
      </c>
      <c r="B1377" s="2" t="s">
        <v>1733</v>
      </c>
      <c r="C1377" s="6" t="s">
        <v>1734</v>
      </c>
      <c r="D1377" s="1">
        <v>45624</v>
      </c>
      <c r="E1377" s="4">
        <v>149.43</v>
      </c>
      <c r="F1377" s="3">
        <v>3</v>
      </c>
      <c r="G1377" s="6" t="s">
        <v>15</v>
      </c>
    </row>
    <row r="1378" spans="1:7" x14ac:dyDescent="0.3">
      <c r="A1378" s="2" t="s">
        <v>1735</v>
      </c>
      <c r="B1378" s="2" t="s">
        <v>1733</v>
      </c>
      <c r="C1378" s="6" t="s">
        <v>1734</v>
      </c>
      <c r="D1378" s="1">
        <v>45620</v>
      </c>
      <c r="E1378" s="4">
        <v>400.29</v>
      </c>
      <c r="F1378" s="3">
        <v>3</v>
      </c>
      <c r="G1378" s="6" t="s">
        <v>12</v>
      </c>
    </row>
    <row r="1379" spans="1:7" x14ac:dyDescent="0.3">
      <c r="A1379" s="2" t="s">
        <v>1736</v>
      </c>
      <c r="B1379" s="2" t="s">
        <v>1733</v>
      </c>
      <c r="C1379" s="6" t="s">
        <v>1734</v>
      </c>
      <c r="D1379" s="1">
        <v>45639</v>
      </c>
      <c r="E1379" s="4">
        <v>71.52</v>
      </c>
      <c r="F1379" s="3">
        <v>2</v>
      </c>
      <c r="G1379" s="6" t="s">
        <v>26</v>
      </c>
    </row>
    <row r="1380" spans="1:7" x14ac:dyDescent="0.3">
      <c r="A1380" s="2" t="s">
        <v>1737</v>
      </c>
      <c r="B1380" s="2" t="s">
        <v>1733</v>
      </c>
      <c r="C1380" s="6" t="s">
        <v>1734</v>
      </c>
      <c r="D1380" s="1">
        <v>45554</v>
      </c>
      <c r="E1380" s="4">
        <v>244.46</v>
      </c>
      <c r="F1380" s="3">
        <v>1</v>
      </c>
      <c r="G1380" s="6" t="s">
        <v>12</v>
      </c>
    </row>
    <row r="1381" spans="1:7" x14ac:dyDescent="0.3">
      <c r="A1381" s="2" t="s">
        <v>1738</v>
      </c>
      <c r="B1381" s="2" t="s">
        <v>1733</v>
      </c>
      <c r="C1381" s="6" t="s">
        <v>1734</v>
      </c>
      <c r="D1381" s="1">
        <v>45595</v>
      </c>
      <c r="E1381" s="4">
        <v>388.04</v>
      </c>
      <c r="F1381" s="3">
        <v>4</v>
      </c>
      <c r="G1381" s="6" t="s">
        <v>12</v>
      </c>
    </row>
    <row r="1382" spans="1:7" x14ac:dyDescent="0.3">
      <c r="A1382" s="2" t="s">
        <v>1739</v>
      </c>
      <c r="B1382" s="2" t="s">
        <v>1733</v>
      </c>
      <c r="C1382" s="6" t="s">
        <v>1734</v>
      </c>
      <c r="D1382" s="1">
        <v>45478</v>
      </c>
      <c r="E1382" s="4">
        <v>487.98</v>
      </c>
      <c r="F1382" s="3">
        <v>3</v>
      </c>
      <c r="G1382" s="6" t="s">
        <v>18</v>
      </c>
    </row>
    <row r="1383" spans="1:7" x14ac:dyDescent="0.3">
      <c r="A1383" s="2" t="s">
        <v>1740</v>
      </c>
      <c r="B1383" s="2" t="s">
        <v>1733</v>
      </c>
      <c r="C1383" s="6" t="s">
        <v>1734</v>
      </c>
      <c r="D1383" s="1">
        <v>45593</v>
      </c>
      <c r="E1383" s="4">
        <v>154.88</v>
      </c>
      <c r="F1383" s="3">
        <v>2</v>
      </c>
      <c r="G1383" s="6" t="s">
        <v>12</v>
      </c>
    </row>
    <row r="1384" spans="1:7" x14ac:dyDescent="0.3">
      <c r="A1384" s="2" t="s">
        <v>1741</v>
      </c>
      <c r="B1384" s="2" t="s">
        <v>1733</v>
      </c>
      <c r="C1384" s="6" t="s">
        <v>1734</v>
      </c>
      <c r="D1384" s="1">
        <v>45537</v>
      </c>
      <c r="E1384" s="4">
        <v>254.08</v>
      </c>
      <c r="F1384" s="3">
        <v>2</v>
      </c>
      <c r="G1384" s="6" t="s">
        <v>18</v>
      </c>
    </row>
    <row r="1385" spans="1:7" x14ac:dyDescent="0.3">
      <c r="A1385" s="2" t="s">
        <v>1742</v>
      </c>
      <c r="B1385" s="2" t="s">
        <v>1733</v>
      </c>
      <c r="C1385" s="6" t="s">
        <v>1734</v>
      </c>
      <c r="D1385" s="1">
        <v>45555</v>
      </c>
      <c r="E1385" s="4">
        <v>160.81</v>
      </c>
      <c r="F1385" s="3">
        <v>4</v>
      </c>
      <c r="G1385" s="6" t="s">
        <v>26</v>
      </c>
    </row>
    <row r="1386" spans="1:7" x14ac:dyDescent="0.3">
      <c r="A1386" s="2" t="s">
        <v>1743</v>
      </c>
      <c r="B1386" s="2" t="s">
        <v>1733</v>
      </c>
      <c r="C1386" s="6" t="s">
        <v>1734</v>
      </c>
      <c r="D1386" s="1">
        <v>45504</v>
      </c>
      <c r="E1386" s="4">
        <v>488.75</v>
      </c>
      <c r="F1386" s="3">
        <v>4</v>
      </c>
      <c r="G1386" s="6" t="s">
        <v>12</v>
      </c>
    </row>
    <row r="1387" spans="1:7" x14ac:dyDescent="0.3">
      <c r="A1387" s="2" t="s">
        <v>1744</v>
      </c>
      <c r="B1387" s="2" t="s">
        <v>1733</v>
      </c>
      <c r="C1387" s="6" t="s">
        <v>1734</v>
      </c>
      <c r="D1387" s="1">
        <v>45557</v>
      </c>
      <c r="E1387" s="4">
        <v>447.88</v>
      </c>
      <c r="F1387" s="3">
        <v>3</v>
      </c>
      <c r="G1387" s="6" t="s">
        <v>12</v>
      </c>
    </row>
    <row r="1388" spans="1:7" x14ac:dyDescent="0.3">
      <c r="A1388" s="2" t="s">
        <v>1745</v>
      </c>
      <c r="B1388" s="2" t="s">
        <v>1733</v>
      </c>
      <c r="C1388" s="6" t="s">
        <v>1734</v>
      </c>
      <c r="D1388" s="1">
        <v>45500</v>
      </c>
      <c r="E1388" s="4">
        <v>498.32</v>
      </c>
      <c r="F1388" s="3">
        <v>2</v>
      </c>
      <c r="G1388" s="6" t="s">
        <v>15</v>
      </c>
    </row>
    <row r="1389" spans="1:7" x14ac:dyDescent="0.3">
      <c r="A1389" s="2" t="s">
        <v>1746</v>
      </c>
      <c r="B1389" s="2" t="s">
        <v>1733</v>
      </c>
      <c r="C1389" s="6" t="s">
        <v>1734</v>
      </c>
      <c r="D1389" s="1">
        <v>45541</v>
      </c>
      <c r="E1389" s="4">
        <v>282.67</v>
      </c>
      <c r="F1389" s="3">
        <v>3</v>
      </c>
      <c r="G1389" s="6" t="s">
        <v>12</v>
      </c>
    </row>
    <row r="1390" spans="1:7" x14ac:dyDescent="0.3">
      <c r="A1390" s="2" t="s">
        <v>1747</v>
      </c>
      <c r="B1390" s="2" t="s">
        <v>1748</v>
      </c>
      <c r="C1390" s="6" t="s">
        <v>1749</v>
      </c>
      <c r="D1390" s="1">
        <v>45252</v>
      </c>
      <c r="E1390" s="4">
        <v>368.87</v>
      </c>
      <c r="F1390" s="3">
        <v>1</v>
      </c>
      <c r="G1390" s="6" t="s">
        <v>38</v>
      </c>
    </row>
    <row r="1391" spans="1:7" x14ac:dyDescent="0.3">
      <c r="A1391" s="2" t="s">
        <v>1750</v>
      </c>
      <c r="B1391" s="2" t="s">
        <v>1748</v>
      </c>
      <c r="C1391" s="6" t="s">
        <v>1749</v>
      </c>
      <c r="D1391" s="1">
        <v>45295</v>
      </c>
      <c r="E1391" s="4">
        <v>418.27</v>
      </c>
      <c r="F1391" s="3">
        <v>1</v>
      </c>
      <c r="G1391" s="6" t="s">
        <v>18</v>
      </c>
    </row>
    <row r="1392" spans="1:7" x14ac:dyDescent="0.3">
      <c r="A1392" s="2" t="s">
        <v>1751</v>
      </c>
      <c r="B1392" s="2" t="s">
        <v>1748</v>
      </c>
      <c r="C1392" s="6" t="s">
        <v>1749</v>
      </c>
      <c r="D1392" s="1">
        <v>45322</v>
      </c>
      <c r="E1392" s="4">
        <v>341.07</v>
      </c>
      <c r="F1392" s="3">
        <v>4</v>
      </c>
      <c r="G1392" s="6" t="s">
        <v>12</v>
      </c>
    </row>
    <row r="1393" spans="1:7" x14ac:dyDescent="0.3">
      <c r="A1393" s="2" t="s">
        <v>1752</v>
      </c>
      <c r="B1393" s="2" t="s">
        <v>1748</v>
      </c>
      <c r="C1393" s="6" t="s">
        <v>1749</v>
      </c>
      <c r="D1393" s="1">
        <v>45511</v>
      </c>
      <c r="E1393" s="4">
        <v>341.29</v>
      </c>
      <c r="F1393" s="3">
        <v>3</v>
      </c>
      <c r="G1393" s="6" t="s">
        <v>26</v>
      </c>
    </row>
    <row r="1394" spans="1:7" x14ac:dyDescent="0.3">
      <c r="A1394" s="2" t="s">
        <v>1753</v>
      </c>
      <c r="B1394" s="2" t="s">
        <v>1748</v>
      </c>
      <c r="C1394" s="6" t="s">
        <v>1749</v>
      </c>
      <c r="D1394" s="1">
        <v>45554</v>
      </c>
      <c r="E1394" s="4">
        <v>468.02</v>
      </c>
      <c r="F1394" s="3">
        <v>3</v>
      </c>
      <c r="G1394" s="6" t="s">
        <v>10</v>
      </c>
    </row>
    <row r="1395" spans="1:7" x14ac:dyDescent="0.3">
      <c r="A1395" s="2" t="s">
        <v>1754</v>
      </c>
      <c r="B1395" s="2" t="s">
        <v>1755</v>
      </c>
      <c r="C1395" s="6" t="s">
        <v>1756</v>
      </c>
      <c r="D1395" s="1">
        <v>45454</v>
      </c>
      <c r="E1395" s="4">
        <v>179.36</v>
      </c>
      <c r="F1395" s="3">
        <v>2</v>
      </c>
      <c r="G1395" s="6" t="s">
        <v>38</v>
      </c>
    </row>
    <row r="1396" spans="1:7" x14ac:dyDescent="0.3">
      <c r="A1396" s="2" t="s">
        <v>1757</v>
      </c>
      <c r="B1396" s="2" t="s">
        <v>1755</v>
      </c>
      <c r="C1396" s="6" t="s">
        <v>1756</v>
      </c>
      <c r="D1396" s="1">
        <v>45628</v>
      </c>
      <c r="E1396" s="4">
        <v>176.26</v>
      </c>
      <c r="F1396" s="3">
        <v>2</v>
      </c>
      <c r="G1396" s="6" t="s">
        <v>15</v>
      </c>
    </row>
    <row r="1397" spans="1:7" x14ac:dyDescent="0.3">
      <c r="A1397" s="2" t="s">
        <v>1758</v>
      </c>
      <c r="B1397" s="2" t="s">
        <v>1759</v>
      </c>
      <c r="C1397" s="6" t="s">
        <v>1760</v>
      </c>
      <c r="D1397" s="1">
        <v>45428</v>
      </c>
      <c r="E1397" s="4">
        <v>498.9</v>
      </c>
      <c r="F1397" s="3">
        <v>2</v>
      </c>
      <c r="G1397" s="6" t="s">
        <v>18</v>
      </c>
    </row>
    <row r="1398" spans="1:7" x14ac:dyDescent="0.3">
      <c r="A1398" s="2" t="s">
        <v>1761</v>
      </c>
      <c r="B1398" s="2" t="s">
        <v>1759</v>
      </c>
      <c r="C1398" s="6" t="s">
        <v>1760</v>
      </c>
      <c r="D1398" s="1">
        <v>45580</v>
      </c>
      <c r="E1398" s="4">
        <v>206.35</v>
      </c>
      <c r="F1398" s="3">
        <v>4</v>
      </c>
      <c r="G1398" s="6" t="s">
        <v>18</v>
      </c>
    </row>
    <row r="1399" spans="1:7" x14ac:dyDescent="0.3">
      <c r="A1399" s="2" t="s">
        <v>1762</v>
      </c>
      <c r="B1399" s="2" t="s">
        <v>1759</v>
      </c>
      <c r="C1399" s="6" t="s">
        <v>1760</v>
      </c>
      <c r="D1399" s="1">
        <v>45297</v>
      </c>
      <c r="E1399" s="4">
        <v>213.26</v>
      </c>
      <c r="F1399" s="3">
        <v>3</v>
      </c>
      <c r="G1399" s="6" t="s">
        <v>26</v>
      </c>
    </row>
    <row r="1400" spans="1:7" x14ac:dyDescent="0.3">
      <c r="A1400" s="2" t="s">
        <v>1763</v>
      </c>
      <c r="B1400" s="2" t="s">
        <v>1759</v>
      </c>
      <c r="C1400" s="6" t="s">
        <v>1760</v>
      </c>
      <c r="D1400" s="1">
        <v>45639</v>
      </c>
      <c r="E1400" s="4">
        <v>312.05</v>
      </c>
      <c r="F1400" s="3">
        <v>4</v>
      </c>
      <c r="G1400" s="6" t="s">
        <v>18</v>
      </c>
    </row>
    <row r="1401" spans="1:7" x14ac:dyDescent="0.3">
      <c r="A1401" s="2" t="s">
        <v>1764</v>
      </c>
      <c r="B1401" s="2" t="s">
        <v>1759</v>
      </c>
      <c r="C1401" s="6" t="s">
        <v>1760</v>
      </c>
      <c r="D1401" s="1">
        <v>45586</v>
      </c>
      <c r="E1401" s="4">
        <v>40.11</v>
      </c>
      <c r="F1401" s="3">
        <v>2</v>
      </c>
      <c r="G1401" s="6" t="s">
        <v>38</v>
      </c>
    </row>
    <row r="1402" spans="1:7" x14ac:dyDescent="0.3">
      <c r="A1402" s="2" t="s">
        <v>1765</v>
      </c>
      <c r="B1402" s="2" t="s">
        <v>1759</v>
      </c>
      <c r="C1402" s="6" t="s">
        <v>1760</v>
      </c>
      <c r="D1402" s="1">
        <v>45599</v>
      </c>
      <c r="E1402" s="4">
        <v>327.9</v>
      </c>
      <c r="F1402" s="3">
        <v>1</v>
      </c>
      <c r="G1402" s="6" t="s">
        <v>26</v>
      </c>
    </row>
    <row r="1403" spans="1:7" x14ac:dyDescent="0.3">
      <c r="A1403" s="2" t="s">
        <v>1766</v>
      </c>
      <c r="B1403" s="2" t="s">
        <v>1759</v>
      </c>
      <c r="C1403" s="6" t="s">
        <v>1760</v>
      </c>
      <c r="D1403" s="1">
        <v>45249</v>
      </c>
      <c r="E1403" s="4">
        <v>98.45</v>
      </c>
      <c r="F1403" s="3">
        <v>3</v>
      </c>
      <c r="G1403" s="6" t="s">
        <v>38</v>
      </c>
    </row>
    <row r="1404" spans="1:7" x14ac:dyDescent="0.3">
      <c r="A1404" s="2" t="s">
        <v>1767</v>
      </c>
      <c r="B1404" s="2" t="s">
        <v>1759</v>
      </c>
      <c r="C1404" s="6" t="s">
        <v>1760</v>
      </c>
      <c r="D1404" s="1">
        <v>45576</v>
      </c>
      <c r="E1404" s="4">
        <v>295.05</v>
      </c>
      <c r="F1404" s="3">
        <v>3</v>
      </c>
      <c r="G1404" s="6" t="s">
        <v>18</v>
      </c>
    </row>
    <row r="1405" spans="1:7" x14ac:dyDescent="0.3">
      <c r="A1405" s="2" t="s">
        <v>1768</v>
      </c>
      <c r="B1405" s="2" t="s">
        <v>1759</v>
      </c>
      <c r="C1405" s="6" t="s">
        <v>1760</v>
      </c>
      <c r="D1405" s="1">
        <v>45593</v>
      </c>
      <c r="E1405" s="4">
        <v>89.64</v>
      </c>
      <c r="F1405" s="3">
        <v>2</v>
      </c>
      <c r="G1405" s="6" t="s">
        <v>15</v>
      </c>
    </row>
    <row r="1406" spans="1:7" x14ac:dyDescent="0.3">
      <c r="A1406" s="2" t="s">
        <v>1769</v>
      </c>
      <c r="B1406" s="2" t="s">
        <v>1759</v>
      </c>
      <c r="C1406" s="6" t="s">
        <v>1760</v>
      </c>
      <c r="D1406" s="1">
        <v>45596</v>
      </c>
      <c r="E1406" s="4">
        <v>369.84</v>
      </c>
      <c r="F1406" s="3">
        <v>2</v>
      </c>
      <c r="G1406" s="6" t="s">
        <v>12</v>
      </c>
    </row>
    <row r="1407" spans="1:7" x14ac:dyDescent="0.3">
      <c r="A1407" s="2" t="s">
        <v>1770</v>
      </c>
      <c r="B1407" s="2" t="s">
        <v>1759</v>
      </c>
      <c r="C1407" s="6" t="s">
        <v>1760</v>
      </c>
      <c r="D1407" s="1">
        <v>45340</v>
      </c>
      <c r="E1407" s="4">
        <v>280.66000000000003</v>
      </c>
      <c r="F1407" s="3">
        <v>2</v>
      </c>
      <c r="G1407" s="6" t="s">
        <v>18</v>
      </c>
    </row>
    <row r="1408" spans="1:7" x14ac:dyDescent="0.3">
      <c r="A1408" s="2" t="s">
        <v>1771</v>
      </c>
      <c r="B1408" s="2" t="s">
        <v>1759</v>
      </c>
      <c r="C1408" s="6" t="s">
        <v>1760</v>
      </c>
      <c r="D1408" s="1">
        <v>45537</v>
      </c>
      <c r="E1408" s="4">
        <v>58.31</v>
      </c>
      <c r="F1408" s="3">
        <v>4</v>
      </c>
      <c r="G1408" s="6" t="s">
        <v>10</v>
      </c>
    </row>
    <row r="1409" spans="1:7" x14ac:dyDescent="0.3">
      <c r="A1409" s="2" t="s">
        <v>1772</v>
      </c>
      <c r="B1409" s="2" t="s">
        <v>1759</v>
      </c>
      <c r="C1409" s="6" t="s">
        <v>1760</v>
      </c>
      <c r="D1409" s="1">
        <v>45372</v>
      </c>
      <c r="E1409" s="4">
        <v>274.74</v>
      </c>
      <c r="F1409" s="3">
        <v>3</v>
      </c>
      <c r="G1409" s="6" t="s">
        <v>12</v>
      </c>
    </row>
    <row r="1410" spans="1:7" x14ac:dyDescent="0.3">
      <c r="A1410" s="2" t="s">
        <v>1773</v>
      </c>
      <c r="B1410" s="2" t="s">
        <v>1759</v>
      </c>
      <c r="C1410" s="6" t="s">
        <v>1760</v>
      </c>
      <c r="D1410" s="1">
        <v>45363</v>
      </c>
      <c r="E1410" s="4">
        <v>300.45999999999998</v>
      </c>
      <c r="F1410" s="3">
        <v>2</v>
      </c>
      <c r="G1410" s="6" t="s">
        <v>38</v>
      </c>
    </row>
    <row r="1411" spans="1:7" x14ac:dyDescent="0.3">
      <c r="A1411" s="2" t="s">
        <v>1774</v>
      </c>
      <c r="B1411" s="2" t="s">
        <v>1775</v>
      </c>
      <c r="C1411" s="6" t="s">
        <v>1776</v>
      </c>
      <c r="D1411" s="1">
        <v>45532</v>
      </c>
      <c r="E1411" s="4">
        <v>80.3</v>
      </c>
      <c r="F1411" s="3">
        <v>3</v>
      </c>
      <c r="G1411" s="6" t="s">
        <v>12</v>
      </c>
    </row>
    <row r="1412" spans="1:7" x14ac:dyDescent="0.3">
      <c r="A1412" s="2" t="s">
        <v>1777</v>
      </c>
      <c r="B1412" s="2" t="s">
        <v>1775</v>
      </c>
      <c r="C1412" s="6" t="s">
        <v>1776</v>
      </c>
      <c r="D1412" s="1">
        <v>45150</v>
      </c>
      <c r="E1412" s="4">
        <v>301.88</v>
      </c>
      <c r="F1412" s="3">
        <v>3</v>
      </c>
      <c r="G1412" s="6" t="s">
        <v>38</v>
      </c>
    </row>
    <row r="1413" spans="1:7" x14ac:dyDescent="0.3">
      <c r="A1413" s="2" t="s">
        <v>1778</v>
      </c>
      <c r="B1413" s="2" t="s">
        <v>1775</v>
      </c>
      <c r="C1413" s="6" t="s">
        <v>1776</v>
      </c>
      <c r="D1413" s="1">
        <v>45423</v>
      </c>
      <c r="E1413" s="4">
        <v>166.37</v>
      </c>
      <c r="F1413" s="3">
        <v>4</v>
      </c>
      <c r="G1413" s="6" t="s">
        <v>38</v>
      </c>
    </row>
    <row r="1414" spans="1:7" x14ac:dyDescent="0.3">
      <c r="A1414" s="2" t="s">
        <v>1779</v>
      </c>
      <c r="B1414" s="2" t="s">
        <v>1775</v>
      </c>
      <c r="C1414" s="6" t="s">
        <v>1776</v>
      </c>
      <c r="D1414" s="1">
        <v>45397</v>
      </c>
      <c r="E1414" s="4">
        <v>243.65</v>
      </c>
      <c r="F1414" s="3">
        <v>4</v>
      </c>
      <c r="G1414" s="6" t="s">
        <v>15</v>
      </c>
    </row>
    <row r="1415" spans="1:7" x14ac:dyDescent="0.3">
      <c r="A1415" s="2" t="s">
        <v>1780</v>
      </c>
      <c r="B1415" s="2" t="s">
        <v>1775</v>
      </c>
      <c r="C1415" s="6" t="s">
        <v>1776</v>
      </c>
      <c r="D1415" s="1">
        <v>45341</v>
      </c>
      <c r="E1415" s="4">
        <v>186.3</v>
      </c>
      <c r="F1415" s="3">
        <v>1</v>
      </c>
      <c r="G1415" s="6" t="s">
        <v>26</v>
      </c>
    </row>
    <row r="1416" spans="1:7" x14ac:dyDescent="0.3">
      <c r="A1416" s="2" t="s">
        <v>1781</v>
      </c>
      <c r="B1416" s="2" t="s">
        <v>1775</v>
      </c>
      <c r="C1416" s="6" t="s">
        <v>1776</v>
      </c>
      <c r="D1416" s="1">
        <v>45374</v>
      </c>
      <c r="E1416" s="4">
        <v>471.03</v>
      </c>
      <c r="F1416" s="3">
        <v>3</v>
      </c>
      <c r="G1416" s="6" t="s">
        <v>38</v>
      </c>
    </row>
    <row r="1417" spans="1:7" x14ac:dyDescent="0.3">
      <c r="A1417" s="2" t="s">
        <v>1782</v>
      </c>
      <c r="B1417" s="2" t="s">
        <v>1775</v>
      </c>
      <c r="C1417" s="6" t="s">
        <v>1776</v>
      </c>
      <c r="D1417" s="1">
        <v>45561</v>
      </c>
      <c r="E1417" s="4">
        <v>494</v>
      </c>
      <c r="F1417" s="3">
        <v>1</v>
      </c>
      <c r="G1417" s="6" t="s">
        <v>26</v>
      </c>
    </row>
    <row r="1418" spans="1:7" x14ac:dyDescent="0.3">
      <c r="A1418" s="2" t="s">
        <v>1783</v>
      </c>
      <c r="B1418" s="2" t="s">
        <v>1775</v>
      </c>
      <c r="C1418" s="6" t="s">
        <v>1776</v>
      </c>
      <c r="D1418" s="1">
        <v>45509</v>
      </c>
      <c r="E1418" s="4">
        <v>363.81</v>
      </c>
      <c r="F1418" s="3">
        <v>3</v>
      </c>
      <c r="G1418" s="6" t="s">
        <v>18</v>
      </c>
    </row>
    <row r="1419" spans="1:7" x14ac:dyDescent="0.3">
      <c r="A1419" s="2" t="s">
        <v>1784</v>
      </c>
      <c r="B1419" s="2" t="s">
        <v>1775</v>
      </c>
      <c r="C1419" s="6" t="s">
        <v>1776</v>
      </c>
      <c r="D1419" s="1">
        <v>45220</v>
      </c>
      <c r="E1419" s="4">
        <v>217.1</v>
      </c>
      <c r="F1419" s="3">
        <v>1</v>
      </c>
      <c r="G1419" s="6" t="s">
        <v>18</v>
      </c>
    </row>
    <row r="1420" spans="1:7" x14ac:dyDescent="0.3">
      <c r="A1420" s="2" t="s">
        <v>1785</v>
      </c>
      <c r="B1420" s="2" t="s">
        <v>1775</v>
      </c>
      <c r="C1420" s="6" t="s">
        <v>1776</v>
      </c>
      <c r="D1420" s="1">
        <v>45152</v>
      </c>
      <c r="E1420" s="4">
        <v>83.08</v>
      </c>
      <c r="F1420" s="3">
        <v>2</v>
      </c>
      <c r="G1420" s="6" t="s">
        <v>15</v>
      </c>
    </row>
    <row r="1421" spans="1:7" x14ac:dyDescent="0.3">
      <c r="A1421" s="2" t="s">
        <v>1786</v>
      </c>
      <c r="B1421" s="2" t="s">
        <v>1775</v>
      </c>
      <c r="C1421" s="6" t="s">
        <v>1776</v>
      </c>
      <c r="D1421" s="1">
        <v>45274</v>
      </c>
      <c r="E1421" s="4">
        <v>177.51</v>
      </c>
      <c r="F1421" s="3">
        <v>1</v>
      </c>
      <c r="G1421" s="6" t="s">
        <v>18</v>
      </c>
    </row>
    <row r="1422" spans="1:7" x14ac:dyDescent="0.3">
      <c r="A1422" s="2" t="s">
        <v>1787</v>
      </c>
      <c r="B1422" s="2" t="s">
        <v>1775</v>
      </c>
      <c r="C1422" s="6" t="s">
        <v>1776</v>
      </c>
      <c r="D1422" s="1">
        <v>45280</v>
      </c>
      <c r="E1422" s="4">
        <v>287.77999999999997</v>
      </c>
      <c r="F1422" s="3">
        <v>3</v>
      </c>
      <c r="G1422" s="6" t="s">
        <v>10</v>
      </c>
    </row>
    <row r="1423" spans="1:7" x14ac:dyDescent="0.3">
      <c r="A1423" s="2" t="s">
        <v>1788</v>
      </c>
      <c r="B1423" s="2" t="s">
        <v>1789</v>
      </c>
      <c r="C1423" s="6" t="s">
        <v>1790</v>
      </c>
      <c r="D1423" s="1">
        <v>45422</v>
      </c>
      <c r="E1423" s="4">
        <v>196.67</v>
      </c>
      <c r="F1423" s="3">
        <v>2</v>
      </c>
      <c r="G1423" s="6" t="s">
        <v>18</v>
      </c>
    </row>
    <row r="1424" spans="1:7" x14ac:dyDescent="0.3">
      <c r="A1424" s="2" t="s">
        <v>1791</v>
      </c>
      <c r="B1424" s="2" t="s">
        <v>1789</v>
      </c>
      <c r="C1424" s="6" t="s">
        <v>1790</v>
      </c>
      <c r="D1424" s="1">
        <v>45194</v>
      </c>
      <c r="E1424" s="4">
        <v>102.75</v>
      </c>
      <c r="F1424" s="3">
        <v>4</v>
      </c>
      <c r="G1424" s="6" t="s">
        <v>26</v>
      </c>
    </row>
    <row r="1425" spans="1:7" x14ac:dyDescent="0.3">
      <c r="A1425" s="2" t="s">
        <v>1792</v>
      </c>
      <c r="B1425" s="2" t="s">
        <v>1793</v>
      </c>
      <c r="C1425" s="6" t="s">
        <v>1794</v>
      </c>
      <c r="D1425" s="1">
        <v>45392</v>
      </c>
      <c r="E1425" s="4">
        <v>226.86</v>
      </c>
      <c r="F1425" s="3">
        <v>3</v>
      </c>
      <c r="G1425" s="6" t="s">
        <v>12</v>
      </c>
    </row>
    <row r="1426" spans="1:7" x14ac:dyDescent="0.3">
      <c r="A1426" s="2" t="s">
        <v>1795</v>
      </c>
      <c r="B1426" s="2" t="s">
        <v>1793</v>
      </c>
      <c r="C1426" s="6" t="s">
        <v>1794</v>
      </c>
      <c r="D1426" s="1">
        <v>45584</v>
      </c>
      <c r="E1426" s="4">
        <v>226.16</v>
      </c>
      <c r="F1426" s="3">
        <v>2</v>
      </c>
      <c r="G1426" s="6" t="s">
        <v>12</v>
      </c>
    </row>
    <row r="1427" spans="1:7" x14ac:dyDescent="0.3">
      <c r="A1427" s="2" t="s">
        <v>1796</v>
      </c>
      <c r="B1427" s="2" t="s">
        <v>1793</v>
      </c>
      <c r="C1427" s="6" t="s">
        <v>1794</v>
      </c>
      <c r="D1427" s="1">
        <v>45402</v>
      </c>
      <c r="E1427" s="4">
        <v>183.02</v>
      </c>
      <c r="F1427" s="3">
        <v>4</v>
      </c>
      <c r="G1427" s="6" t="s">
        <v>10</v>
      </c>
    </row>
    <row r="1428" spans="1:7" x14ac:dyDescent="0.3">
      <c r="A1428" s="2" t="s">
        <v>1797</v>
      </c>
      <c r="B1428" s="2" t="s">
        <v>1793</v>
      </c>
      <c r="C1428" s="6" t="s">
        <v>1794</v>
      </c>
      <c r="D1428" s="1">
        <v>45228</v>
      </c>
      <c r="E1428" s="4">
        <v>116.91</v>
      </c>
      <c r="F1428" s="3">
        <v>2</v>
      </c>
      <c r="G1428" s="6" t="s">
        <v>18</v>
      </c>
    </row>
    <row r="1429" spans="1:7" x14ac:dyDescent="0.3">
      <c r="A1429" s="2" t="s">
        <v>1798</v>
      </c>
      <c r="B1429" s="2" t="s">
        <v>1793</v>
      </c>
      <c r="C1429" s="6" t="s">
        <v>1794</v>
      </c>
      <c r="D1429" s="1">
        <v>45231</v>
      </c>
      <c r="E1429" s="4">
        <v>228.24</v>
      </c>
      <c r="F1429" s="3">
        <v>3</v>
      </c>
      <c r="G1429" s="6" t="s">
        <v>10</v>
      </c>
    </row>
    <row r="1430" spans="1:7" x14ac:dyDescent="0.3">
      <c r="A1430" s="2" t="s">
        <v>1799</v>
      </c>
      <c r="B1430" s="2" t="s">
        <v>1793</v>
      </c>
      <c r="C1430" s="6" t="s">
        <v>1794</v>
      </c>
      <c r="D1430" s="1">
        <v>45457</v>
      </c>
      <c r="E1430" s="4">
        <v>479.39</v>
      </c>
      <c r="F1430" s="3">
        <v>3</v>
      </c>
      <c r="G1430" s="6" t="s">
        <v>18</v>
      </c>
    </row>
    <row r="1431" spans="1:7" x14ac:dyDescent="0.3">
      <c r="A1431" s="2" t="s">
        <v>1800</v>
      </c>
      <c r="B1431" s="2" t="s">
        <v>1801</v>
      </c>
      <c r="C1431" s="6" t="s">
        <v>1802</v>
      </c>
      <c r="D1431" s="1">
        <v>45623</v>
      </c>
      <c r="E1431" s="4">
        <v>17.02</v>
      </c>
      <c r="F1431" s="3">
        <v>1</v>
      </c>
      <c r="G1431" s="6" t="s">
        <v>38</v>
      </c>
    </row>
    <row r="1432" spans="1:7" x14ac:dyDescent="0.3">
      <c r="A1432" s="2" t="s">
        <v>1803</v>
      </c>
      <c r="B1432" s="2" t="s">
        <v>1801</v>
      </c>
      <c r="C1432" s="6" t="s">
        <v>1802</v>
      </c>
      <c r="D1432" s="1">
        <v>45589</v>
      </c>
      <c r="E1432" s="4">
        <v>100.57</v>
      </c>
      <c r="F1432" s="3">
        <v>3</v>
      </c>
      <c r="G1432" s="6" t="s">
        <v>10</v>
      </c>
    </row>
    <row r="1433" spans="1:7" x14ac:dyDescent="0.3">
      <c r="A1433" s="2" t="s">
        <v>1804</v>
      </c>
      <c r="B1433" s="2" t="s">
        <v>1801</v>
      </c>
      <c r="C1433" s="6" t="s">
        <v>1802</v>
      </c>
      <c r="D1433" s="1">
        <v>45600</v>
      </c>
      <c r="E1433" s="4">
        <v>384.21</v>
      </c>
      <c r="F1433" s="3">
        <v>2</v>
      </c>
      <c r="G1433" s="6" t="s">
        <v>12</v>
      </c>
    </row>
    <row r="1434" spans="1:7" x14ac:dyDescent="0.3">
      <c r="A1434" s="2" t="s">
        <v>1805</v>
      </c>
      <c r="B1434" s="2" t="s">
        <v>1801</v>
      </c>
      <c r="C1434" s="6" t="s">
        <v>1802</v>
      </c>
      <c r="D1434" s="1">
        <v>45654</v>
      </c>
      <c r="E1434" s="4">
        <v>336.6</v>
      </c>
      <c r="F1434" s="3">
        <v>3</v>
      </c>
      <c r="G1434" s="6" t="s">
        <v>10</v>
      </c>
    </row>
    <row r="1435" spans="1:7" x14ac:dyDescent="0.3">
      <c r="A1435" s="2" t="s">
        <v>1806</v>
      </c>
      <c r="B1435" s="2" t="s">
        <v>1801</v>
      </c>
      <c r="C1435" s="6" t="s">
        <v>1802</v>
      </c>
      <c r="D1435" s="1">
        <v>45514</v>
      </c>
      <c r="E1435" s="4">
        <v>80.05</v>
      </c>
      <c r="F1435" s="3">
        <v>4</v>
      </c>
      <c r="G1435" s="6" t="s">
        <v>26</v>
      </c>
    </row>
    <row r="1436" spans="1:7" x14ac:dyDescent="0.3">
      <c r="A1436" s="2" t="s">
        <v>1807</v>
      </c>
      <c r="B1436" s="2" t="s">
        <v>1801</v>
      </c>
      <c r="C1436" s="6" t="s">
        <v>1802</v>
      </c>
      <c r="D1436" s="1">
        <v>45432</v>
      </c>
      <c r="E1436" s="4">
        <v>199.49</v>
      </c>
      <c r="F1436" s="3">
        <v>4</v>
      </c>
      <c r="G1436" s="6" t="s">
        <v>18</v>
      </c>
    </row>
    <row r="1437" spans="1:7" x14ac:dyDescent="0.3">
      <c r="A1437" s="2" t="s">
        <v>1808</v>
      </c>
      <c r="B1437" s="2" t="s">
        <v>1801</v>
      </c>
      <c r="C1437" s="6" t="s">
        <v>1802</v>
      </c>
      <c r="D1437" s="1">
        <v>45514</v>
      </c>
      <c r="E1437" s="4">
        <v>428.85</v>
      </c>
      <c r="F1437" s="3">
        <v>3</v>
      </c>
      <c r="G1437" s="6" t="s">
        <v>10</v>
      </c>
    </row>
    <row r="1438" spans="1:7" x14ac:dyDescent="0.3">
      <c r="A1438" s="2" t="s">
        <v>1809</v>
      </c>
      <c r="B1438" s="2" t="s">
        <v>1801</v>
      </c>
      <c r="C1438" s="6" t="s">
        <v>1802</v>
      </c>
      <c r="D1438" s="1">
        <v>45470</v>
      </c>
      <c r="E1438" s="4">
        <v>197.56</v>
      </c>
      <c r="F1438" s="3">
        <v>4</v>
      </c>
      <c r="G1438" s="6" t="s">
        <v>26</v>
      </c>
    </row>
    <row r="1439" spans="1:7" x14ac:dyDescent="0.3">
      <c r="A1439" s="2" t="s">
        <v>1810</v>
      </c>
      <c r="B1439" s="2" t="s">
        <v>1801</v>
      </c>
      <c r="C1439" s="6" t="s">
        <v>1802</v>
      </c>
      <c r="D1439" s="1">
        <v>45578</v>
      </c>
      <c r="E1439" s="4">
        <v>257.79000000000002</v>
      </c>
      <c r="F1439" s="3">
        <v>3</v>
      </c>
      <c r="G1439" s="6" t="s">
        <v>10</v>
      </c>
    </row>
    <row r="1440" spans="1:7" x14ac:dyDescent="0.3">
      <c r="A1440" s="2" t="s">
        <v>1811</v>
      </c>
      <c r="B1440" s="2" t="s">
        <v>1801</v>
      </c>
      <c r="C1440" s="6" t="s">
        <v>1802</v>
      </c>
      <c r="D1440" s="1">
        <v>45448</v>
      </c>
      <c r="E1440" s="4">
        <v>281.11</v>
      </c>
      <c r="F1440" s="3">
        <v>3</v>
      </c>
      <c r="G1440" s="6" t="s">
        <v>10</v>
      </c>
    </row>
    <row r="1441" spans="1:7" x14ac:dyDescent="0.3">
      <c r="A1441" s="2" t="s">
        <v>1812</v>
      </c>
      <c r="B1441" s="2" t="s">
        <v>1801</v>
      </c>
      <c r="C1441" s="6" t="s">
        <v>1802</v>
      </c>
      <c r="D1441" s="1">
        <v>45643</v>
      </c>
      <c r="E1441" s="4">
        <v>108.9</v>
      </c>
      <c r="F1441" s="3">
        <v>1</v>
      </c>
      <c r="G1441" s="6" t="s">
        <v>18</v>
      </c>
    </row>
    <row r="1442" spans="1:7" x14ac:dyDescent="0.3">
      <c r="A1442" s="2" t="s">
        <v>1813</v>
      </c>
      <c r="B1442" s="2" t="s">
        <v>1801</v>
      </c>
      <c r="C1442" s="6" t="s">
        <v>1802</v>
      </c>
      <c r="D1442" s="1">
        <v>45648</v>
      </c>
      <c r="E1442" s="4">
        <v>33.86</v>
      </c>
      <c r="F1442" s="3">
        <v>2</v>
      </c>
      <c r="G1442" s="6" t="s">
        <v>18</v>
      </c>
    </row>
    <row r="1443" spans="1:7" x14ac:dyDescent="0.3">
      <c r="A1443" s="2" t="s">
        <v>1814</v>
      </c>
      <c r="B1443" s="2" t="s">
        <v>1815</v>
      </c>
      <c r="C1443" s="6" t="s">
        <v>1816</v>
      </c>
      <c r="D1443" s="1">
        <v>45332</v>
      </c>
      <c r="E1443" s="4">
        <v>326.33</v>
      </c>
      <c r="F1443" s="3">
        <v>2</v>
      </c>
      <c r="G1443" s="6" t="s">
        <v>38</v>
      </c>
    </row>
    <row r="1444" spans="1:7" x14ac:dyDescent="0.3">
      <c r="A1444" s="2" t="s">
        <v>1817</v>
      </c>
      <c r="B1444" s="2" t="s">
        <v>1815</v>
      </c>
      <c r="C1444" s="6" t="s">
        <v>1816</v>
      </c>
      <c r="D1444" s="1">
        <v>45427</v>
      </c>
      <c r="E1444" s="4">
        <v>422.66</v>
      </c>
      <c r="F1444" s="3">
        <v>1</v>
      </c>
      <c r="G1444" s="6" t="s">
        <v>38</v>
      </c>
    </row>
    <row r="1445" spans="1:7" x14ac:dyDescent="0.3">
      <c r="A1445" s="2" t="s">
        <v>1818</v>
      </c>
      <c r="B1445" s="2" t="s">
        <v>1815</v>
      </c>
      <c r="C1445" s="6" t="s">
        <v>1816</v>
      </c>
      <c r="D1445" s="1">
        <v>45525</v>
      </c>
      <c r="E1445" s="4">
        <v>93.24</v>
      </c>
      <c r="F1445" s="3">
        <v>4</v>
      </c>
      <c r="G1445" s="6" t="s">
        <v>38</v>
      </c>
    </row>
    <row r="1446" spans="1:7" x14ac:dyDescent="0.3">
      <c r="A1446" s="2" t="s">
        <v>1819</v>
      </c>
      <c r="B1446" s="2" t="s">
        <v>1815</v>
      </c>
      <c r="C1446" s="6" t="s">
        <v>1816</v>
      </c>
      <c r="D1446" s="1">
        <v>45373</v>
      </c>
      <c r="E1446" s="4">
        <v>380.81</v>
      </c>
      <c r="F1446" s="3">
        <v>1</v>
      </c>
      <c r="G1446" s="6" t="s">
        <v>18</v>
      </c>
    </row>
    <row r="1447" spans="1:7" x14ac:dyDescent="0.3">
      <c r="A1447" s="2" t="s">
        <v>1820</v>
      </c>
      <c r="B1447" s="2" t="s">
        <v>1815</v>
      </c>
      <c r="C1447" s="6" t="s">
        <v>1816</v>
      </c>
      <c r="D1447" s="1">
        <v>45639</v>
      </c>
      <c r="E1447" s="4">
        <v>185.49</v>
      </c>
      <c r="F1447" s="3">
        <v>2</v>
      </c>
      <c r="G1447" s="6" t="s">
        <v>12</v>
      </c>
    </row>
    <row r="1448" spans="1:7" x14ac:dyDescent="0.3">
      <c r="A1448" s="2" t="s">
        <v>1821</v>
      </c>
      <c r="B1448" s="2" t="s">
        <v>1815</v>
      </c>
      <c r="C1448" s="6" t="s">
        <v>1816</v>
      </c>
      <c r="D1448" s="1">
        <v>45646</v>
      </c>
      <c r="E1448" s="4">
        <v>33.020000000000003</v>
      </c>
      <c r="F1448" s="3">
        <v>1</v>
      </c>
      <c r="G1448" s="6" t="s">
        <v>18</v>
      </c>
    </row>
    <row r="1449" spans="1:7" x14ac:dyDescent="0.3">
      <c r="A1449" s="2" t="s">
        <v>1822</v>
      </c>
      <c r="B1449" s="2" t="s">
        <v>1815</v>
      </c>
      <c r="C1449" s="6" t="s">
        <v>1816</v>
      </c>
      <c r="D1449" s="1">
        <v>45262</v>
      </c>
      <c r="E1449" s="4">
        <v>281.82</v>
      </c>
      <c r="F1449" s="3">
        <v>3</v>
      </c>
      <c r="G1449" s="6" t="s">
        <v>26</v>
      </c>
    </row>
    <row r="1450" spans="1:7" x14ac:dyDescent="0.3">
      <c r="A1450" s="2" t="s">
        <v>1823</v>
      </c>
      <c r="B1450" s="2" t="s">
        <v>1815</v>
      </c>
      <c r="C1450" s="6" t="s">
        <v>1816</v>
      </c>
      <c r="D1450" s="1">
        <v>45538</v>
      </c>
      <c r="E1450" s="4">
        <v>338.51</v>
      </c>
      <c r="F1450" s="3">
        <v>4</v>
      </c>
      <c r="G1450" s="6" t="s">
        <v>12</v>
      </c>
    </row>
    <row r="1451" spans="1:7" x14ac:dyDescent="0.3">
      <c r="A1451" s="2" t="s">
        <v>1824</v>
      </c>
      <c r="B1451" s="2" t="s">
        <v>1815</v>
      </c>
      <c r="C1451" s="6" t="s">
        <v>1816</v>
      </c>
      <c r="D1451" s="1">
        <v>45374</v>
      </c>
      <c r="E1451" s="4">
        <v>385.33</v>
      </c>
      <c r="F1451" s="3">
        <v>4</v>
      </c>
      <c r="G1451" s="6" t="s">
        <v>38</v>
      </c>
    </row>
    <row r="1452" spans="1:7" x14ac:dyDescent="0.3">
      <c r="A1452" s="2" t="s">
        <v>1825</v>
      </c>
      <c r="B1452" s="2" t="s">
        <v>1826</v>
      </c>
      <c r="C1452" s="6" t="s">
        <v>1827</v>
      </c>
      <c r="D1452" s="1">
        <v>45214</v>
      </c>
      <c r="E1452" s="4">
        <v>96.77</v>
      </c>
      <c r="F1452" s="3">
        <v>4</v>
      </c>
      <c r="G1452" s="6" t="s">
        <v>26</v>
      </c>
    </row>
    <row r="1453" spans="1:7" x14ac:dyDescent="0.3">
      <c r="A1453" s="2" t="s">
        <v>1828</v>
      </c>
      <c r="B1453" s="2" t="s">
        <v>1826</v>
      </c>
      <c r="C1453" s="6" t="s">
        <v>1827</v>
      </c>
      <c r="D1453" s="1">
        <v>45469</v>
      </c>
      <c r="E1453" s="4">
        <v>484.22</v>
      </c>
      <c r="F1453" s="3">
        <v>4</v>
      </c>
      <c r="G1453" s="6" t="s">
        <v>18</v>
      </c>
    </row>
    <row r="1454" spans="1:7" x14ac:dyDescent="0.3">
      <c r="A1454" s="2" t="s">
        <v>1829</v>
      </c>
      <c r="B1454" s="2" t="s">
        <v>1826</v>
      </c>
      <c r="C1454" s="6" t="s">
        <v>1827</v>
      </c>
      <c r="D1454" s="1">
        <v>45426</v>
      </c>
      <c r="E1454" s="4">
        <v>164.53</v>
      </c>
      <c r="F1454" s="3">
        <v>1</v>
      </c>
      <c r="G1454" s="6" t="s">
        <v>18</v>
      </c>
    </row>
    <row r="1455" spans="1:7" x14ac:dyDescent="0.3">
      <c r="A1455" s="2" t="s">
        <v>1830</v>
      </c>
      <c r="B1455" s="2" t="s">
        <v>1826</v>
      </c>
      <c r="C1455" s="6" t="s">
        <v>1827</v>
      </c>
      <c r="D1455" s="1">
        <v>45415</v>
      </c>
      <c r="E1455" s="4">
        <v>93.06</v>
      </c>
      <c r="F1455" s="3">
        <v>2</v>
      </c>
      <c r="G1455" s="6" t="s">
        <v>15</v>
      </c>
    </row>
    <row r="1456" spans="1:7" x14ac:dyDescent="0.3">
      <c r="A1456" s="2" t="s">
        <v>1831</v>
      </c>
      <c r="B1456" s="2" t="s">
        <v>1832</v>
      </c>
      <c r="C1456" s="6" t="s">
        <v>1833</v>
      </c>
      <c r="D1456" s="1">
        <v>45598</v>
      </c>
      <c r="E1456" s="4">
        <v>342</v>
      </c>
      <c r="F1456" s="3">
        <v>2</v>
      </c>
      <c r="G1456" s="6" t="s">
        <v>10</v>
      </c>
    </row>
    <row r="1457" spans="1:7" x14ac:dyDescent="0.3">
      <c r="A1457" s="2" t="s">
        <v>1834</v>
      </c>
      <c r="B1457" s="2" t="s">
        <v>1832</v>
      </c>
      <c r="C1457" s="6" t="s">
        <v>1833</v>
      </c>
      <c r="D1457" s="1">
        <v>45435</v>
      </c>
      <c r="E1457" s="4">
        <v>461.99</v>
      </c>
      <c r="F1457" s="3">
        <v>2</v>
      </c>
      <c r="G1457" s="6" t="s">
        <v>10</v>
      </c>
    </row>
    <row r="1458" spans="1:7" x14ac:dyDescent="0.3">
      <c r="A1458" s="2" t="s">
        <v>1835</v>
      </c>
      <c r="B1458" s="2" t="s">
        <v>1836</v>
      </c>
      <c r="C1458" s="6" t="s">
        <v>1837</v>
      </c>
      <c r="D1458" s="1">
        <v>45391</v>
      </c>
      <c r="E1458" s="4">
        <v>423.44</v>
      </c>
      <c r="F1458" s="3">
        <v>2</v>
      </c>
      <c r="G1458" s="6" t="s">
        <v>10</v>
      </c>
    </row>
    <row r="1459" spans="1:7" x14ac:dyDescent="0.3">
      <c r="A1459" s="2" t="s">
        <v>1838</v>
      </c>
      <c r="B1459" s="2" t="s">
        <v>1836</v>
      </c>
      <c r="C1459" s="6" t="s">
        <v>1837</v>
      </c>
      <c r="D1459" s="1">
        <v>45426</v>
      </c>
      <c r="E1459" s="4">
        <v>481.19</v>
      </c>
      <c r="F1459" s="3">
        <v>4</v>
      </c>
      <c r="G1459" s="6" t="s">
        <v>10</v>
      </c>
    </row>
    <row r="1460" spans="1:7" x14ac:dyDescent="0.3">
      <c r="A1460" s="2" t="s">
        <v>1839</v>
      </c>
      <c r="B1460" s="2" t="s">
        <v>1836</v>
      </c>
      <c r="C1460" s="6" t="s">
        <v>1837</v>
      </c>
      <c r="D1460" s="1">
        <v>45404</v>
      </c>
      <c r="E1460" s="4">
        <v>205.67</v>
      </c>
      <c r="F1460" s="3">
        <v>3</v>
      </c>
      <c r="G1460" s="6" t="s">
        <v>12</v>
      </c>
    </row>
    <row r="1461" spans="1:7" x14ac:dyDescent="0.3">
      <c r="A1461" s="2" t="s">
        <v>1840</v>
      </c>
      <c r="B1461" s="2" t="s">
        <v>1836</v>
      </c>
      <c r="C1461" s="6" t="s">
        <v>1837</v>
      </c>
      <c r="D1461" s="1">
        <v>45563</v>
      </c>
      <c r="E1461" s="4">
        <v>310.02</v>
      </c>
      <c r="F1461" s="3">
        <v>3</v>
      </c>
      <c r="G1461" s="6" t="s">
        <v>18</v>
      </c>
    </row>
    <row r="1462" spans="1:7" x14ac:dyDescent="0.3">
      <c r="A1462" s="2" t="s">
        <v>1841</v>
      </c>
      <c r="B1462" s="2" t="s">
        <v>1836</v>
      </c>
      <c r="C1462" s="6" t="s">
        <v>1837</v>
      </c>
      <c r="D1462" s="1">
        <v>45526</v>
      </c>
      <c r="E1462" s="4">
        <v>407.13</v>
      </c>
      <c r="F1462" s="3">
        <v>4</v>
      </c>
      <c r="G1462" s="6" t="s">
        <v>15</v>
      </c>
    </row>
    <row r="1463" spans="1:7" x14ac:dyDescent="0.3">
      <c r="A1463" s="2" t="s">
        <v>1842</v>
      </c>
      <c r="B1463" s="2" t="s">
        <v>1836</v>
      </c>
      <c r="C1463" s="6" t="s">
        <v>1837</v>
      </c>
      <c r="D1463" s="1">
        <v>45632</v>
      </c>
      <c r="E1463" s="4">
        <v>293.39999999999998</v>
      </c>
      <c r="F1463" s="3">
        <v>4</v>
      </c>
      <c r="G1463" s="6" t="s">
        <v>12</v>
      </c>
    </row>
    <row r="1464" spans="1:7" x14ac:dyDescent="0.3">
      <c r="A1464" s="2" t="s">
        <v>1843</v>
      </c>
      <c r="B1464" s="2" t="s">
        <v>1836</v>
      </c>
      <c r="C1464" s="6" t="s">
        <v>1837</v>
      </c>
      <c r="D1464" s="1">
        <v>45567</v>
      </c>
      <c r="E1464" s="4">
        <v>43.31</v>
      </c>
      <c r="F1464" s="3">
        <v>1</v>
      </c>
      <c r="G1464" s="6" t="s">
        <v>18</v>
      </c>
    </row>
    <row r="1465" spans="1:7" x14ac:dyDescent="0.3">
      <c r="A1465" s="2" t="s">
        <v>1844</v>
      </c>
      <c r="B1465" s="2" t="s">
        <v>1836</v>
      </c>
      <c r="C1465" s="6" t="s">
        <v>1837</v>
      </c>
      <c r="D1465" s="1">
        <v>45225</v>
      </c>
      <c r="E1465" s="4">
        <v>349.1</v>
      </c>
      <c r="F1465" s="3">
        <v>3</v>
      </c>
      <c r="G1465" s="6" t="s">
        <v>26</v>
      </c>
    </row>
    <row r="1466" spans="1:7" x14ac:dyDescent="0.3">
      <c r="A1466" s="2" t="s">
        <v>1845</v>
      </c>
      <c r="B1466" s="2" t="s">
        <v>1836</v>
      </c>
      <c r="C1466" s="6" t="s">
        <v>1837</v>
      </c>
      <c r="D1466" s="1">
        <v>45356</v>
      </c>
      <c r="E1466" s="4">
        <v>278.81</v>
      </c>
      <c r="F1466" s="3">
        <v>2</v>
      </c>
      <c r="G1466" s="6" t="s">
        <v>10</v>
      </c>
    </row>
    <row r="1467" spans="1:7" x14ac:dyDescent="0.3">
      <c r="A1467" s="2" t="s">
        <v>1846</v>
      </c>
      <c r="B1467" s="2" t="s">
        <v>1836</v>
      </c>
      <c r="C1467" s="6" t="s">
        <v>1837</v>
      </c>
      <c r="D1467" s="1">
        <v>45531</v>
      </c>
      <c r="E1467" s="4">
        <v>288.58999999999997</v>
      </c>
      <c r="F1467" s="3">
        <v>4</v>
      </c>
      <c r="G1467" s="6" t="s">
        <v>18</v>
      </c>
    </row>
    <row r="1468" spans="1:7" x14ac:dyDescent="0.3">
      <c r="A1468" s="2" t="s">
        <v>1847</v>
      </c>
      <c r="B1468" s="2" t="s">
        <v>1836</v>
      </c>
      <c r="C1468" s="6" t="s">
        <v>1837</v>
      </c>
      <c r="D1468" s="1">
        <v>45216</v>
      </c>
      <c r="E1468" s="4">
        <v>340.97</v>
      </c>
      <c r="F1468" s="3">
        <v>1</v>
      </c>
      <c r="G1468" s="6" t="s">
        <v>15</v>
      </c>
    </row>
    <row r="1469" spans="1:7" x14ac:dyDescent="0.3">
      <c r="A1469" s="2" t="s">
        <v>1848</v>
      </c>
      <c r="B1469" s="2" t="s">
        <v>1836</v>
      </c>
      <c r="C1469" s="6" t="s">
        <v>1837</v>
      </c>
      <c r="D1469" s="1">
        <v>45234</v>
      </c>
      <c r="E1469" s="4">
        <v>15.43</v>
      </c>
      <c r="F1469" s="3">
        <v>1</v>
      </c>
      <c r="G1469" s="6" t="s">
        <v>18</v>
      </c>
    </row>
    <row r="1470" spans="1:7" x14ac:dyDescent="0.3">
      <c r="A1470" s="2" t="s">
        <v>1849</v>
      </c>
      <c r="B1470" s="2" t="s">
        <v>1836</v>
      </c>
      <c r="C1470" s="6" t="s">
        <v>1837</v>
      </c>
      <c r="D1470" s="1">
        <v>45470</v>
      </c>
      <c r="E1470" s="4">
        <v>454.45</v>
      </c>
      <c r="F1470" s="3">
        <v>1</v>
      </c>
      <c r="G1470" s="6" t="s">
        <v>38</v>
      </c>
    </row>
    <row r="1471" spans="1:7" x14ac:dyDescent="0.3">
      <c r="A1471" s="2" t="s">
        <v>1850</v>
      </c>
      <c r="B1471" s="2" t="s">
        <v>1836</v>
      </c>
      <c r="C1471" s="6" t="s">
        <v>1837</v>
      </c>
      <c r="D1471" s="1">
        <v>45253</v>
      </c>
      <c r="E1471" s="4">
        <v>183.64</v>
      </c>
      <c r="F1471" s="3">
        <v>4</v>
      </c>
      <c r="G1471" s="6" t="s">
        <v>12</v>
      </c>
    </row>
    <row r="1472" spans="1:7" x14ac:dyDescent="0.3">
      <c r="A1472" s="2" t="s">
        <v>1851</v>
      </c>
      <c r="B1472" s="2" t="s">
        <v>1836</v>
      </c>
      <c r="C1472" s="6" t="s">
        <v>1837</v>
      </c>
      <c r="D1472" s="1">
        <v>45531</v>
      </c>
      <c r="E1472" s="4">
        <v>247.06</v>
      </c>
      <c r="F1472" s="3">
        <v>1</v>
      </c>
      <c r="G1472" s="6" t="s">
        <v>18</v>
      </c>
    </row>
    <row r="1473" spans="1:7" x14ac:dyDescent="0.3">
      <c r="A1473" s="2" t="s">
        <v>1852</v>
      </c>
      <c r="B1473" s="2" t="s">
        <v>1853</v>
      </c>
      <c r="C1473" s="6" t="s">
        <v>1854</v>
      </c>
      <c r="D1473" s="1">
        <v>45432</v>
      </c>
      <c r="E1473" s="4">
        <v>89.11</v>
      </c>
      <c r="F1473" s="3">
        <v>3</v>
      </c>
      <c r="G1473" s="6" t="s">
        <v>38</v>
      </c>
    </row>
    <row r="1474" spans="1:7" x14ac:dyDescent="0.3">
      <c r="A1474" s="2" t="s">
        <v>1855</v>
      </c>
      <c r="B1474" s="2" t="s">
        <v>1853</v>
      </c>
      <c r="C1474" s="6" t="s">
        <v>1854</v>
      </c>
      <c r="D1474" s="1">
        <v>45435</v>
      </c>
      <c r="E1474" s="4">
        <v>43.89</v>
      </c>
      <c r="F1474" s="3">
        <v>2</v>
      </c>
      <c r="G1474" s="6" t="s">
        <v>12</v>
      </c>
    </row>
    <row r="1475" spans="1:7" x14ac:dyDescent="0.3">
      <c r="A1475" s="2" t="s">
        <v>1856</v>
      </c>
      <c r="B1475" s="2" t="s">
        <v>1853</v>
      </c>
      <c r="C1475" s="6" t="s">
        <v>1854</v>
      </c>
      <c r="D1475" s="1">
        <v>45104</v>
      </c>
      <c r="E1475" s="4">
        <v>392.3</v>
      </c>
      <c r="F1475" s="3">
        <v>3</v>
      </c>
      <c r="G1475" s="6" t="s">
        <v>15</v>
      </c>
    </row>
    <row r="1476" spans="1:7" x14ac:dyDescent="0.3">
      <c r="A1476" s="2" t="s">
        <v>1857</v>
      </c>
      <c r="B1476" s="2" t="s">
        <v>1853</v>
      </c>
      <c r="C1476" s="6" t="s">
        <v>1854</v>
      </c>
      <c r="D1476" s="1">
        <v>45615</v>
      </c>
      <c r="E1476" s="4">
        <v>171.97</v>
      </c>
      <c r="F1476" s="3">
        <v>1</v>
      </c>
      <c r="G1476" s="6" t="s">
        <v>10</v>
      </c>
    </row>
    <row r="1477" spans="1:7" x14ac:dyDescent="0.3">
      <c r="A1477" s="2" t="s">
        <v>1858</v>
      </c>
      <c r="B1477" s="2" t="s">
        <v>1853</v>
      </c>
      <c r="C1477" s="6" t="s">
        <v>1854</v>
      </c>
      <c r="D1477" s="1">
        <v>45502</v>
      </c>
      <c r="E1477" s="4">
        <v>370.16</v>
      </c>
      <c r="F1477" s="3">
        <v>1</v>
      </c>
      <c r="G1477" s="6" t="s">
        <v>10</v>
      </c>
    </row>
    <row r="1478" spans="1:7" x14ac:dyDescent="0.3">
      <c r="A1478" s="2" t="s">
        <v>1859</v>
      </c>
      <c r="B1478" s="2" t="s">
        <v>1853</v>
      </c>
      <c r="C1478" s="6" t="s">
        <v>1854</v>
      </c>
      <c r="D1478" s="1">
        <v>45146</v>
      </c>
      <c r="E1478" s="4">
        <v>75.260000000000005</v>
      </c>
      <c r="F1478" s="3">
        <v>2</v>
      </c>
      <c r="G1478" s="6" t="s">
        <v>10</v>
      </c>
    </row>
    <row r="1479" spans="1:7" x14ac:dyDescent="0.3">
      <c r="A1479" s="2" t="s">
        <v>1860</v>
      </c>
      <c r="B1479" s="2" t="s">
        <v>1853</v>
      </c>
      <c r="C1479" s="6" t="s">
        <v>1854</v>
      </c>
      <c r="D1479" s="1">
        <v>45598</v>
      </c>
      <c r="E1479" s="4">
        <v>39.86</v>
      </c>
      <c r="F1479" s="3">
        <v>1</v>
      </c>
      <c r="G1479" s="6" t="s">
        <v>15</v>
      </c>
    </row>
    <row r="1480" spans="1:7" x14ac:dyDescent="0.3">
      <c r="A1480" s="2" t="s">
        <v>1861</v>
      </c>
      <c r="B1480" s="2" t="s">
        <v>1853</v>
      </c>
      <c r="C1480" s="6" t="s">
        <v>1854</v>
      </c>
      <c r="D1480" s="1">
        <v>45506</v>
      </c>
      <c r="E1480" s="4">
        <v>166.33</v>
      </c>
      <c r="F1480" s="3">
        <v>2</v>
      </c>
      <c r="G1480" s="6" t="s">
        <v>38</v>
      </c>
    </row>
    <row r="1481" spans="1:7" x14ac:dyDescent="0.3">
      <c r="A1481" s="2" t="s">
        <v>1862</v>
      </c>
      <c r="B1481" s="2" t="s">
        <v>1853</v>
      </c>
      <c r="C1481" s="6" t="s">
        <v>1854</v>
      </c>
      <c r="D1481" s="1">
        <v>45300</v>
      </c>
      <c r="E1481" s="4">
        <v>149.96</v>
      </c>
      <c r="F1481" s="3">
        <v>2</v>
      </c>
      <c r="G1481" s="6" t="s">
        <v>18</v>
      </c>
    </row>
    <row r="1482" spans="1:7" x14ac:dyDescent="0.3">
      <c r="A1482" s="2" t="s">
        <v>1863</v>
      </c>
      <c r="B1482" s="2" t="s">
        <v>1853</v>
      </c>
      <c r="C1482" s="6" t="s">
        <v>1854</v>
      </c>
      <c r="D1482" s="1">
        <v>45044</v>
      </c>
      <c r="E1482" s="4">
        <v>296.57</v>
      </c>
      <c r="F1482" s="3">
        <v>3</v>
      </c>
      <c r="G1482" s="6" t="s">
        <v>12</v>
      </c>
    </row>
    <row r="1483" spans="1:7" x14ac:dyDescent="0.3">
      <c r="A1483" s="2" t="s">
        <v>1864</v>
      </c>
      <c r="B1483" s="2" t="s">
        <v>1853</v>
      </c>
      <c r="C1483" s="6" t="s">
        <v>1854</v>
      </c>
      <c r="D1483" s="1">
        <v>45324</v>
      </c>
      <c r="E1483" s="4">
        <v>39.840000000000003</v>
      </c>
      <c r="F1483" s="3">
        <v>2</v>
      </c>
      <c r="G1483" s="6" t="s">
        <v>12</v>
      </c>
    </row>
    <row r="1484" spans="1:7" x14ac:dyDescent="0.3">
      <c r="A1484" s="2" t="s">
        <v>1865</v>
      </c>
      <c r="B1484" s="2" t="s">
        <v>1866</v>
      </c>
      <c r="C1484" s="6" t="s">
        <v>1867</v>
      </c>
      <c r="D1484" s="1">
        <v>45520</v>
      </c>
      <c r="E1484" s="4">
        <v>134.27000000000001</v>
      </c>
      <c r="F1484" s="3">
        <v>4</v>
      </c>
      <c r="G1484" s="6" t="s">
        <v>38</v>
      </c>
    </row>
    <row r="1485" spans="1:7" x14ac:dyDescent="0.3">
      <c r="A1485" s="2" t="s">
        <v>1868</v>
      </c>
      <c r="B1485" s="2" t="s">
        <v>1869</v>
      </c>
      <c r="C1485" s="6" t="s">
        <v>1870</v>
      </c>
      <c r="D1485" s="1">
        <v>45631</v>
      </c>
      <c r="E1485" s="4">
        <v>432.22</v>
      </c>
      <c r="F1485" s="3">
        <v>2</v>
      </c>
      <c r="G1485" s="6" t="s">
        <v>12</v>
      </c>
    </row>
    <row r="1486" spans="1:7" x14ac:dyDescent="0.3">
      <c r="A1486" s="2" t="s">
        <v>1871</v>
      </c>
      <c r="B1486" s="2" t="s">
        <v>1869</v>
      </c>
      <c r="C1486" s="6" t="s">
        <v>1870</v>
      </c>
      <c r="D1486" s="1">
        <v>45543</v>
      </c>
      <c r="E1486" s="4">
        <v>164.88</v>
      </c>
      <c r="F1486" s="3">
        <v>3</v>
      </c>
      <c r="G1486" s="6" t="s">
        <v>10</v>
      </c>
    </row>
    <row r="1487" spans="1:7" x14ac:dyDescent="0.3">
      <c r="A1487" s="2" t="s">
        <v>1872</v>
      </c>
      <c r="B1487" s="2" t="s">
        <v>1869</v>
      </c>
      <c r="C1487" s="6" t="s">
        <v>1870</v>
      </c>
      <c r="D1487" s="1">
        <v>45605</v>
      </c>
      <c r="E1487" s="4">
        <v>220.54</v>
      </c>
      <c r="F1487" s="3">
        <v>3</v>
      </c>
      <c r="G1487" s="6" t="s">
        <v>18</v>
      </c>
    </row>
    <row r="1488" spans="1:7" x14ac:dyDescent="0.3">
      <c r="A1488" s="2" t="s">
        <v>1873</v>
      </c>
      <c r="B1488" s="2" t="s">
        <v>1869</v>
      </c>
      <c r="C1488" s="6" t="s">
        <v>1870</v>
      </c>
      <c r="D1488" s="1">
        <v>45527</v>
      </c>
      <c r="E1488" s="4">
        <v>290.33999999999997</v>
      </c>
      <c r="F1488" s="3">
        <v>1</v>
      </c>
      <c r="G1488" s="6" t="s">
        <v>12</v>
      </c>
    </row>
    <row r="1489" spans="1:7" x14ac:dyDescent="0.3">
      <c r="A1489" s="2" t="s">
        <v>1874</v>
      </c>
      <c r="B1489" s="2" t="s">
        <v>1869</v>
      </c>
      <c r="C1489" s="6" t="s">
        <v>1870</v>
      </c>
      <c r="D1489" s="1">
        <v>45616</v>
      </c>
      <c r="E1489" s="4">
        <v>98.77</v>
      </c>
      <c r="F1489" s="3">
        <v>2</v>
      </c>
      <c r="G1489" s="6" t="s">
        <v>26</v>
      </c>
    </row>
    <row r="1490" spans="1:7" x14ac:dyDescent="0.3">
      <c r="A1490" s="2" t="s">
        <v>1875</v>
      </c>
      <c r="B1490" s="2" t="s">
        <v>1869</v>
      </c>
      <c r="C1490" s="6" t="s">
        <v>1870</v>
      </c>
      <c r="D1490" s="1">
        <v>45543</v>
      </c>
      <c r="E1490" s="4">
        <v>282.02</v>
      </c>
      <c r="F1490" s="3">
        <v>1</v>
      </c>
      <c r="G1490" s="6" t="s">
        <v>18</v>
      </c>
    </row>
    <row r="1491" spans="1:7" x14ac:dyDescent="0.3">
      <c r="A1491" s="2" t="s">
        <v>1876</v>
      </c>
      <c r="B1491" s="2" t="s">
        <v>1869</v>
      </c>
      <c r="C1491" s="6" t="s">
        <v>1870</v>
      </c>
      <c r="D1491" s="1">
        <v>45320</v>
      </c>
      <c r="E1491" s="4">
        <v>43.01</v>
      </c>
      <c r="F1491" s="3">
        <v>4</v>
      </c>
      <c r="G1491" s="6" t="s">
        <v>38</v>
      </c>
    </row>
    <row r="1492" spans="1:7" x14ac:dyDescent="0.3">
      <c r="A1492" s="2" t="s">
        <v>1877</v>
      </c>
      <c r="B1492" s="2" t="s">
        <v>1869</v>
      </c>
      <c r="C1492" s="6" t="s">
        <v>1870</v>
      </c>
      <c r="D1492" s="1">
        <v>45237</v>
      </c>
      <c r="E1492" s="4">
        <v>364.31</v>
      </c>
      <c r="F1492" s="3">
        <v>2</v>
      </c>
      <c r="G1492" s="6" t="s">
        <v>26</v>
      </c>
    </row>
    <row r="1493" spans="1:7" x14ac:dyDescent="0.3">
      <c r="A1493" s="2" t="s">
        <v>1878</v>
      </c>
      <c r="B1493" s="2" t="s">
        <v>1869</v>
      </c>
      <c r="C1493" s="6" t="s">
        <v>1870</v>
      </c>
      <c r="D1493" s="1">
        <v>45442</v>
      </c>
      <c r="E1493" s="4">
        <v>293.7</v>
      </c>
      <c r="F1493" s="3">
        <v>1</v>
      </c>
      <c r="G1493" s="6" t="s">
        <v>15</v>
      </c>
    </row>
    <row r="1494" spans="1:7" x14ac:dyDescent="0.3">
      <c r="A1494" s="2" t="s">
        <v>1879</v>
      </c>
      <c r="B1494" s="2" t="s">
        <v>1880</v>
      </c>
      <c r="C1494" s="6" t="s">
        <v>1881</v>
      </c>
      <c r="D1494" s="1">
        <v>45163</v>
      </c>
      <c r="E1494" s="4">
        <v>199.85</v>
      </c>
      <c r="F1494" s="3">
        <v>1</v>
      </c>
      <c r="G1494" s="6" t="s">
        <v>38</v>
      </c>
    </row>
    <row r="1495" spans="1:7" x14ac:dyDescent="0.3">
      <c r="A1495" s="2" t="s">
        <v>1882</v>
      </c>
      <c r="B1495" s="2" t="s">
        <v>1880</v>
      </c>
      <c r="C1495" s="6" t="s">
        <v>1881</v>
      </c>
      <c r="D1495" s="1">
        <v>45285</v>
      </c>
      <c r="E1495" s="4">
        <v>153.83000000000001</v>
      </c>
      <c r="F1495" s="3">
        <v>4</v>
      </c>
      <c r="G1495" s="6" t="s">
        <v>38</v>
      </c>
    </row>
    <row r="1496" spans="1:7" x14ac:dyDescent="0.3">
      <c r="A1496" s="2" t="s">
        <v>1883</v>
      </c>
      <c r="B1496" s="2" t="s">
        <v>1880</v>
      </c>
      <c r="C1496" s="6" t="s">
        <v>1881</v>
      </c>
      <c r="D1496" s="1">
        <v>45291</v>
      </c>
      <c r="E1496" s="4">
        <v>85.35</v>
      </c>
      <c r="F1496" s="3">
        <v>1</v>
      </c>
      <c r="G1496" s="6" t="s">
        <v>15</v>
      </c>
    </row>
    <row r="1497" spans="1:7" x14ac:dyDescent="0.3">
      <c r="A1497" s="2" t="s">
        <v>1884</v>
      </c>
      <c r="B1497" s="2" t="s">
        <v>1880</v>
      </c>
      <c r="C1497" s="6" t="s">
        <v>1881</v>
      </c>
      <c r="D1497" s="1">
        <v>45395</v>
      </c>
      <c r="E1497" s="4">
        <v>334.66</v>
      </c>
      <c r="F1497" s="3">
        <v>3</v>
      </c>
      <c r="G1497" s="6" t="s">
        <v>26</v>
      </c>
    </row>
    <row r="1498" spans="1:7" x14ac:dyDescent="0.3">
      <c r="A1498" s="2" t="s">
        <v>1885</v>
      </c>
      <c r="B1498" s="2" t="s">
        <v>1880</v>
      </c>
      <c r="C1498" s="6" t="s">
        <v>1881</v>
      </c>
      <c r="D1498" s="1">
        <v>45406</v>
      </c>
      <c r="E1498" s="4">
        <v>409.88</v>
      </c>
      <c r="F1498" s="3">
        <v>2</v>
      </c>
      <c r="G1498" s="6" t="s">
        <v>15</v>
      </c>
    </row>
    <row r="1499" spans="1:7" x14ac:dyDescent="0.3">
      <c r="A1499" s="2" t="s">
        <v>1886</v>
      </c>
      <c r="B1499" s="2" t="s">
        <v>1880</v>
      </c>
      <c r="C1499" s="6" t="s">
        <v>1881</v>
      </c>
      <c r="D1499" s="1">
        <v>45257</v>
      </c>
      <c r="E1499" s="4">
        <v>362.88</v>
      </c>
      <c r="F1499" s="3">
        <v>4</v>
      </c>
      <c r="G1499" s="6" t="s">
        <v>38</v>
      </c>
    </row>
    <row r="1500" spans="1:7" x14ac:dyDescent="0.3">
      <c r="A1500" s="2" t="s">
        <v>1887</v>
      </c>
      <c r="B1500" s="2" t="s">
        <v>1880</v>
      </c>
      <c r="C1500" s="6" t="s">
        <v>1881</v>
      </c>
      <c r="D1500" s="1">
        <v>45215</v>
      </c>
      <c r="E1500" s="4">
        <v>34.119999999999997</v>
      </c>
      <c r="F1500" s="3">
        <v>4</v>
      </c>
      <c r="G1500" s="6" t="s">
        <v>18</v>
      </c>
    </row>
    <row r="1501" spans="1:7" x14ac:dyDescent="0.3">
      <c r="A1501" s="2" t="s">
        <v>1888</v>
      </c>
      <c r="B1501" s="2" t="s">
        <v>1880</v>
      </c>
      <c r="C1501" s="6" t="s">
        <v>1881</v>
      </c>
      <c r="D1501" s="1">
        <v>45157</v>
      </c>
      <c r="E1501" s="4">
        <v>77.44</v>
      </c>
      <c r="F1501" s="3">
        <v>3</v>
      </c>
      <c r="G1501" s="6" t="s">
        <v>12</v>
      </c>
    </row>
    <row r="1502" spans="1:7" x14ac:dyDescent="0.3">
      <c r="A1502" s="2" t="s">
        <v>1889</v>
      </c>
      <c r="B1502" s="2" t="s">
        <v>1880</v>
      </c>
      <c r="C1502" s="6" t="s">
        <v>1881</v>
      </c>
      <c r="D1502" s="1">
        <v>45633</v>
      </c>
      <c r="E1502" s="4">
        <v>77.680000000000007</v>
      </c>
      <c r="F1502" s="3">
        <v>4</v>
      </c>
      <c r="G1502" s="6" t="s">
        <v>10</v>
      </c>
    </row>
    <row r="1503" spans="1:7" x14ac:dyDescent="0.3">
      <c r="A1503" s="2" t="s">
        <v>1890</v>
      </c>
      <c r="B1503" s="2" t="s">
        <v>1891</v>
      </c>
      <c r="C1503" s="6" t="s">
        <v>1892</v>
      </c>
      <c r="D1503" s="1">
        <v>45242</v>
      </c>
      <c r="E1503" s="4">
        <v>184.72</v>
      </c>
      <c r="F1503" s="3">
        <v>4</v>
      </c>
      <c r="G1503" s="6" t="s">
        <v>15</v>
      </c>
    </row>
    <row r="1504" spans="1:7" x14ac:dyDescent="0.3">
      <c r="A1504" s="2" t="s">
        <v>1893</v>
      </c>
      <c r="B1504" s="2" t="s">
        <v>1891</v>
      </c>
      <c r="C1504" s="6" t="s">
        <v>1892</v>
      </c>
      <c r="D1504" s="1">
        <v>45047</v>
      </c>
      <c r="E1504" s="4">
        <v>382.4</v>
      </c>
      <c r="F1504" s="3">
        <v>2</v>
      </c>
      <c r="G1504" s="6" t="s">
        <v>26</v>
      </c>
    </row>
    <row r="1505" spans="1:7" x14ac:dyDescent="0.3">
      <c r="A1505" s="2" t="s">
        <v>1894</v>
      </c>
      <c r="B1505" s="2" t="s">
        <v>1891</v>
      </c>
      <c r="C1505" s="6" t="s">
        <v>1892</v>
      </c>
      <c r="D1505" s="1">
        <v>45546</v>
      </c>
      <c r="E1505" s="4">
        <v>112.75</v>
      </c>
      <c r="F1505" s="3">
        <v>3</v>
      </c>
      <c r="G1505" s="6" t="s">
        <v>10</v>
      </c>
    </row>
    <row r="1506" spans="1:7" x14ac:dyDescent="0.3">
      <c r="A1506" s="2" t="s">
        <v>1895</v>
      </c>
      <c r="B1506" s="2" t="s">
        <v>1891</v>
      </c>
      <c r="C1506" s="6" t="s">
        <v>1892</v>
      </c>
      <c r="D1506" s="1">
        <v>45643</v>
      </c>
      <c r="E1506" s="4">
        <v>158.66</v>
      </c>
      <c r="F1506" s="3">
        <v>1</v>
      </c>
      <c r="G1506" s="6" t="s">
        <v>12</v>
      </c>
    </row>
    <row r="1507" spans="1:7" x14ac:dyDescent="0.3">
      <c r="A1507" s="2" t="s">
        <v>1896</v>
      </c>
      <c r="B1507" s="2" t="s">
        <v>1891</v>
      </c>
      <c r="C1507" s="6" t="s">
        <v>1892</v>
      </c>
      <c r="D1507" s="1">
        <v>45063</v>
      </c>
      <c r="E1507" s="4">
        <v>84.42</v>
      </c>
      <c r="F1507" s="3">
        <v>4</v>
      </c>
      <c r="G1507" s="6" t="s">
        <v>15</v>
      </c>
    </row>
    <row r="1508" spans="1:7" x14ac:dyDescent="0.3">
      <c r="A1508" s="2" t="s">
        <v>1897</v>
      </c>
      <c r="B1508" s="2" t="s">
        <v>1891</v>
      </c>
      <c r="C1508" s="6" t="s">
        <v>1892</v>
      </c>
      <c r="D1508" s="1">
        <v>45157</v>
      </c>
      <c r="E1508" s="4">
        <v>74.05</v>
      </c>
      <c r="F1508" s="3">
        <v>1</v>
      </c>
      <c r="G1508" s="6" t="s">
        <v>26</v>
      </c>
    </row>
    <row r="1509" spans="1:7" x14ac:dyDescent="0.3">
      <c r="A1509" s="2" t="s">
        <v>1898</v>
      </c>
      <c r="B1509" s="2" t="s">
        <v>1891</v>
      </c>
      <c r="C1509" s="6" t="s">
        <v>1892</v>
      </c>
      <c r="D1509" s="1">
        <v>44987</v>
      </c>
      <c r="E1509" s="4">
        <v>219.81</v>
      </c>
      <c r="F1509" s="3">
        <v>2</v>
      </c>
      <c r="G1509" s="6" t="s">
        <v>15</v>
      </c>
    </row>
    <row r="1510" spans="1:7" x14ac:dyDescent="0.3">
      <c r="A1510" s="2" t="s">
        <v>1899</v>
      </c>
      <c r="B1510" s="2" t="s">
        <v>1891</v>
      </c>
      <c r="C1510" s="6" t="s">
        <v>1892</v>
      </c>
      <c r="D1510" s="1">
        <v>45349</v>
      </c>
      <c r="E1510" s="4">
        <v>257.18</v>
      </c>
      <c r="F1510" s="3">
        <v>3</v>
      </c>
      <c r="G1510" s="6" t="s">
        <v>26</v>
      </c>
    </row>
    <row r="1511" spans="1:7" x14ac:dyDescent="0.3">
      <c r="A1511" s="2" t="s">
        <v>1900</v>
      </c>
      <c r="B1511" s="2" t="s">
        <v>1901</v>
      </c>
      <c r="C1511" s="6" t="s">
        <v>1902</v>
      </c>
      <c r="D1511" s="1">
        <v>45232</v>
      </c>
      <c r="E1511" s="4">
        <v>321.67</v>
      </c>
      <c r="F1511" s="3">
        <v>3</v>
      </c>
      <c r="G1511" s="6" t="s">
        <v>18</v>
      </c>
    </row>
    <row r="1512" spans="1:7" x14ac:dyDescent="0.3">
      <c r="A1512" s="2" t="s">
        <v>1903</v>
      </c>
      <c r="B1512" s="2" t="s">
        <v>1901</v>
      </c>
      <c r="C1512" s="6" t="s">
        <v>1902</v>
      </c>
      <c r="D1512" s="1">
        <v>45507</v>
      </c>
      <c r="E1512" s="4">
        <v>266.47000000000003</v>
      </c>
      <c r="F1512" s="3">
        <v>4</v>
      </c>
      <c r="G1512" s="6" t="s">
        <v>18</v>
      </c>
    </row>
    <row r="1513" spans="1:7" x14ac:dyDescent="0.3">
      <c r="A1513" s="2" t="s">
        <v>1904</v>
      </c>
      <c r="B1513" s="2" t="s">
        <v>1905</v>
      </c>
      <c r="C1513" s="6" t="s">
        <v>1906</v>
      </c>
      <c r="D1513" s="1">
        <v>45590</v>
      </c>
      <c r="E1513" s="4">
        <v>399.58</v>
      </c>
      <c r="F1513" s="3">
        <v>3</v>
      </c>
      <c r="G1513" s="6" t="s">
        <v>15</v>
      </c>
    </row>
    <row r="1514" spans="1:7" x14ac:dyDescent="0.3">
      <c r="A1514" s="2" t="s">
        <v>1907</v>
      </c>
      <c r="B1514" s="2" t="s">
        <v>1905</v>
      </c>
      <c r="C1514" s="6" t="s">
        <v>1906</v>
      </c>
      <c r="D1514" s="1">
        <v>45301</v>
      </c>
      <c r="E1514" s="4">
        <v>424.6</v>
      </c>
      <c r="F1514" s="3">
        <v>3</v>
      </c>
      <c r="G1514" s="6" t="s">
        <v>38</v>
      </c>
    </row>
    <row r="1515" spans="1:7" x14ac:dyDescent="0.3">
      <c r="A1515" s="2" t="s">
        <v>1908</v>
      </c>
      <c r="B1515" s="2" t="s">
        <v>1905</v>
      </c>
      <c r="C1515" s="6" t="s">
        <v>1906</v>
      </c>
      <c r="D1515" s="1">
        <v>45624</v>
      </c>
      <c r="E1515" s="4">
        <v>324.37</v>
      </c>
      <c r="F1515" s="3">
        <v>3</v>
      </c>
      <c r="G1515" s="6" t="s">
        <v>18</v>
      </c>
    </row>
    <row r="1516" spans="1:7" x14ac:dyDescent="0.3">
      <c r="A1516" s="2" t="s">
        <v>1909</v>
      </c>
      <c r="B1516" s="2" t="s">
        <v>1905</v>
      </c>
      <c r="C1516" s="6" t="s">
        <v>1906</v>
      </c>
      <c r="D1516" s="1">
        <v>45571</v>
      </c>
      <c r="E1516" s="4">
        <v>40.590000000000003</v>
      </c>
      <c r="F1516" s="3">
        <v>4</v>
      </c>
      <c r="G1516" s="6" t="s">
        <v>18</v>
      </c>
    </row>
    <row r="1517" spans="1:7" x14ac:dyDescent="0.3">
      <c r="A1517" s="2" t="s">
        <v>1910</v>
      </c>
      <c r="B1517" s="2" t="s">
        <v>1905</v>
      </c>
      <c r="C1517" s="6" t="s">
        <v>1906</v>
      </c>
      <c r="D1517" s="1">
        <v>45445</v>
      </c>
      <c r="E1517" s="4">
        <v>131.78</v>
      </c>
      <c r="F1517" s="3">
        <v>4</v>
      </c>
      <c r="G1517" s="6" t="s">
        <v>15</v>
      </c>
    </row>
    <row r="1518" spans="1:7" x14ac:dyDescent="0.3">
      <c r="A1518" s="2" t="s">
        <v>1911</v>
      </c>
      <c r="B1518" s="2" t="s">
        <v>1905</v>
      </c>
      <c r="C1518" s="6" t="s">
        <v>1906</v>
      </c>
      <c r="D1518" s="1">
        <v>45349</v>
      </c>
      <c r="E1518" s="4">
        <v>438.99</v>
      </c>
      <c r="F1518" s="3">
        <v>1</v>
      </c>
      <c r="G1518" s="6" t="s">
        <v>10</v>
      </c>
    </row>
    <row r="1519" spans="1:7" x14ac:dyDescent="0.3">
      <c r="A1519" s="2" t="s">
        <v>1912</v>
      </c>
      <c r="B1519" s="2" t="s">
        <v>1905</v>
      </c>
      <c r="C1519" s="6" t="s">
        <v>1906</v>
      </c>
      <c r="D1519" s="1">
        <v>45273</v>
      </c>
      <c r="E1519" s="4">
        <v>430.04</v>
      </c>
      <c r="F1519" s="3">
        <v>4</v>
      </c>
      <c r="G1519" s="6" t="s">
        <v>26</v>
      </c>
    </row>
    <row r="1520" spans="1:7" x14ac:dyDescent="0.3">
      <c r="A1520" s="2" t="s">
        <v>1913</v>
      </c>
      <c r="B1520" s="2" t="s">
        <v>1905</v>
      </c>
      <c r="C1520" s="6" t="s">
        <v>1906</v>
      </c>
      <c r="D1520" s="1">
        <v>45272</v>
      </c>
      <c r="E1520" s="4">
        <v>348.26</v>
      </c>
      <c r="F1520" s="3">
        <v>1</v>
      </c>
      <c r="G1520" s="6" t="s">
        <v>18</v>
      </c>
    </row>
    <row r="1521" spans="1:7" x14ac:dyDescent="0.3">
      <c r="A1521" s="2" t="s">
        <v>1914</v>
      </c>
      <c r="B1521" s="2" t="s">
        <v>1915</v>
      </c>
      <c r="C1521" s="6" t="s">
        <v>1916</v>
      </c>
      <c r="D1521" s="1">
        <v>45525</v>
      </c>
      <c r="E1521" s="4">
        <v>337.98</v>
      </c>
      <c r="F1521" s="3">
        <v>2</v>
      </c>
      <c r="G1521" s="6" t="s">
        <v>12</v>
      </c>
    </row>
    <row r="1522" spans="1:7" x14ac:dyDescent="0.3">
      <c r="A1522" s="2" t="s">
        <v>1917</v>
      </c>
      <c r="B1522" s="2" t="s">
        <v>1915</v>
      </c>
      <c r="C1522" s="6" t="s">
        <v>1916</v>
      </c>
      <c r="D1522" s="1">
        <v>45571</v>
      </c>
      <c r="E1522" s="4">
        <v>68.78</v>
      </c>
      <c r="F1522" s="3">
        <v>4</v>
      </c>
      <c r="G1522" s="6" t="s">
        <v>26</v>
      </c>
    </row>
    <row r="1523" spans="1:7" x14ac:dyDescent="0.3">
      <c r="A1523" s="2" t="s">
        <v>1918</v>
      </c>
      <c r="B1523" s="2" t="s">
        <v>1915</v>
      </c>
      <c r="C1523" s="6" t="s">
        <v>1916</v>
      </c>
      <c r="D1523" s="1">
        <v>45575</v>
      </c>
      <c r="E1523" s="4">
        <v>96.79</v>
      </c>
      <c r="F1523" s="3">
        <v>2</v>
      </c>
      <c r="G1523" s="6" t="s">
        <v>10</v>
      </c>
    </row>
    <row r="1524" spans="1:7" x14ac:dyDescent="0.3">
      <c r="A1524" s="2" t="s">
        <v>1919</v>
      </c>
      <c r="B1524" s="2" t="s">
        <v>1915</v>
      </c>
      <c r="C1524" s="6" t="s">
        <v>1916</v>
      </c>
      <c r="D1524" s="1">
        <v>45623</v>
      </c>
      <c r="E1524" s="4">
        <v>476.67</v>
      </c>
      <c r="F1524" s="3">
        <v>2</v>
      </c>
      <c r="G1524" s="6" t="s">
        <v>10</v>
      </c>
    </row>
    <row r="1525" spans="1:7" x14ac:dyDescent="0.3">
      <c r="A1525" s="2" t="s">
        <v>1920</v>
      </c>
      <c r="B1525" s="2" t="s">
        <v>1915</v>
      </c>
      <c r="C1525" s="6" t="s">
        <v>1916</v>
      </c>
      <c r="D1525" s="1">
        <v>45372</v>
      </c>
      <c r="E1525" s="4">
        <v>125.46</v>
      </c>
      <c r="F1525" s="3">
        <v>4</v>
      </c>
      <c r="G1525" s="6" t="s">
        <v>12</v>
      </c>
    </row>
    <row r="1526" spans="1:7" x14ac:dyDescent="0.3">
      <c r="A1526" s="2" t="s">
        <v>1921</v>
      </c>
      <c r="B1526" s="2" t="s">
        <v>1915</v>
      </c>
      <c r="C1526" s="6" t="s">
        <v>1916</v>
      </c>
      <c r="D1526" s="1">
        <v>45367</v>
      </c>
      <c r="E1526" s="4">
        <v>473.42</v>
      </c>
      <c r="F1526" s="3">
        <v>3</v>
      </c>
      <c r="G1526" s="6" t="s">
        <v>18</v>
      </c>
    </row>
    <row r="1527" spans="1:7" x14ac:dyDescent="0.3">
      <c r="A1527" s="2" t="s">
        <v>1922</v>
      </c>
      <c r="B1527" s="2" t="s">
        <v>1915</v>
      </c>
      <c r="C1527" s="6" t="s">
        <v>1916</v>
      </c>
      <c r="D1527" s="1">
        <v>45515</v>
      </c>
      <c r="E1527" s="4">
        <v>74.53</v>
      </c>
      <c r="F1527" s="3">
        <v>1</v>
      </c>
      <c r="G1527" s="6" t="s">
        <v>38</v>
      </c>
    </row>
    <row r="1528" spans="1:7" x14ac:dyDescent="0.3">
      <c r="A1528" s="2" t="s">
        <v>1923</v>
      </c>
      <c r="B1528" s="2" t="s">
        <v>1915</v>
      </c>
      <c r="C1528" s="6" t="s">
        <v>1916</v>
      </c>
      <c r="D1528" s="1">
        <v>45379</v>
      </c>
      <c r="E1528" s="4">
        <v>50.16</v>
      </c>
      <c r="F1528" s="3">
        <v>4</v>
      </c>
      <c r="G1528" s="6" t="s">
        <v>18</v>
      </c>
    </row>
    <row r="1529" spans="1:7" x14ac:dyDescent="0.3">
      <c r="A1529" s="2" t="s">
        <v>1924</v>
      </c>
      <c r="B1529" s="2" t="s">
        <v>1915</v>
      </c>
      <c r="C1529" s="6" t="s">
        <v>1916</v>
      </c>
      <c r="D1529" s="1">
        <v>45223</v>
      </c>
      <c r="E1529" s="4">
        <v>437.79</v>
      </c>
      <c r="F1529" s="3">
        <v>1</v>
      </c>
      <c r="G1529" s="6" t="s">
        <v>18</v>
      </c>
    </row>
    <row r="1530" spans="1:7" x14ac:dyDescent="0.3">
      <c r="A1530" s="2" t="s">
        <v>1925</v>
      </c>
      <c r="B1530" s="2" t="s">
        <v>1915</v>
      </c>
      <c r="C1530" s="6" t="s">
        <v>1916</v>
      </c>
      <c r="D1530" s="1">
        <v>45292</v>
      </c>
      <c r="E1530" s="4">
        <v>431.24</v>
      </c>
      <c r="F1530" s="3">
        <v>3</v>
      </c>
      <c r="G1530" s="6" t="s">
        <v>38</v>
      </c>
    </row>
    <row r="1531" spans="1:7" x14ac:dyDescent="0.3">
      <c r="A1531" s="2" t="s">
        <v>1926</v>
      </c>
      <c r="B1531" s="2" t="s">
        <v>1915</v>
      </c>
      <c r="C1531" s="6" t="s">
        <v>1916</v>
      </c>
      <c r="D1531" s="1">
        <v>45652</v>
      </c>
      <c r="E1531" s="4">
        <v>426.06</v>
      </c>
      <c r="F1531" s="3">
        <v>3</v>
      </c>
      <c r="G1531" s="6" t="s">
        <v>15</v>
      </c>
    </row>
    <row r="1532" spans="1:7" x14ac:dyDescent="0.3">
      <c r="A1532" s="2" t="s">
        <v>1927</v>
      </c>
      <c r="B1532" s="2" t="s">
        <v>1915</v>
      </c>
      <c r="C1532" s="6" t="s">
        <v>1916</v>
      </c>
      <c r="D1532" s="1">
        <v>45229</v>
      </c>
      <c r="E1532" s="4">
        <v>412.07</v>
      </c>
      <c r="F1532" s="3">
        <v>1</v>
      </c>
      <c r="G1532" s="6" t="s">
        <v>26</v>
      </c>
    </row>
    <row r="1533" spans="1:7" x14ac:dyDescent="0.3">
      <c r="A1533" s="2" t="s">
        <v>1928</v>
      </c>
      <c r="B1533" s="2" t="s">
        <v>1915</v>
      </c>
      <c r="C1533" s="6" t="s">
        <v>1916</v>
      </c>
      <c r="D1533" s="1">
        <v>45605</v>
      </c>
      <c r="E1533" s="4">
        <v>102.71</v>
      </c>
      <c r="F1533" s="3">
        <v>1</v>
      </c>
      <c r="G1533" s="6" t="s">
        <v>15</v>
      </c>
    </row>
    <row r="1534" spans="1:7" x14ac:dyDescent="0.3">
      <c r="A1534" s="2" t="s">
        <v>1929</v>
      </c>
      <c r="B1534" s="2" t="s">
        <v>1915</v>
      </c>
      <c r="C1534" s="6" t="s">
        <v>1916</v>
      </c>
      <c r="D1534" s="1">
        <v>45375</v>
      </c>
      <c r="E1534" s="4">
        <v>306.11</v>
      </c>
      <c r="F1534" s="3">
        <v>4</v>
      </c>
      <c r="G1534" s="6" t="s">
        <v>12</v>
      </c>
    </row>
    <row r="1535" spans="1:7" x14ac:dyDescent="0.3">
      <c r="A1535" s="2" t="s">
        <v>1930</v>
      </c>
      <c r="B1535" s="2" t="s">
        <v>1931</v>
      </c>
      <c r="C1535" s="6" t="s">
        <v>1932</v>
      </c>
      <c r="D1535" s="1">
        <v>45291</v>
      </c>
      <c r="E1535" s="4">
        <v>466.92</v>
      </c>
      <c r="F1535" s="3">
        <v>3</v>
      </c>
      <c r="G1535" s="6" t="s">
        <v>18</v>
      </c>
    </row>
    <row r="1536" spans="1:7" x14ac:dyDescent="0.3">
      <c r="A1536" s="2" t="s">
        <v>1933</v>
      </c>
      <c r="B1536" s="2" t="s">
        <v>1931</v>
      </c>
      <c r="C1536" s="6" t="s">
        <v>1932</v>
      </c>
      <c r="D1536" s="1">
        <v>45183</v>
      </c>
      <c r="E1536" s="4">
        <v>239.71</v>
      </c>
      <c r="F1536" s="3">
        <v>1</v>
      </c>
      <c r="G1536" s="6" t="s">
        <v>10</v>
      </c>
    </row>
    <row r="1537" spans="1:7" x14ac:dyDescent="0.3">
      <c r="A1537" s="2" t="s">
        <v>1934</v>
      </c>
      <c r="B1537" s="2" t="s">
        <v>1931</v>
      </c>
      <c r="C1537" s="6" t="s">
        <v>1932</v>
      </c>
      <c r="D1537" s="1">
        <v>45482</v>
      </c>
      <c r="E1537" s="4">
        <v>79.58</v>
      </c>
      <c r="F1537" s="3">
        <v>4</v>
      </c>
      <c r="G1537" s="6" t="s">
        <v>15</v>
      </c>
    </row>
    <row r="1538" spans="1:7" x14ac:dyDescent="0.3">
      <c r="A1538" s="2" t="s">
        <v>1935</v>
      </c>
      <c r="B1538" s="2" t="s">
        <v>1931</v>
      </c>
      <c r="C1538" s="6" t="s">
        <v>1932</v>
      </c>
      <c r="D1538" s="1">
        <v>45117</v>
      </c>
      <c r="E1538" s="4">
        <v>160.09</v>
      </c>
      <c r="F1538" s="3">
        <v>3</v>
      </c>
      <c r="G1538" s="6" t="s">
        <v>26</v>
      </c>
    </row>
    <row r="1539" spans="1:7" x14ac:dyDescent="0.3">
      <c r="A1539" s="2" t="s">
        <v>1936</v>
      </c>
      <c r="B1539" s="2" t="s">
        <v>1931</v>
      </c>
      <c r="C1539" s="6" t="s">
        <v>1932</v>
      </c>
      <c r="D1539" s="1">
        <v>45146</v>
      </c>
      <c r="E1539" s="4">
        <v>481.09</v>
      </c>
      <c r="F1539" s="3">
        <v>4</v>
      </c>
      <c r="G1539" s="6" t="s">
        <v>26</v>
      </c>
    </row>
    <row r="1540" spans="1:7" x14ac:dyDescent="0.3">
      <c r="A1540" s="2" t="s">
        <v>1937</v>
      </c>
      <c r="B1540" s="2" t="s">
        <v>1938</v>
      </c>
      <c r="C1540" s="6" t="s">
        <v>1939</v>
      </c>
      <c r="D1540" s="1">
        <v>45423</v>
      </c>
      <c r="E1540" s="4">
        <v>318.52</v>
      </c>
      <c r="F1540" s="3">
        <v>1</v>
      </c>
      <c r="G1540" s="6" t="s">
        <v>10</v>
      </c>
    </row>
    <row r="1541" spans="1:7" x14ac:dyDescent="0.3">
      <c r="A1541" s="2" t="s">
        <v>1940</v>
      </c>
      <c r="B1541" s="2" t="s">
        <v>1938</v>
      </c>
      <c r="C1541" s="6" t="s">
        <v>1939</v>
      </c>
      <c r="D1541" s="1">
        <v>45524</v>
      </c>
      <c r="E1541" s="4">
        <v>202.63</v>
      </c>
      <c r="F1541" s="3">
        <v>4</v>
      </c>
      <c r="G1541" s="6" t="s">
        <v>18</v>
      </c>
    </row>
    <row r="1542" spans="1:7" x14ac:dyDescent="0.3">
      <c r="A1542" s="2" t="s">
        <v>1941</v>
      </c>
      <c r="B1542" s="2" t="s">
        <v>1938</v>
      </c>
      <c r="C1542" s="6" t="s">
        <v>1939</v>
      </c>
      <c r="D1542" s="1">
        <v>45037</v>
      </c>
      <c r="E1542" s="4">
        <v>37.520000000000003</v>
      </c>
      <c r="F1542" s="3">
        <v>2</v>
      </c>
      <c r="G1542" s="6" t="s">
        <v>15</v>
      </c>
    </row>
    <row r="1543" spans="1:7" x14ac:dyDescent="0.3">
      <c r="A1543" s="2" t="s">
        <v>1942</v>
      </c>
      <c r="B1543" s="2" t="s">
        <v>1938</v>
      </c>
      <c r="C1543" s="6" t="s">
        <v>1939</v>
      </c>
      <c r="D1543" s="1">
        <v>45385</v>
      </c>
      <c r="E1543" s="4">
        <v>265.07</v>
      </c>
      <c r="F1543" s="3">
        <v>3</v>
      </c>
      <c r="G1543" s="6" t="s">
        <v>18</v>
      </c>
    </row>
    <row r="1544" spans="1:7" x14ac:dyDescent="0.3">
      <c r="A1544" s="2" t="s">
        <v>1943</v>
      </c>
      <c r="B1544" s="2" t="s">
        <v>1938</v>
      </c>
      <c r="C1544" s="6" t="s">
        <v>1939</v>
      </c>
      <c r="D1544" s="1">
        <v>45513</v>
      </c>
      <c r="E1544" s="4">
        <v>26.3</v>
      </c>
      <c r="F1544" s="3">
        <v>1</v>
      </c>
      <c r="G1544" s="6" t="s">
        <v>10</v>
      </c>
    </row>
    <row r="1545" spans="1:7" x14ac:dyDescent="0.3">
      <c r="A1545" s="2" t="s">
        <v>1944</v>
      </c>
      <c r="B1545" s="2" t="s">
        <v>1938</v>
      </c>
      <c r="C1545" s="6" t="s">
        <v>1939</v>
      </c>
      <c r="D1545" s="1">
        <v>45586</v>
      </c>
      <c r="E1545" s="4">
        <v>40.93</v>
      </c>
      <c r="F1545" s="3">
        <v>2</v>
      </c>
      <c r="G1545" s="6" t="s">
        <v>12</v>
      </c>
    </row>
    <row r="1546" spans="1:7" x14ac:dyDescent="0.3">
      <c r="A1546" s="2" t="s">
        <v>1945</v>
      </c>
      <c r="B1546" s="2" t="s">
        <v>1938</v>
      </c>
      <c r="C1546" s="6" t="s">
        <v>1939</v>
      </c>
      <c r="D1546" s="1">
        <v>45422</v>
      </c>
      <c r="E1546" s="4">
        <v>45.95</v>
      </c>
      <c r="F1546" s="3">
        <v>1</v>
      </c>
      <c r="G1546" s="6" t="s">
        <v>18</v>
      </c>
    </row>
    <row r="1547" spans="1:7" x14ac:dyDescent="0.3">
      <c r="A1547" s="2" t="s">
        <v>1946</v>
      </c>
      <c r="B1547" s="2" t="s">
        <v>1947</v>
      </c>
      <c r="C1547" s="6" t="s">
        <v>1948</v>
      </c>
      <c r="D1547" s="1">
        <v>45626</v>
      </c>
      <c r="E1547" s="4">
        <v>239.31</v>
      </c>
      <c r="F1547" s="3">
        <v>1</v>
      </c>
      <c r="G1547" s="6" t="s">
        <v>10</v>
      </c>
    </row>
    <row r="1548" spans="1:7" x14ac:dyDescent="0.3">
      <c r="A1548" s="2" t="s">
        <v>1949</v>
      </c>
      <c r="B1548" s="2" t="s">
        <v>1947</v>
      </c>
      <c r="C1548" s="6" t="s">
        <v>1948</v>
      </c>
      <c r="D1548" s="1">
        <v>45555</v>
      </c>
      <c r="E1548" s="4">
        <v>105.9</v>
      </c>
      <c r="F1548" s="3">
        <v>2</v>
      </c>
      <c r="G1548" s="6" t="s">
        <v>26</v>
      </c>
    </row>
    <row r="1549" spans="1:7" x14ac:dyDescent="0.3">
      <c r="A1549" s="2" t="s">
        <v>1950</v>
      </c>
      <c r="B1549" s="2" t="s">
        <v>1947</v>
      </c>
      <c r="C1549" s="6" t="s">
        <v>1948</v>
      </c>
      <c r="D1549" s="1">
        <v>45646</v>
      </c>
      <c r="E1549" s="4">
        <v>77.31</v>
      </c>
      <c r="F1549" s="3">
        <v>3</v>
      </c>
      <c r="G1549" s="6" t="s">
        <v>26</v>
      </c>
    </row>
    <row r="1550" spans="1:7" x14ac:dyDescent="0.3">
      <c r="A1550" s="2" t="s">
        <v>1951</v>
      </c>
      <c r="B1550" s="2" t="s">
        <v>1947</v>
      </c>
      <c r="C1550" s="6" t="s">
        <v>1948</v>
      </c>
      <c r="D1550" s="1">
        <v>45535</v>
      </c>
      <c r="E1550" s="4">
        <v>466.1</v>
      </c>
      <c r="F1550" s="3">
        <v>2</v>
      </c>
      <c r="G1550" s="6" t="s">
        <v>26</v>
      </c>
    </row>
    <row r="1551" spans="1:7" x14ac:dyDescent="0.3">
      <c r="A1551" s="2" t="s">
        <v>1952</v>
      </c>
      <c r="B1551" s="2" t="s">
        <v>1947</v>
      </c>
      <c r="C1551" s="6" t="s">
        <v>1948</v>
      </c>
      <c r="D1551" s="1">
        <v>45539</v>
      </c>
      <c r="E1551" s="4">
        <v>162.66999999999999</v>
      </c>
      <c r="F1551" s="3">
        <v>1</v>
      </c>
      <c r="G1551" s="6" t="s">
        <v>38</v>
      </c>
    </row>
    <row r="1552" spans="1:7" x14ac:dyDescent="0.3">
      <c r="A1552" s="2" t="s">
        <v>1953</v>
      </c>
      <c r="B1552" s="2" t="s">
        <v>1947</v>
      </c>
      <c r="C1552" s="6" t="s">
        <v>1948</v>
      </c>
      <c r="D1552" s="1">
        <v>45602</v>
      </c>
      <c r="E1552" s="4">
        <v>461.14</v>
      </c>
      <c r="F1552" s="3">
        <v>1</v>
      </c>
      <c r="G1552" s="6" t="s">
        <v>12</v>
      </c>
    </row>
    <row r="1553" spans="1:7" x14ac:dyDescent="0.3">
      <c r="A1553" s="2" t="s">
        <v>1954</v>
      </c>
      <c r="B1553" s="2" t="s">
        <v>1947</v>
      </c>
      <c r="C1553" s="6" t="s">
        <v>1948</v>
      </c>
      <c r="D1553" s="1">
        <v>45570</v>
      </c>
      <c r="E1553" s="4">
        <v>110.08</v>
      </c>
      <c r="F1553" s="3">
        <v>2</v>
      </c>
      <c r="G1553" s="6" t="s">
        <v>10</v>
      </c>
    </row>
    <row r="1554" spans="1:7" x14ac:dyDescent="0.3">
      <c r="A1554" s="2" t="s">
        <v>1955</v>
      </c>
      <c r="B1554" s="2" t="s">
        <v>1947</v>
      </c>
      <c r="C1554" s="6" t="s">
        <v>1948</v>
      </c>
      <c r="D1554" s="1">
        <v>45590</v>
      </c>
      <c r="E1554" s="4">
        <v>61.65</v>
      </c>
      <c r="F1554" s="3">
        <v>4</v>
      </c>
      <c r="G1554" s="6" t="s">
        <v>12</v>
      </c>
    </row>
    <row r="1555" spans="1:7" x14ac:dyDescent="0.3">
      <c r="A1555" s="2" t="s">
        <v>1956</v>
      </c>
      <c r="B1555" s="2" t="s">
        <v>1957</v>
      </c>
      <c r="C1555" s="6" t="s">
        <v>1958</v>
      </c>
      <c r="D1555" s="1">
        <v>45511</v>
      </c>
      <c r="E1555" s="4">
        <v>92.23</v>
      </c>
      <c r="F1555" s="3">
        <v>3</v>
      </c>
      <c r="G1555" s="6" t="s">
        <v>18</v>
      </c>
    </row>
    <row r="1556" spans="1:7" x14ac:dyDescent="0.3">
      <c r="A1556" s="2" t="s">
        <v>1959</v>
      </c>
      <c r="B1556" s="2" t="s">
        <v>1957</v>
      </c>
      <c r="C1556" s="6" t="s">
        <v>1958</v>
      </c>
      <c r="D1556" s="1">
        <v>45446</v>
      </c>
      <c r="E1556" s="4">
        <v>364.77</v>
      </c>
      <c r="F1556" s="3">
        <v>3</v>
      </c>
      <c r="G1556" s="6" t="s">
        <v>38</v>
      </c>
    </row>
    <row r="1557" spans="1:7" x14ac:dyDescent="0.3">
      <c r="A1557" s="2" t="s">
        <v>1960</v>
      </c>
      <c r="B1557" s="2" t="s">
        <v>1957</v>
      </c>
      <c r="C1557" s="6" t="s">
        <v>1958</v>
      </c>
      <c r="D1557" s="1">
        <v>45446</v>
      </c>
      <c r="E1557" s="4">
        <v>355.73</v>
      </c>
      <c r="F1557" s="3">
        <v>4</v>
      </c>
      <c r="G1557" s="6" t="s">
        <v>15</v>
      </c>
    </row>
    <row r="1558" spans="1:7" x14ac:dyDescent="0.3">
      <c r="A1558" s="2" t="s">
        <v>1961</v>
      </c>
      <c r="B1558" s="2" t="s">
        <v>1957</v>
      </c>
      <c r="C1558" s="6" t="s">
        <v>1958</v>
      </c>
      <c r="D1558" s="1">
        <v>45474</v>
      </c>
      <c r="E1558" s="4">
        <v>180.93</v>
      </c>
      <c r="F1558" s="3">
        <v>3</v>
      </c>
      <c r="G1558" s="6" t="s">
        <v>12</v>
      </c>
    </row>
    <row r="1559" spans="1:7" x14ac:dyDescent="0.3">
      <c r="A1559" s="2" t="s">
        <v>1962</v>
      </c>
      <c r="B1559" s="2" t="s">
        <v>1957</v>
      </c>
      <c r="C1559" s="6" t="s">
        <v>1958</v>
      </c>
      <c r="D1559" s="1">
        <v>45381</v>
      </c>
      <c r="E1559" s="4">
        <v>358.39</v>
      </c>
      <c r="F1559" s="3">
        <v>1</v>
      </c>
      <c r="G1559" s="6" t="s">
        <v>26</v>
      </c>
    </row>
    <row r="1560" spans="1:7" x14ac:dyDescent="0.3">
      <c r="A1560" s="2" t="s">
        <v>1963</v>
      </c>
      <c r="B1560" s="2" t="s">
        <v>1957</v>
      </c>
      <c r="C1560" s="6" t="s">
        <v>1958</v>
      </c>
      <c r="D1560" s="1">
        <v>45577</v>
      </c>
      <c r="E1560" s="4">
        <v>459.74</v>
      </c>
      <c r="F1560" s="3">
        <v>4</v>
      </c>
      <c r="G1560" s="6" t="s">
        <v>18</v>
      </c>
    </row>
    <row r="1561" spans="1:7" x14ac:dyDescent="0.3">
      <c r="A1561" s="2" t="s">
        <v>1964</v>
      </c>
      <c r="B1561" s="2" t="s">
        <v>1965</v>
      </c>
      <c r="C1561" s="6" t="s">
        <v>1966</v>
      </c>
      <c r="D1561" s="1">
        <v>45500</v>
      </c>
      <c r="E1561" s="4">
        <v>29.09</v>
      </c>
      <c r="F1561" s="3">
        <v>4</v>
      </c>
      <c r="G1561" s="6" t="s">
        <v>10</v>
      </c>
    </row>
    <row r="1562" spans="1:7" x14ac:dyDescent="0.3">
      <c r="A1562" s="2" t="s">
        <v>1967</v>
      </c>
      <c r="B1562" s="2" t="s">
        <v>1965</v>
      </c>
      <c r="C1562" s="6" t="s">
        <v>1966</v>
      </c>
      <c r="D1562" s="1">
        <v>45046</v>
      </c>
      <c r="E1562" s="4">
        <v>231.58</v>
      </c>
      <c r="F1562" s="3">
        <v>1</v>
      </c>
      <c r="G1562" s="6" t="s">
        <v>38</v>
      </c>
    </row>
    <row r="1563" spans="1:7" x14ac:dyDescent="0.3">
      <c r="A1563" s="2" t="s">
        <v>1968</v>
      </c>
      <c r="B1563" s="2" t="s">
        <v>1969</v>
      </c>
      <c r="C1563" s="6" t="s">
        <v>1970</v>
      </c>
      <c r="D1563" s="1">
        <v>45521</v>
      </c>
      <c r="E1563" s="4">
        <v>259.36</v>
      </c>
      <c r="F1563" s="3">
        <v>3</v>
      </c>
      <c r="G1563" s="6" t="s">
        <v>26</v>
      </c>
    </row>
    <row r="1564" spans="1:7" x14ac:dyDescent="0.3">
      <c r="A1564" s="2" t="s">
        <v>1971</v>
      </c>
      <c r="B1564" s="2" t="s">
        <v>1969</v>
      </c>
      <c r="C1564" s="6" t="s">
        <v>1970</v>
      </c>
      <c r="D1564" s="1">
        <v>45514</v>
      </c>
      <c r="E1564" s="4">
        <v>14.86</v>
      </c>
      <c r="F1564" s="3">
        <v>2</v>
      </c>
      <c r="G1564" s="6" t="s">
        <v>26</v>
      </c>
    </row>
    <row r="1565" spans="1:7" x14ac:dyDescent="0.3">
      <c r="A1565" s="2" t="s">
        <v>1972</v>
      </c>
      <c r="B1565" s="2" t="s">
        <v>1969</v>
      </c>
      <c r="C1565" s="6" t="s">
        <v>1970</v>
      </c>
      <c r="D1565" s="1">
        <v>45646</v>
      </c>
      <c r="E1565" s="4">
        <v>28.47</v>
      </c>
      <c r="F1565" s="3">
        <v>2</v>
      </c>
      <c r="G1565" s="6" t="s">
        <v>26</v>
      </c>
    </row>
    <row r="1566" spans="1:7" x14ac:dyDescent="0.3">
      <c r="A1566" s="2" t="s">
        <v>1973</v>
      </c>
      <c r="B1566" s="2" t="s">
        <v>1969</v>
      </c>
      <c r="C1566" s="6" t="s">
        <v>1970</v>
      </c>
      <c r="D1566" s="1">
        <v>45595</v>
      </c>
      <c r="E1566" s="4">
        <v>379.74</v>
      </c>
      <c r="F1566" s="3">
        <v>2</v>
      </c>
      <c r="G1566" s="6" t="s">
        <v>18</v>
      </c>
    </row>
    <row r="1567" spans="1:7" x14ac:dyDescent="0.3">
      <c r="A1567" s="2" t="s">
        <v>1974</v>
      </c>
      <c r="B1567" s="2" t="s">
        <v>1969</v>
      </c>
      <c r="C1567" s="6" t="s">
        <v>1970</v>
      </c>
      <c r="D1567" s="1">
        <v>45525</v>
      </c>
      <c r="E1567" s="4">
        <v>444.39</v>
      </c>
      <c r="F1567" s="3">
        <v>4</v>
      </c>
      <c r="G1567" s="6" t="s">
        <v>38</v>
      </c>
    </row>
    <row r="1568" spans="1:7" x14ac:dyDescent="0.3">
      <c r="A1568" s="2" t="s">
        <v>1975</v>
      </c>
      <c r="B1568" s="2" t="s">
        <v>1969</v>
      </c>
      <c r="C1568" s="6" t="s">
        <v>1970</v>
      </c>
      <c r="D1568" s="1">
        <v>45617</v>
      </c>
      <c r="E1568" s="4">
        <v>356.12</v>
      </c>
      <c r="F1568" s="3">
        <v>1</v>
      </c>
      <c r="G1568" s="6" t="s">
        <v>18</v>
      </c>
    </row>
    <row r="1569" spans="1:7" x14ac:dyDescent="0.3">
      <c r="A1569" s="2" t="s">
        <v>1976</v>
      </c>
      <c r="B1569" s="2" t="s">
        <v>1969</v>
      </c>
      <c r="C1569" s="6" t="s">
        <v>1970</v>
      </c>
      <c r="D1569" s="1">
        <v>45583</v>
      </c>
      <c r="E1569" s="4">
        <v>169.68</v>
      </c>
      <c r="F1569" s="3">
        <v>3</v>
      </c>
      <c r="G1569" s="6" t="s">
        <v>26</v>
      </c>
    </row>
    <row r="1570" spans="1:7" x14ac:dyDescent="0.3">
      <c r="A1570" s="2" t="s">
        <v>1977</v>
      </c>
      <c r="B1570" s="2" t="s">
        <v>1969</v>
      </c>
      <c r="C1570" s="6" t="s">
        <v>1970</v>
      </c>
      <c r="D1570" s="1">
        <v>45516</v>
      </c>
      <c r="E1570" s="4">
        <v>411.25</v>
      </c>
      <c r="F1570" s="3">
        <v>4</v>
      </c>
      <c r="G1570" s="6" t="s">
        <v>15</v>
      </c>
    </row>
    <row r="1571" spans="1:7" x14ac:dyDescent="0.3">
      <c r="A1571" s="2" t="s">
        <v>1978</v>
      </c>
      <c r="B1571" s="2" t="s">
        <v>1969</v>
      </c>
      <c r="C1571" s="6" t="s">
        <v>1970</v>
      </c>
      <c r="D1571" s="1">
        <v>45397</v>
      </c>
      <c r="E1571" s="4">
        <v>476.18</v>
      </c>
      <c r="F1571" s="3">
        <v>4</v>
      </c>
      <c r="G1571" s="6" t="s">
        <v>38</v>
      </c>
    </row>
    <row r="1572" spans="1:7" x14ac:dyDescent="0.3">
      <c r="A1572" s="2" t="s">
        <v>1979</v>
      </c>
      <c r="B1572" s="2" t="s">
        <v>1969</v>
      </c>
      <c r="C1572" s="6" t="s">
        <v>1970</v>
      </c>
      <c r="D1572" s="1">
        <v>45415</v>
      </c>
      <c r="E1572" s="4">
        <v>219.8</v>
      </c>
      <c r="F1572" s="3">
        <v>3</v>
      </c>
      <c r="G1572" s="6" t="s">
        <v>38</v>
      </c>
    </row>
    <row r="1573" spans="1:7" x14ac:dyDescent="0.3">
      <c r="A1573" s="2" t="s">
        <v>1980</v>
      </c>
      <c r="B1573" s="2" t="s">
        <v>1969</v>
      </c>
      <c r="C1573" s="6" t="s">
        <v>1970</v>
      </c>
      <c r="D1573" s="1">
        <v>45648</v>
      </c>
      <c r="E1573" s="4">
        <v>214.52</v>
      </c>
      <c r="F1573" s="3">
        <v>1</v>
      </c>
      <c r="G1573" s="6" t="s">
        <v>18</v>
      </c>
    </row>
    <row r="1574" spans="1:7" x14ac:dyDescent="0.3">
      <c r="A1574" s="2" t="s">
        <v>1981</v>
      </c>
      <c r="B1574" s="2" t="s">
        <v>1982</v>
      </c>
      <c r="C1574" s="6" t="s">
        <v>1983</v>
      </c>
      <c r="D1574" s="1">
        <v>45380</v>
      </c>
      <c r="E1574" s="4">
        <v>405.85</v>
      </c>
      <c r="F1574" s="3">
        <v>1</v>
      </c>
      <c r="G1574" s="6" t="s">
        <v>12</v>
      </c>
    </row>
    <row r="1575" spans="1:7" x14ac:dyDescent="0.3">
      <c r="A1575" s="2" t="s">
        <v>1984</v>
      </c>
      <c r="B1575" s="2" t="s">
        <v>1982</v>
      </c>
      <c r="C1575" s="6" t="s">
        <v>1983</v>
      </c>
      <c r="D1575" s="1">
        <v>45210</v>
      </c>
      <c r="E1575" s="4">
        <v>62.33</v>
      </c>
      <c r="F1575" s="3">
        <v>4</v>
      </c>
      <c r="G1575" s="6" t="s">
        <v>18</v>
      </c>
    </row>
    <row r="1576" spans="1:7" x14ac:dyDescent="0.3">
      <c r="A1576" s="2" t="s">
        <v>1985</v>
      </c>
      <c r="B1576" s="2" t="s">
        <v>1982</v>
      </c>
      <c r="C1576" s="6" t="s">
        <v>1983</v>
      </c>
      <c r="D1576" s="1">
        <v>45570</v>
      </c>
      <c r="E1576" s="4">
        <v>155.85</v>
      </c>
      <c r="F1576" s="3">
        <v>2</v>
      </c>
      <c r="G1576" s="6" t="s">
        <v>38</v>
      </c>
    </row>
    <row r="1577" spans="1:7" x14ac:dyDescent="0.3">
      <c r="A1577" s="2" t="s">
        <v>1986</v>
      </c>
      <c r="B1577" s="2" t="s">
        <v>1982</v>
      </c>
      <c r="C1577" s="6" t="s">
        <v>1983</v>
      </c>
      <c r="D1577" s="1">
        <v>45566</v>
      </c>
      <c r="E1577" s="4">
        <v>340.27</v>
      </c>
      <c r="F1577" s="3">
        <v>4</v>
      </c>
      <c r="G1577" s="6" t="s">
        <v>18</v>
      </c>
    </row>
    <row r="1578" spans="1:7" x14ac:dyDescent="0.3">
      <c r="A1578" s="2" t="s">
        <v>1987</v>
      </c>
      <c r="B1578" s="2" t="s">
        <v>1982</v>
      </c>
      <c r="C1578" s="6" t="s">
        <v>1983</v>
      </c>
      <c r="D1578" s="1">
        <v>45446</v>
      </c>
      <c r="E1578" s="4">
        <v>361.79</v>
      </c>
      <c r="F1578" s="3">
        <v>1</v>
      </c>
      <c r="G1578" s="6" t="s">
        <v>12</v>
      </c>
    </row>
    <row r="1579" spans="1:7" x14ac:dyDescent="0.3">
      <c r="A1579" s="2" t="s">
        <v>1988</v>
      </c>
      <c r="B1579" s="2" t="s">
        <v>1982</v>
      </c>
      <c r="C1579" s="6" t="s">
        <v>1983</v>
      </c>
      <c r="D1579" s="1">
        <v>45596</v>
      </c>
      <c r="E1579" s="4">
        <v>20.170000000000002</v>
      </c>
      <c r="F1579" s="3">
        <v>1</v>
      </c>
      <c r="G1579" s="6" t="s">
        <v>26</v>
      </c>
    </row>
    <row r="1580" spans="1:7" x14ac:dyDescent="0.3">
      <c r="A1580" s="2" t="s">
        <v>1989</v>
      </c>
      <c r="B1580" s="2" t="s">
        <v>1990</v>
      </c>
      <c r="C1580" s="6" t="s">
        <v>1991</v>
      </c>
      <c r="D1580" s="1">
        <v>45348</v>
      </c>
      <c r="E1580" s="4">
        <v>48.15</v>
      </c>
      <c r="F1580" s="3">
        <v>1</v>
      </c>
      <c r="G1580" s="6" t="s">
        <v>12</v>
      </c>
    </row>
    <row r="1581" spans="1:7" x14ac:dyDescent="0.3">
      <c r="A1581" s="2" t="s">
        <v>1992</v>
      </c>
      <c r="B1581" s="2" t="s">
        <v>1993</v>
      </c>
      <c r="C1581" s="6" t="s">
        <v>1994</v>
      </c>
      <c r="D1581" s="1">
        <v>45591</v>
      </c>
      <c r="E1581" s="4">
        <v>225.63</v>
      </c>
      <c r="F1581" s="3">
        <v>4</v>
      </c>
      <c r="G1581" s="6" t="s">
        <v>18</v>
      </c>
    </row>
    <row r="1582" spans="1:7" x14ac:dyDescent="0.3">
      <c r="A1582" s="2" t="s">
        <v>1995</v>
      </c>
      <c r="B1582" s="2" t="s">
        <v>1993</v>
      </c>
      <c r="C1582" s="6" t="s">
        <v>1994</v>
      </c>
      <c r="D1582" s="1">
        <v>45637</v>
      </c>
      <c r="E1582" s="4">
        <v>260.77</v>
      </c>
      <c r="F1582" s="3">
        <v>4</v>
      </c>
      <c r="G1582" s="6" t="s">
        <v>38</v>
      </c>
    </row>
    <row r="1583" spans="1:7" x14ac:dyDescent="0.3">
      <c r="A1583" s="2" t="s">
        <v>1996</v>
      </c>
      <c r="B1583" s="2" t="s">
        <v>1993</v>
      </c>
      <c r="C1583" s="6" t="s">
        <v>1994</v>
      </c>
      <c r="D1583" s="1">
        <v>45270</v>
      </c>
      <c r="E1583" s="4">
        <v>17.05</v>
      </c>
      <c r="F1583" s="3">
        <v>3</v>
      </c>
      <c r="G1583" s="6" t="s">
        <v>12</v>
      </c>
    </row>
    <row r="1584" spans="1:7" x14ac:dyDescent="0.3">
      <c r="A1584" s="2" t="s">
        <v>1997</v>
      </c>
      <c r="B1584" s="2" t="s">
        <v>1993</v>
      </c>
      <c r="C1584" s="6" t="s">
        <v>1994</v>
      </c>
      <c r="D1584" s="1">
        <v>45490</v>
      </c>
      <c r="E1584" s="4">
        <v>107.62</v>
      </c>
      <c r="F1584" s="3">
        <v>3</v>
      </c>
      <c r="G1584" s="6" t="s">
        <v>15</v>
      </c>
    </row>
    <row r="1585" spans="1:7" x14ac:dyDescent="0.3">
      <c r="A1585" s="2" t="s">
        <v>1998</v>
      </c>
      <c r="B1585" s="2" t="s">
        <v>1993</v>
      </c>
      <c r="C1585" s="6" t="s">
        <v>1994</v>
      </c>
      <c r="D1585" s="1">
        <v>45261</v>
      </c>
      <c r="E1585" s="4">
        <v>194.76</v>
      </c>
      <c r="F1585" s="3">
        <v>2</v>
      </c>
      <c r="G1585" s="6" t="s">
        <v>15</v>
      </c>
    </row>
    <row r="1586" spans="1:7" x14ac:dyDescent="0.3">
      <c r="A1586" s="2" t="s">
        <v>1999</v>
      </c>
      <c r="B1586" s="2" t="s">
        <v>1993</v>
      </c>
      <c r="C1586" s="6" t="s">
        <v>1994</v>
      </c>
      <c r="D1586" s="1">
        <v>45115</v>
      </c>
      <c r="E1586" s="4">
        <v>88.34</v>
      </c>
      <c r="F1586" s="3">
        <v>2</v>
      </c>
      <c r="G1586" s="6" t="s">
        <v>12</v>
      </c>
    </row>
    <row r="1587" spans="1:7" x14ac:dyDescent="0.3">
      <c r="A1587" s="2" t="s">
        <v>2000</v>
      </c>
      <c r="B1587" s="2" t="s">
        <v>1993</v>
      </c>
      <c r="C1587" s="6" t="s">
        <v>1994</v>
      </c>
      <c r="D1587" s="1">
        <v>45109</v>
      </c>
      <c r="E1587" s="4">
        <v>105.19</v>
      </c>
      <c r="F1587" s="3">
        <v>1</v>
      </c>
      <c r="G1587" s="6" t="s">
        <v>38</v>
      </c>
    </row>
    <row r="1588" spans="1:7" x14ac:dyDescent="0.3">
      <c r="A1588" s="2" t="s">
        <v>2001</v>
      </c>
      <c r="B1588" s="2" t="s">
        <v>1993</v>
      </c>
      <c r="C1588" s="6" t="s">
        <v>1994</v>
      </c>
      <c r="D1588" s="1">
        <v>45249</v>
      </c>
      <c r="E1588" s="4">
        <v>372.34</v>
      </c>
      <c r="F1588" s="3">
        <v>1</v>
      </c>
      <c r="G1588" s="6" t="s">
        <v>15</v>
      </c>
    </row>
    <row r="1589" spans="1:7" x14ac:dyDescent="0.3">
      <c r="A1589" s="2" t="s">
        <v>2002</v>
      </c>
      <c r="B1589" s="2" t="s">
        <v>1993</v>
      </c>
      <c r="C1589" s="6" t="s">
        <v>1994</v>
      </c>
      <c r="D1589" s="1">
        <v>45537</v>
      </c>
      <c r="E1589" s="4">
        <v>67.930000000000007</v>
      </c>
      <c r="F1589" s="3">
        <v>2</v>
      </c>
      <c r="G1589" s="6" t="s">
        <v>26</v>
      </c>
    </row>
    <row r="1590" spans="1:7" x14ac:dyDescent="0.3">
      <c r="A1590" s="2" t="s">
        <v>2003</v>
      </c>
      <c r="B1590" s="2" t="s">
        <v>1993</v>
      </c>
      <c r="C1590" s="6" t="s">
        <v>1994</v>
      </c>
      <c r="D1590" s="1">
        <v>45310</v>
      </c>
      <c r="E1590" s="4">
        <v>194.91</v>
      </c>
      <c r="F1590" s="3">
        <v>1</v>
      </c>
      <c r="G1590" s="6" t="s">
        <v>10</v>
      </c>
    </row>
    <row r="1591" spans="1:7" x14ac:dyDescent="0.3">
      <c r="A1591" s="2" t="s">
        <v>2004</v>
      </c>
      <c r="B1591" s="2" t="s">
        <v>1993</v>
      </c>
      <c r="C1591" s="6" t="s">
        <v>1994</v>
      </c>
      <c r="D1591" s="1">
        <v>45378</v>
      </c>
      <c r="E1591" s="4">
        <v>475.9</v>
      </c>
      <c r="F1591" s="3">
        <v>3</v>
      </c>
      <c r="G1591" s="6" t="s">
        <v>10</v>
      </c>
    </row>
    <row r="1592" spans="1:7" x14ac:dyDescent="0.3">
      <c r="A1592" s="2" t="s">
        <v>2005</v>
      </c>
      <c r="B1592" s="2" t="s">
        <v>2006</v>
      </c>
      <c r="C1592" s="6" t="s">
        <v>2007</v>
      </c>
      <c r="D1592" s="1">
        <v>45610</v>
      </c>
      <c r="E1592" s="4">
        <v>182.64</v>
      </c>
      <c r="F1592" s="3">
        <v>1</v>
      </c>
      <c r="G1592" s="6" t="s">
        <v>15</v>
      </c>
    </row>
    <row r="1593" spans="1:7" x14ac:dyDescent="0.3">
      <c r="A1593" s="2" t="s">
        <v>2008</v>
      </c>
      <c r="B1593" s="2" t="s">
        <v>2006</v>
      </c>
      <c r="C1593" s="6" t="s">
        <v>2007</v>
      </c>
      <c r="D1593" s="1">
        <v>45638</v>
      </c>
      <c r="E1593" s="4">
        <v>202.19</v>
      </c>
      <c r="F1593" s="3">
        <v>1</v>
      </c>
      <c r="G1593" s="6" t="s">
        <v>38</v>
      </c>
    </row>
    <row r="1594" spans="1:7" x14ac:dyDescent="0.3">
      <c r="A1594" s="2" t="s">
        <v>2009</v>
      </c>
      <c r="B1594" s="2" t="s">
        <v>2006</v>
      </c>
      <c r="C1594" s="6" t="s">
        <v>2007</v>
      </c>
      <c r="D1594" s="1">
        <v>45644</v>
      </c>
      <c r="E1594" s="4">
        <v>256.81</v>
      </c>
      <c r="F1594" s="3">
        <v>1</v>
      </c>
      <c r="G1594" s="6" t="s">
        <v>26</v>
      </c>
    </row>
    <row r="1595" spans="1:7" x14ac:dyDescent="0.3">
      <c r="A1595" s="2" t="s">
        <v>2010</v>
      </c>
      <c r="B1595" s="2" t="s">
        <v>2006</v>
      </c>
      <c r="C1595" s="6" t="s">
        <v>2007</v>
      </c>
      <c r="D1595" s="1">
        <v>45621</v>
      </c>
      <c r="E1595" s="4">
        <v>196.99</v>
      </c>
      <c r="F1595" s="3">
        <v>1</v>
      </c>
      <c r="G1595" s="6" t="s">
        <v>18</v>
      </c>
    </row>
    <row r="1596" spans="1:7" x14ac:dyDescent="0.3">
      <c r="A1596" s="2" t="s">
        <v>2011</v>
      </c>
      <c r="B1596" s="2" t="s">
        <v>2006</v>
      </c>
      <c r="C1596" s="6" t="s">
        <v>2007</v>
      </c>
      <c r="D1596" s="1">
        <v>45609</v>
      </c>
      <c r="E1596" s="4">
        <v>386.31</v>
      </c>
      <c r="F1596" s="3">
        <v>3</v>
      </c>
      <c r="G1596" s="6" t="s">
        <v>12</v>
      </c>
    </row>
    <row r="1597" spans="1:7" x14ac:dyDescent="0.3">
      <c r="A1597" s="2" t="s">
        <v>2012</v>
      </c>
      <c r="B1597" s="2" t="s">
        <v>2006</v>
      </c>
      <c r="C1597" s="6" t="s">
        <v>2007</v>
      </c>
      <c r="D1597" s="1">
        <v>45612</v>
      </c>
      <c r="E1597" s="4">
        <v>81.55</v>
      </c>
      <c r="F1597" s="3">
        <v>1</v>
      </c>
      <c r="G1597" s="6" t="s">
        <v>38</v>
      </c>
    </row>
    <row r="1598" spans="1:7" x14ac:dyDescent="0.3">
      <c r="A1598" s="2" t="s">
        <v>2013</v>
      </c>
      <c r="B1598" s="2" t="s">
        <v>2006</v>
      </c>
      <c r="C1598" s="6" t="s">
        <v>2007</v>
      </c>
      <c r="D1598" s="1">
        <v>45606</v>
      </c>
      <c r="E1598" s="4">
        <v>375.4</v>
      </c>
      <c r="F1598" s="3">
        <v>4</v>
      </c>
      <c r="G1598" s="6" t="s">
        <v>26</v>
      </c>
    </row>
    <row r="1599" spans="1:7" x14ac:dyDescent="0.3">
      <c r="A1599" s="2" t="s">
        <v>2014</v>
      </c>
      <c r="B1599" s="2" t="s">
        <v>2006</v>
      </c>
      <c r="C1599" s="6" t="s">
        <v>2007</v>
      </c>
      <c r="D1599" s="1">
        <v>45614</v>
      </c>
      <c r="E1599" s="4">
        <v>406.05</v>
      </c>
      <c r="F1599" s="3">
        <v>1</v>
      </c>
      <c r="G1599" s="6" t="s">
        <v>38</v>
      </c>
    </row>
    <row r="1600" spans="1:7" x14ac:dyDescent="0.3">
      <c r="A1600" s="2" t="s">
        <v>2015</v>
      </c>
      <c r="B1600" s="2" t="s">
        <v>2006</v>
      </c>
      <c r="C1600" s="6" t="s">
        <v>2007</v>
      </c>
      <c r="D1600" s="1">
        <v>45644</v>
      </c>
      <c r="E1600" s="4">
        <v>163.71</v>
      </c>
      <c r="F1600" s="3">
        <v>3</v>
      </c>
      <c r="G1600" s="6" t="s">
        <v>18</v>
      </c>
    </row>
    <row r="1601" spans="1:7" x14ac:dyDescent="0.3">
      <c r="A1601" s="2" t="s">
        <v>2016</v>
      </c>
      <c r="B1601" s="2" t="s">
        <v>2006</v>
      </c>
      <c r="C1601" s="6" t="s">
        <v>2007</v>
      </c>
      <c r="D1601" s="1">
        <v>45593</v>
      </c>
      <c r="E1601" s="4">
        <v>82.77</v>
      </c>
      <c r="F1601" s="3">
        <v>2</v>
      </c>
      <c r="G1601" s="6" t="s">
        <v>26</v>
      </c>
    </row>
    <row r="1602" spans="1:7" x14ac:dyDescent="0.3">
      <c r="A1602" s="2" t="s">
        <v>2017</v>
      </c>
      <c r="B1602" s="2" t="s">
        <v>2006</v>
      </c>
      <c r="C1602" s="6" t="s">
        <v>2007</v>
      </c>
      <c r="D1602" s="1">
        <v>45604</v>
      </c>
      <c r="E1602" s="4">
        <v>197.24</v>
      </c>
      <c r="F1602" s="3">
        <v>1</v>
      </c>
      <c r="G1602" s="6" t="s">
        <v>38</v>
      </c>
    </row>
    <row r="1603" spans="1:7" x14ac:dyDescent="0.3">
      <c r="A1603" s="2" t="s">
        <v>2018</v>
      </c>
      <c r="B1603" s="2" t="s">
        <v>2006</v>
      </c>
      <c r="C1603" s="6" t="s">
        <v>2007</v>
      </c>
      <c r="D1603" s="1">
        <v>45646</v>
      </c>
      <c r="E1603" s="4">
        <v>332.31</v>
      </c>
      <c r="F1603" s="3">
        <v>4</v>
      </c>
      <c r="G1603" s="6" t="s">
        <v>12</v>
      </c>
    </row>
    <row r="1604" spans="1:7" x14ac:dyDescent="0.3">
      <c r="A1604" s="2" t="s">
        <v>2019</v>
      </c>
      <c r="B1604" s="2" t="s">
        <v>2006</v>
      </c>
      <c r="C1604" s="6" t="s">
        <v>2007</v>
      </c>
      <c r="D1604" s="1">
        <v>45639</v>
      </c>
      <c r="E1604" s="4">
        <v>297.39</v>
      </c>
      <c r="F1604" s="3">
        <v>3</v>
      </c>
      <c r="G1604" s="6" t="s">
        <v>18</v>
      </c>
    </row>
    <row r="1605" spans="1:7" x14ac:dyDescent="0.3">
      <c r="A1605" s="2" t="s">
        <v>2020</v>
      </c>
      <c r="B1605" s="2" t="s">
        <v>2006</v>
      </c>
      <c r="C1605" s="6" t="s">
        <v>2007</v>
      </c>
      <c r="D1605" s="1">
        <v>45611</v>
      </c>
      <c r="E1605" s="4">
        <v>110</v>
      </c>
      <c r="F1605" s="3">
        <v>3</v>
      </c>
      <c r="G1605" s="6" t="s">
        <v>18</v>
      </c>
    </row>
    <row r="1606" spans="1:7" x14ac:dyDescent="0.3">
      <c r="A1606" s="2" t="s">
        <v>2021</v>
      </c>
      <c r="B1606" s="2" t="s">
        <v>2006</v>
      </c>
      <c r="C1606" s="6" t="s">
        <v>2007</v>
      </c>
      <c r="D1606" s="1">
        <v>45641</v>
      </c>
      <c r="E1606" s="4">
        <v>98.28</v>
      </c>
      <c r="F1606" s="3">
        <v>2</v>
      </c>
      <c r="G1606" s="6" t="s">
        <v>15</v>
      </c>
    </row>
    <row r="1607" spans="1:7" x14ac:dyDescent="0.3">
      <c r="A1607" s="2" t="s">
        <v>2022</v>
      </c>
      <c r="B1607" s="2" t="s">
        <v>2023</v>
      </c>
      <c r="C1607" s="6" t="s">
        <v>2024</v>
      </c>
      <c r="D1607" s="1">
        <v>45629</v>
      </c>
      <c r="E1607" s="4">
        <v>107.68</v>
      </c>
      <c r="F1607" s="3">
        <v>2</v>
      </c>
      <c r="G1607" s="6" t="s">
        <v>15</v>
      </c>
    </row>
    <row r="1608" spans="1:7" x14ac:dyDescent="0.3">
      <c r="A1608" s="2" t="s">
        <v>2025</v>
      </c>
      <c r="B1608" s="2" t="s">
        <v>2023</v>
      </c>
      <c r="C1608" s="6" t="s">
        <v>2024</v>
      </c>
      <c r="D1608" s="1">
        <v>45640</v>
      </c>
      <c r="E1608" s="4">
        <v>164.89</v>
      </c>
      <c r="F1608" s="3">
        <v>1</v>
      </c>
      <c r="G1608" s="6" t="s">
        <v>26</v>
      </c>
    </row>
    <row r="1609" spans="1:7" x14ac:dyDescent="0.3">
      <c r="A1609" s="2" t="s">
        <v>2026</v>
      </c>
      <c r="B1609" s="2" t="s">
        <v>2023</v>
      </c>
      <c r="C1609" s="6" t="s">
        <v>2024</v>
      </c>
      <c r="D1609" s="1">
        <v>45651</v>
      </c>
      <c r="E1609" s="4">
        <v>186.59</v>
      </c>
      <c r="F1609" s="3">
        <v>2</v>
      </c>
      <c r="G1609" s="6" t="s">
        <v>10</v>
      </c>
    </row>
    <row r="1610" spans="1:7" x14ac:dyDescent="0.3">
      <c r="A1610" s="2" t="s">
        <v>2027</v>
      </c>
      <c r="B1610" s="2" t="s">
        <v>2023</v>
      </c>
      <c r="C1610" s="6" t="s">
        <v>2024</v>
      </c>
      <c r="D1610" s="1">
        <v>45655</v>
      </c>
      <c r="E1610" s="4">
        <v>49.48</v>
      </c>
      <c r="F1610" s="3">
        <v>4</v>
      </c>
      <c r="G1610" s="6" t="s">
        <v>18</v>
      </c>
    </row>
    <row r="1611" spans="1:7" x14ac:dyDescent="0.3">
      <c r="A1611" s="2" t="s">
        <v>2028</v>
      </c>
      <c r="B1611" s="2" t="s">
        <v>2023</v>
      </c>
      <c r="C1611" s="6" t="s">
        <v>2024</v>
      </c>
      <c r="D1611" s="1">
        <v>45647</v>
      </c>
      <c r="E1611" s="4">
        <v>53.98</v>
      </c>
      <c r="F1611" s="3">
        <v>1</v>
      </c>
      <c r="G1611" s="6" t="s">
        <v>10</v>
      </c>
    </row>
    <row r="1612" spans="1:7" x14ac:dyDescent="0.3">
      <c r="A1612" s="2" t="s">
        <v>2029</v>
      </c>
      <c r="B1612" s="2" t="s">
        <v>2023</v>
      </c>
      <c r="C1612" s="6" t="s">
        <v>2024</v>
      </c>
      <c r="D1612" s="1">
        <v>45616</v>
      </c>
      <c r="E1612" s="4">
        <v>204.66</v>
      </c>
      <c r="F1612" s="3">
        <v>2</v>
      </c>
      <c r="G1612" s="6" t="s">
        <v>15</v>
      </c>
    </row>
    <row r="1613" spans="1:7" x14ac:dyDescent="0.3">
      <c r="A1613" s="2" t="s">
        <v>2030</v>
      </c>
      <c r="B1613" s="2" t="s">
        <v>2023</v>
      </c>
      <c r="C1613" s="6" t="s">
        <v>2024</v>
      </c>
      <c r="D1613" s="1">
        <v>45638</v>
      </c>
      <c r="E1613" s="4">
        <v>160.76</v>
      </c>
      <c r="F1613" s="3">
        <v>1</v>
      </c>
      <c r="G1613" s="6" t="s">
        <v>38</v>
      </c>
    </row>
    <row r="1614" spans="1:7" x14ac:dyDescent="0.3">
      <c r="A1614" s="2" t="s">
        <v>2031</v>
      </c>
      <c r="B1614" s="2" t="s">
        <v>2032</v>
      </c>
      <c r="C1614" s="6" t="s">
        <v>2033</v>
      </c>
      <c r="D1614" s="1">
        <v>45353</v>
      </c>
      <c r="E1614" s="4">
        <v>110.84</v>
      </c>
      <c r="F1614" s="3">
        <v>1</v>
      </c>
      <c r="G1614" s="6" t="s">
        <v>12</v>
      </c>
    </row>
    <row r="1615" spans="1:7" x14ac:dyDescent="0.3">
      <c r="A1615" s="2" t="s">
        <v>2034</v>
      </c>
      <c r="B1615" s="2" t="s">
        <v>2032</v>
      </c>
      <c r="C1615" s="6" t="s">
        <v>2033</v>
      </c>
      <c r="D1615" s="1">
        <v>45408</v>
      </c>
      <c r="E1615" s="4">
        <v>227.45</v>
      </c>
      <c r="F1615" s="3">
        <v>4</v>
      </c>
      <c r="G1615" s="6" t="s">
        <v>10</v>
      </c>
    </row>
    <row r="1616" spans="1:7" x14ac:dyDescent="0.3">
      <c r="A1616" s="2" t="s">
        <v>2035</v>
      </c>
      <c r="B1616" s="2" t="s">
        <v>2032</v>
      </c>
      <c r="C1616" s="6" t="s">
        <v>2033</v>
      </c>
      <c r="D1616" s="1">
        <v>45333</v>
      </c>
      <c r="E1616" s="4">
        <v>271.93</v>
      </c>
      <c r="F1616" s="3">
        <v>2</v>
      </c>
      <c r="G1616" s="6" t="s">
        <v>26</v>
      </c>
    </row>
    <row r="1617" spans="1:7" x14ac:dyDescent="0.3">
      <c r="A1617" s="2" t="s">
        <v>2036</v>
      </c>
      <c r="B1617" s="2" t="s">
        <v>2032</v>
      </c>
      <c r="C1617" s="6" t="s">
        <v>2033</v>
      </c>
      <c r="D1617" s="1">
        <v>45471</v>
      </c>
      <c r="E1617" s="4">
        <v>459.08</v>
      </c>
      <c r="F1617" s="3">
        <v>1</v>
      </c>
      <c r="G1617" s="6" t="s">
        <v>26</v>
      </c>
    </row>
    <row r="1618" spans="1:7" x14ac:dyDescent="0.3">
      <c r="A1618" s="2" t="s">
        <v>2037</v>
      </c>
      <c r="B1618" s="2" t="s">
        <v>2032</v>
      </c>
      <c r="C1618" s="6" t="s">
        <v>2033</v>
      </c>
      <c r="D1618" s="1">
        <v>45332</v>
      </c>
      <c r="E1618" s="4">
        <v>446.22</v>
      </c>
      <c r="F1618" s="3">
        <v>3</v>
      </c>
      <c r="G1618" s="6" t="s">
        <v>10</v>
      </c>
    </row>
    <row r="1619" spans="1:7" x14ac:dyDescent="0.3">
      <c r="A1619" s="2" t="s">
        <v>2038</v>
      </c>
      <c r="B1619" s="2" t="s">
        <v>2039</v>
      </c>
      <c r="C1619" s="6" t="s">
        <v>2040</v>
      </c>
      <c r="D1619" s="1">
        <v>45336</v>
      </c>
      <c r="E1619" s="4">
        <v>441.64</v>
      </c>
      <c r="F1619" s="3">
        <v>1</v>
      </c>
      <c r="G1619" s="6" t="s">
        <v>38</v>
      </c>
    </row>
    <row r="1620" spans="1:7" x14ac:dyDescent="0.3">
      <c r="A1620" s="2" t="s">
        <v>2041</v>
      </c>
      <c r="B1620" s="2" t="s">
        <v>2039</v>
      </c>
      <c r="C1620" s="6" t="s">
        <v>2040</v>
      </c>
      <c r="D1620" s="1">
        <v>45368</v>
      </c>
      <c r="E1620" s="4">
        <v>254.61</v>
      </c>
      <c r="F1620" s="3">
        <v>1</v>
      </c>
      <c r="G1620" s="6" t="s">
        <v>15</v>
      </c>
    </row>
    <row r="1621" spans="1:7" x14ac:dyDescent="0.3">
      <c r="A1621" s="2" t="s">
        <v>2042</v>
      </c>
      <c r="B1621" s="2" t="s">
        <v>2039</v>
      </c>
      <c r="C1621" s="6" t="s">
        <v>2040</v>
      </c>
      <c r="D1621" s="1">
        <v>45536</v>
      </c>
      <c r="E1621" s="4">
        <v>374.51</v>
      </c>
      <c r="F1621" s="3">
        <v>2</v>
      </c>
      <c r="G1621" s="6" t="s">
        <v>15</v>
      </c>
    </row>
    <row r="1622" spans="1:7" x14ac:dyDescent="0.3">
      <c r="A1622" s="2" t="s">
        <v>2043</v>
      </c>
      <c r="B1622" s="2" t="s">
        <v>2039</v>
      </c>
      <c r="C1622" s="6" t="s">
        <v>2040</v>
      </c>
      <c r="D1622" s="1">
        <v>45506</v>
      </c>
      <c r="E1622" s="4">
        <v>348.79</v>
      </c>
      <c r="F1622" s="3">
        <v>4</v>
      </c>
      <c r="G1622" s="6" t="s">
        <v>18</v>
      </c>
    </row>
    <row r="1623" spans="1:7" x14ac:dyDescent="0.3">
      <c r="A1623" s="2" t="s">
        <v>2044</v>
      </c>
      <c r="B1623" s="2" t="s">
        <v>2045</v>
      </c>
      <c r="C1623" s="6" t="s">
        <v>2046</v>
      </c>
      <c r="D1623" s="1">
        <v>45470</v>
      </c>
      <c r="E1623" s="4">
        <v>103.27</v>
      </c>
      <c r="F1623" s="3">
        <v>2</v>
      </c>
      <c r="G1623" s="6" t="s">
        <v>38</v>
      </c>
    </row>
    <row r="1624" spans="1:7" x14ac:dyDescent="0.3">
      <c r="A1624" s="2" t="s">
        <v>2047</v>
      </c>
      <c r="B1624" s="2" t="s">
        <v>2048</v>
      </c>
      <c r="C1624" s="6" t="s">
        <v>2049</v>
      </c>
      <c r="D1624" s="1">
        <v>45430</v>
      </c>
      <c r="E1624" s="4">
        <v>407.79</v>
      </c>
      <c r="F1624" s="3">
        <v>3</v>
      </c>
      <c r="G1624" s="6" t="s">
        <v>12</v>
      </c>
    </row>
    <row r="1625" spans="1:7" x14ac:dyDescent="0.3">
      <c r="A1625" s="2" t="s">
        <v>2050</v>
      </c>
      <c r="B1625" s="2" t="s">
        <v>2048</v>
      </c>
      <c r="C1625" s="6" t="s">
        <v>2049</v>
      </c>
      <c r="D1625" s="1">
        <v>45403</v>
      </c>
      <c r="E1625" s="4">
        <v>425.75</v>
      </c>
      <c r="F1625" s="3">
        <v>4</v>
      </c>
      <c r="G1625" s="6" t="s">
        <v>12</v>
      </c>
    </row>
    <row r="1626" spans="1:7" x14ac:dyDescent="0.3">
      <c r="A1626" s="2" t="s">
        <v>2051</v>
      </c>
      <c r="B1626" s="2" t="s">
        <v>2048</v>
      </c>
      <c r="C1626" s="6" t="s">
        <v>2049</v>
      </c>
      <c r="D1626" s="1">
        <v>45472</v>
      </c>
      <c r="E1626" s="4">
        <v>315.37</v>
      </c>
      <c r="F1626" s="3">
        <v>4</v>
      </c>
      <c r="G1626" s="6" t="s">
        <v>18</v>
      </c>
    </row>
    <row r="1627" spans="1:7" x14ac:dyDescent="0.3">
      <c r="A1627" s="2" t="s">
        <v>2052</v>
      </c>
      <c r="B1627" s="2" t="s">
        <v>2053</v>
      </c>
      <c r="C1627" s="6" t="s">
        <v>2054</v>
      </c>
      <c r="D1627" s="1">
        <v>45492</v>
      </c>
      <c r="E1627" s="4">
        <v>203.58</v>
      </c>
      <c r="F1627" s="3">
        <v>1</v>
      </c>
      <c r="G1627" s="6" t="s">
        <v>38</v>
      </c>
    </row>
    <row r="1628" spans="1:7" x14ac:dyDescent="0.3">
      <c r="A1628" s="2" t="s">
        <v>2055</v>
      </c>
      <c r="B1628" s="2" t="s">
        <v>2053</v>
      </c>
      <c r="C1628" s="6" t="s">
        <v>2054</v>
      </c>
      <c r="D1628" s="1">
        <v>45448</v>
      </c>
      <c r="E1628" s="4">
        <v>40.630000000000003</v>
      </c>
      <c r="F1628" s="3">
        <v>4</v>
      </c>
      <c r="G1628" s="6" t="s">
        <v>26</v>
      </c>
    </row>
    <row r="1629" spans="1:7" x14ac:dyDescent="0.3">
      <c r="A1629" s="2" t="s">
        <v>2056</v>
      </c>
      <c r="B1629" s="2" t="s">
        <v>2053</v>
      </c>
      <c r="C1629" s="6" t="s">
        <v>2054</v>
      </c>
      <c r="D1629" s="1">
        <v>45595</v>
      </c>
      <c r="E1629" s="4">
        <v>237.46</v>
      </c>
      <c r="F1629" s="3">
        <v>4</v>
      </c>
      <c r="G1629" s="6" t="s">
        <v>18</v>
      </c>
    </row>
    <row r="1630" spans="1:7" x14ac:dyDescent="0.3">
      <c r="A1630" s="2" t="s">
        <v>2057</v>
      </c>
      <c r="B1630" s="2" t="s">
        <v>2053</v>
      </c>
      <c r="C1630" s="6" t="s">
        <v>2054</v>
      </c>
      <c r="D1630" s="1">
        <v>45586</v>
      </c>
      <c r="E1630" s="4">
        <v>101.35</v>
      </c>
      <c r="F1630" s="3">
        <v>2</v>
      </c>
      <c r="G1630" s="6" t="s">
        <v>38</v>
      </c>
    </row>
    <row r="1631" spans="1:7" x14ac:dyDescent="0.3">
      <c r="A1631" s="2" t="s">
        <v>2058</v>
      </c>
      <c r="B1631" s="2" t="s">
        <v>2053</v>
      </c>
      <c r="C1631" s="6" t="s">
        <v>2054</v>
      </c>
      <c r="D1631" s="1">
        <v>45481</v>
      </c>
      <c r="E1631" s="4">
        <v>65.290000000000006</v>
      </c>
      <c r="F1631" s="3">
        <v>3</v>
      </c>
      <c r="G1631" s="6" t="s">
        <v>18</v>
      </c>
    </row>
    <row r="1632" spans="1:7" x14ac:dyDescent="0.3">
      <c r="A1632" s="2" t="s">
        <v>2059</v>
      </c>
      <c r="B1632" s="2" t="s">
        <v>2053</v>
      </c>
      <c r="C1632" s="6" t="s">
        <v>2054</v>
      </c>
      <c r="D1632" s="1">
        <v>45599</v>
      </c>
      <c r="E1632" s="4">
        <v>376.82</v>
      </c>
      <c r="F1632" s="3">
        <v>4</v>
      </c>
      <c r="G1632" s="6" t="s">
        <v>10</v>
      </c>
    </row>
    <row r="1633" spans="1:7" x14ac:dyDescent="0.3">
      <c r="A1633" s="2" t="s">
        <v>2060</v>
      </c>
      <c r="B1633" s="2" t="s">
        <v>2053</v>
      </c>
      <c r="C1633" s="6" t="s">
        <v>2054</v>
      </c>
      <c r="D1633" s="1">
        <v>45501</v>
      </c>
      <c r="E1633" s="4">
        <v>62</v>
      </c>
      <c r="F1633" s="3">
        <v>1</v>
      </c>
      <c r="G1633" s="6" t="s">
        <v>15</v>
      </c>
    </row>
    <row r="1634" spans="1:7" x14ac:dyDescent="0.3">
      <c r="A1634" s="2" t="s">
        <v>2061</v>
      </c>
      <c r="B1634" s="2" t="s">
        <v>2053</v>
      </c>
      <c r="C1634" s="6" t="s">
        <v>2054</v>
      </c>
      <c r="D1634" s="1">
        <v>45592</v>
      </c>
      <c r="E1634" s="4">
        <v>479</v>
      </c>
      <c r="F1634" s="3">
        <v>4</v>
      </c>
      <c r="G1634" s="6" t="s">
        <v>18</v>
      </c>
    </row>
    <row r="1635" spans="1:7" x14ac:dyDescent="0.3">
      <c r="A1635" s="2" t="s">
        <v>2062</v>
      </c>
      <c r="B1635" s="2" t="s">
        <v>2063</v>
      </c>
      <c r="C1635" s="6" t="s">
        <v>2064</v>
      </c>
      <c r="D1635" s="1">
        <v>45206</v>
      </c>
      <c r="E1635" s="4">
        <v>481.43</v>
      </c>
      <c r="F1635" s="3">
        <v>1</v>
      </c>
      <c r="G1635" s="6" t="s">
        <v>38</v>
      </c>
    </row>
    <row r="1636" spans="1:7" x14ac:dyDescent="0.3">
      <c r="A1636" s="2" t="s">
        <v>2065</v>
      </c>
      <c r="B1636" s="2" t="s">
        <v>2063</v>
      </c>
      <c r="C1636" s="6" t="s">
        <v>2064</v>
      </c>
      <c r="D1636" s="1">
        <v>45656</v>
      </c>
      <c r="E1636" s="4">
        <v>133.56</v>
      </c>
      <c r="F1636" s="3">
        <v>4</v>
      </c>
      <c r="G1636" s="6" t="s">
        <v>26</v>
      </c>
    </row>
    <row r="1637" spans="1:7" x14ac:dyDescent="0.3">
      <c r="A1637" s="2" t="s">
        <v>2066</v>
      </c>
      <c r="B1637" s="2" t="s">
        <v>2063</v>
      </c>
      <c r="C1637" s="6" t="s">
        <v>2064</v>
      </c>
      <c r="D1637" s="1">
        <v>45348</v>
      </c>
      <c r="E1637" s="4">
        <v>260.38</v>
      </c>
      <c r="F1637" s="3">
        <v>4</v>
      </c>
      <c r="G1637" s="6" t="s">
        <v>15</v>
      </c>
    </row>
    <row r="1638" spans="1:7" x14ac:dyDescent="0.3">
      <c r="A1638" s="2" t="s">
        <v>2067</v>
      </c>
      <c r="B1638" s="2" t="s">
        <v>2063</v>
      </c>
      <c r="C1638" s="6" t="s">
        <v>2064</v>
      </c>
      <c r="D1638" s="1">
        <v>45644</v>
      </c>
      <c r="E1638" s="4">
        <v>20.82</v>
      </c>
      <c r="F1638" s="3">
        <v>3</v>
      </c>
      <c r="G1638" s="6" t="s">
        <v>10</v>
      </c>
    </row>
    <row r="1639" spans="1:7" x14ac:dyDescent="0.3">
      <c r="A1639" s="2" t="s">
        <v>2068</v>
      </c>
      <c r="B1639" s="2" t="s">
        <v>2063</v>
      </c>
      <c r="C1639" s="6" t="s">
        <v>2064</v>
      </c>
      <c r="D1639" s="1">
        <v>45403</v>
      </c>
      <c r="E1639" s="4">
        <v>421.16</v>
      </c>
      <c r="F1639" s="3">
        <v>2</v>
      </c>
      <c r="G1639" s="6" t="s">
        <v>15</v>
      </c>
    </row>
    <row r="1640" spans="1:7" x14ac:dyDescent="0.3">
      <c r="A1640" s="2" t="s">
        <v>2069</v>
      </c>
      <c r="B1640" s="2" t="s">
        <v>2063</v>
      </c>
      <c r="C1640" s="6" t="s">
        <v>2064</v>
      </c>
      <c r="D1640" s="1">
        <v>45342</v>
      </c>
      <c r="E1640" s="4">
        <v>366.78</v>
      </c>
      <c r="F1640" s="3">
        <v>3</v>
      </c>
      <c r="G1640" s="6" t="s">
        <v>12</v>
      </c>
    </row>
    <row r="1641" spans="1:7" x14ac:dyDescent="0.3">
      <c r="A1641" s="2" t="s">
        <v>2070</v>
      </c>
      <c r="B1641" s="2" t="s">
        <v>2063</v>
      </c>
      <c r="C1641" s="6" t="s">
        <v>2064</v>
      </c>
      <c r="D1641" s="1">
        <v>45334</v>
      </c>
      <c r="E1641" s="4">
        <v>353.42</v>
      </c>
      <c r="F1641" s="3">
        <v>2</v>
      </c>
      <c r="G1641" s="6" t="s">
        <v>15</v>
      </c>
    </row>
    <row r="1642" spans="1:7" x14ac:dyDescent="0.3">
      <c r="A1642" s="2" t="s">
        <v>2071</v>
      </c>
      <c r="B1642" s="2" t="s">
        <v>2063</v>
      </c>
      <c r="C1642" s="6" t="s">
        <v>2064</v>
      </c>
      <c r="D1642" s="1">
        <v>45405</v>
      </c>
      <c r="E1642" s="4">
        <v>177.4</v>
      </c>
      <c r="F1642" s="3">
        <v>2</v>
      </c>
      <c r="G1642" s="6" t="s">
        <v>10</v>
      </c>
    </row>
    <row r="1643" spans="1:7" x14ac:dyDescent="0.3">
      <c r="A1643" s="2" t="s">
        <v>2072</v>
      </c>
      <c r="B1643" s="2" t="s">
        <v>2063</v>
      </c>
      <c r="C1643" s="6" t="s">
        <v>2064</v>
      </c>
      <c r="D1643" s="1">
        <v>45200</v>
      </c>
      <c r="E1643" s="4">
        <v>253.65</v>
      </c>
      <c r="F1643" s="3">
        <v>2</v>
      </c>
      <c r="G1643" s="6" t="s">
        <v>15</v>
      </c>
    </row>
    <row r="1644" spans="1:7" x14ac:dyDescent="0.3">
      <c r="A1644" s="2" t="s">
        <v>2073</v>
      </c>
      <c r="B1644" s="2" t="s">
        <v>2063</v>
      </c>
      <c r="C1644" s="6" t="s">
        <v>2064</v>
      </c>
      <c r="D1644" s="1">
        <v>45084</v>
      </c>
      <c r="E1644" s="4">
        <v>170.64</v>
      </c>
      <c r="F1644" s="3">
        <v>2</v>
      </c>
      <c r="G1644" s="6" t="s">
        <v>12</v>
      </c>
    </row>
    <row r="1645" spans="1:7" x14ac:dyDescent="0.3">
      <c r="A1645" s="2" t="s">
        <v>2074</v>
      </c>
      <c r="B1645" s="2" t="s">
        <v>2063</v>
      </c>
      <c r="C1645" s="6" t="s">
        <v>2064</v>
      </c>
      <c r="D1645" s="1">
        <v>45439</v>
      </c>
      <c r="E1645" s="4">
        <v>202.88</v>
      </c>
      <c r="F1645" s="3">
        <v>2</v>
      </c>
      <c r="G1645" s="6" t="s">
        <v>12</v>
      </c>
    </row>
    <row r="1646" spans="1:7" x14ac:dyDescent="0.3">
      <c r="A1646" s="2" t="s">
        <v>2075</v>
      </c>
      <c r="B1646" s="2" t="s">
        <v>2063</v>
      </c>
      <c r="C1646" s="6" t="s">
        <v>2064</v>
      </c>
      <c r="D1646" s="1">
        <v>45150</v>
      </c>
      <c r="E1646" s="4">
        <v>436.13</v>
      </c>
      <c r="F1646" s="3">
        <v>1</v>
      </c>
      <c r="G1646" s="6" t="s">
        <v>12</v>
      </c>
    </row>
    <row r="1647" spans="1:7" x14ac:dyDescent="0.3">
      <c r="A1647" s="2" t="s">
        <v>2076</v>
      </c>
      <c r="B1647" s="2" t="s">
        <v>2063</v>
      </c>
      <c r="C1647" s="6" t="s">
        <v>2064</v>
      </c>
      <c r="D1647" s="1">
        <v>45509</v>
      </c>
      <c r="E1647" s="4">
        <v>343.39</v>
      </c>
      <c r="F1647" s="3">
        <v>2</v>
      </c>
      <c r="G1647" s="6" t="s">
        <v>12</v>
      </c>
    </row>
    <row r="1648" spans="1:7" x14ac:dyDescent="0.3">
      <c r="A1648" s="2" t="s">
        <v>2077</v>
      </c>
      <c r="B1648" s="2" t="s">
        <v>2063</v>
      </c>
      <c r="C1648" s="6" t="s">
        <v>2064</v>
      </c>
      <c r="D1648" s="1">
        <v>45647</v>
      </c>
      <c r="E1648" s="4">
        <v>356.24</v>
      </c>
      <c r="F1648" s="3">
        <v>1</v>
      </c>
      <c r="G1648" s="6" t="s">
        <v>10</v>
      </c>
    </row>
    <row r="1649" spans="1:7" x14ac:dyDescent="0.3">
      <c r="A1649" s="2" t="s">
        <v>2078</v>
      </c>
      <c r="B1649" s="2" t="s">
        <v>2079</v>
      </c>
      <c r="C1649" s="6" t="s">
        <v>2080</v>
      </c>
      <c r="D1649" s="1">
        <v>45333</v>
      </c>
      <c r="E1649" s="4">
        <v>150.37</v>
      </c>
      <c r="F1649" s="3">
        <v>1</v>
      </c>
      <c r="G1649" s="6" t="s">
        <v>26</v>
      </c>
    </row>
    <row r="1650" spans="1:7" x14ac:dyDescent="0.3">
      <c r="A1650" s="2" t="s">
        <v>2081</v>
      </c>
      <c r="B1650" s="2" t="s">
        <v>2079</v>
      </c>
      <c r="C1650" s="6" t="s">
        <v>2080</v>
      </c>
      <c r="D1650" s="1">
        <v>45568</v>
      </c>
      <c r="E1650" s="4">
        <v>167.81</v>
      </c>
      <c r="F1650" s="3">
        <v>2</v>
      </c>
      <c r="G1650" s="6" t="s">
        <v>12</v>
      </c>
    </row>
    <row r="1651" spans="1:7" x14ac:dyDescent="0.3">
      <c r="A1651" s="2" t="s">
        <v>2082</v>
      </c>
      <c r="B1651" s="2" t="s">
        <v>2079</v>
      </c>
      <c r="C1651" s="6" t="s">
        <v>2080</v>
      </c>
      <c r="D1651" s="1">
        <v>45568</v>
      </c>
      <c r="E1651" s="4">
        <v>465.01</v>
      </c>
      <c r="F1651" s="3">
        <v>3</v>
      </c>
      <c r="G1651" s="6" t="s">
        <v>10</v>
      </c>
    </row>
    <row r="1652" spans="1:7" x14ac:dyDescent="0.3">
      <c r="A1652" s="2" t="s">
        <v>2083</v>
      </c>
      <c r="B1652" s="2" t="s">
        <v>2079</v>
      </c>
      <c r="C1652" s="6" t="s">
        <v>2080</v>
      </c>
      <c r="D1652" s="1">
        <v>45359</v>
      </c>
      <c r="E1652" s="4">
        <v>477.03</v>
      </c>
      <c r="F1652" s="3">
        <v>2</v>
      </c>
      <c r="G1652" s="6" t="s">
        <v>18</v>
      </c>
    </row>
    <row r="1653" spans="1:7" x14ac:dyDescent="0.3">
      <c r="A1653" s="2" t="s">
        <v>2084</v>
      </c>
      <c r="B1653" s="2" t="s">
        <v>2079</v>
      </c>
      <c r="C1653" s="6" t="s">
        <v>2080</v>
      </c>
      <c r="D1653" s="1">
        <v>45380</v>
      </c>
      <c r="E1653" s="4">
        <v>104.51</v>
      </c>
      <c r="F1653" s="3">
        <v>2</v>
      </c>
      <c r="G1653" s="6" t="s">
        <v>18</v>
      </c>
    </row>
    <row r="1654" spans="1:7" x14ac:dyDescent="0.3">
      <c r="A1654" s="2" t="s">
        <v>2085</v>
      </c>
      <c r="B1654" s="2" t="s">
        <v>2079</v>
      </c>
      <c r="C1654" s="6" t="s">
        <v>2080</v>
      </c>
      <c r="D1654" s="1">
        <v>45409</v>
      </c>
      <c r="E1654" s="4">
        <v>412.6</v>
      </c>
      <c r="F1654" s="3">
        <v>1</v>
      </c>
      <c r="G1654" s="6" t="s">
        <v>38</v>
      </c>
    </row>
    <row r="1655" spans="1:7" x14ac:dyDescent="0.3">
      <c r="A1655" s="2" t="s">
        <v>2086</v>
      </c>
      <c r="B1655" s="2" t="s">
        <v>2079</v>
      </c>
      <c r="C1655" s="6" t="s">
        <v>2080</v>
      </c>
      <c r="D1655" s="1">
        <v>45463</v>
      </c>
      <c r="E1655" s="4">
        <v>270.91000000000003</v>
      </c>
      <c r="F1655" s="3">
        <v>3</v>
      </c>
      <c r="G1655" s="6" t="s">
        <v>15</v>
      </c>
    </row>
    <row r="1656" spans="1:7" x14ac:dyDescent="0.3">
      <c r="A1656" s="2" t="s">
        <v>2087</v>
      </c>
      <c r="B1656" s="2" t="s">
        <v>2079</v>
      </c>
      <c r="C1656" s="6" t="s">
        <v>2080</v>
      </c>
      <c r="D1656" s="1">
        <v>45244</v>
      </c>
      <c r="E1656" s="4">
        <v>95.55</v>
      </c>
      <c r="F1656" s="3">
        <v>2</v>
      </c>
      <c r="G1656" s="6" t="s">
        <v>26</v>
      </c>
    </row>
    <row r="1657" spans="1:7" x14ac:dyDescent="0.3">
      <c r="A1657" s="2" t="s">
        <v>2088</v>
      </c>
      <c r="B1657" s="2" t="s">
        <v>2079</v>
      </c>
      <c r="C1657" s="6" t="s">
        <v>2080</v>
      </c>
      <c r="D1657" s="1">
        <v>45325</v>
      </c>
      <c r="E1657" s="4">
        <v>312.43</v>
      </c>
      <c r="F1657" s="3">
        <v>2</v>
      </c>
      <c r="G1657" s="6" t="s">
        <v>15</v>
      </c>
    </row>
    <row r="1658" spans="1:7" x14ac:dyDescent="0.3">
      <c r="A1658" s="2" t="s">
        <v>2089</v>
      </c>
      <c r="B1658" s="2" t="s">
        <v>2079</v>
      </c>
      <c r="C1658" s="6" t="s">
        <v>2080</v>
      </c>
      <c r="D1658" s="1">
        <v>45437</v>
      </c>
      <c r="E1658" s="4">
        <v>70.81</v>
      </c>
      <c r="F1658" s="3">
        <v>1</v>
      </c>
      <c r="G1658" s="6" t="s">
        <v>15</v>
      </c>
    </row>
    <row r="1659" spans="1:7" x14ac:dyDescent="0.3">
      <c r="A1659" s="2" t="s">
        <v>2090</v>
      </c>
      <c r="B1659" s="2" t="s">
        <v>2079</v>
      </c>
      <c r="C1659" s="6" t="s">
        <v>2080</v>
      </c>
      <c r="D1659" s="1">
        <v>45570</v>
      </c>
      <c r="E1659" s="4">
        <v>299.94</v>
      </c>
      <c r="F1659" s="3">
        <v>3</v>
      </c>
      <c r="G1659" s="6" t="s">
        <v>10</v>
      </c>
    </row>
    <row r="1660" spans="1:7" x14ac:dyDescent="0.3">
      <c r="A1660" s="2" t="s">
        <v>2091</v>
      </c>
      <c r="B1660" s="2" t="s">
        <v>2079</v>
      </c>
      <c r="C1660" s="6" t="s">
        <v>2080</v>
      </c>
      <c r="D1660" s="1">
        <v>45507</v>
      </c>
      <c r="E1660" s="4">
        <v>315.45999999999998</v>
      </c>
      <c r="F1660" s="3">
        <v>1</v>
      </c>
      <c r="G1660" s="6" t="s">
        <v>15</v>
      </c>
    </row>
    <row r="1661" spans="1:7" x14ac:dyDescent="0.3">
      <c r="A1661" s="2" t="s">
        <v>2092</v>
      </c>
      <c r="B1661" s="2" t="s">
        <v>2079</v>
      </c>
      <c r="C1661" s="6" t="s">
        <v>2080</v>
      </c>
      <c r="D1661" s="1">
        <v>45242</v>
      </c>
      <c r="E1661" s="4">
        <v>269.04000000000002</v>
      </c>
      <c r="F1661" s="3">
        <v>4</v>
      </c>
      <c r="G1661" s="6" t="s">
        <v>12</v>
      </c>
    </row>
    <row r="1662" spans="1:7" x14ac:dyDescent="0.3">
      <c r="A1662" s="2" t="s">
        <v>2093</v>
      </c>
      <c r="B1662" s="2" t="s">
        <v>2079</v>
      </c>
      <c r="C1662" s="6" t="s">
        <v>2080</v>
      </c>
      <c r="D1662" s="1">
        <v>45549</v>
      </c>
      <c r="E1662" s="4">
        <v>366.73</v>
      </c>
      <c r="F1662" s="3">
        <v>4</v>
      </c>
      <c r="G1662" s="6" t="s">
        <v>10</v>
      </c>
    </row>
    <row r="1663" spans="1:7" x14ac:dyDescent="0.3">
      <c r="A1663" s="2" t="s">
        <v>2094</v>
      </c>
      <c r="B1663" s="2" t="s">
        <v>2079</v>
      </c>
      <c r="C1663" s="6" t="s">
        <v>2080</v>
      </c>
      <c r="D1663" s="1">
        <v>45352</v>
      </c>
      <c r="E1663" s="4">
        <v>101.03</v>
      </c>
      <c r="F1663" s="3">
        <v>2</v>
      </c>
      <c r="G1663" s="6" t="s">
        <v>10</v>
      </c>
    </row>
    <row r="1664" spans="1:7" x14ac:dyDescent="0.3">
      <c r="A1664" s="2" t="s">
        <v>2095</v>
      </c>
      <c r="B1664" s="2" t="s">
        <v>2096</v>
      </c>
      <c r="C1664" s="6" t="s">
        <v>2097</v>
      </c>
      <c r="D1664" s="1">
        <v>45388</v>
      </c>
      <c r="E1664" s="4">
        <v>429.44</v>
      </c>
      <c r="F1664" s="3">
        <v>1</v>
      </c>
      <c r="G1664" s="6" t="s">
        <v>26</v>
      </c>
    </row>
    <row r="1665" spans="1:7" x14ac:dyDescent="0.3">
      <c r="A1665" s="2" t="s">
        <v>2098</v>
      </c>
      <c r="B1665" s="2" t="s">
        <v>2096</v>
      </c>
      <c r="C1665" s="6" t="s">
        <v>2097</v>
      </c>
      <c r="D1665" s="1">
        <v>45523</v>
      </c>
      <c r="E1665" s="4">
        <v>77.05</v>
      </c>
      <c r="F1665" s="3">
        <v>3</v>
      </c>
      <c r="G1665" s="6" t="s">
        <v>18</v>
      </c>
    </row>
    <row r="1666" spans="1:7" x14ac:dyDescent="0.3">
      <c r="A1666" s="2" t="s">
        <v>2099</v>
      </c>
      <c r="B1666" s="2" t="s">
        <v>2096</v>
      </c>
      <c r="C1666" s="6" t="s">
        <v>2097</v>
      </c>
      <c r="D1666" s="1">
        <v>45394</v>
      </c>
      <c r="E1666" s="4">
        <v>462.1</v>
      </c>
      <c r="F1666" s="3">
        <v>1</v>
      </c>
      <c r="G1666" s="6" t="s">
        <v>38</v>
      </c>
    </row>
    <row r="1667" spans="1:7" x14ac:dyDescent="0.3">
      <c r="A1667" s="2" t="s">
        <v>2100</v>
      </c>
      <c r="B1667" s="2" t="s">
        <v>2096</v>
      </c>
      <c r="C1667" s="6" t="s">
        <v>2097</v>
      </c>
      <c r="D1667" s="1">
        <v>45620</v>
      </c>
      <c r="E1667" s="4">
        <v>432.62</v>
      </c>
      <c r="F1667" s="3">
        <v>4</v>
      </c>
      <c r="G1667" s="6" t="s">
        <v>18</v>
      </c>
    </row>
    <row r="1668" spans="1:7" x14ac:dyDescent="0.3">
      <c r="A1668" s="2" t="s">
        <v>2101</v>
      </c>
      <c r="B1668" s="2" t="s">
        <v>2096</v>
      </c>
      <c r="C1668" s="6" t="s">
        <v>2097</v>
      </c>
      <c r="D1668" s="1">
        <v>45519</v>
      </c>
      <c r="E1668" s="4">
        <v>315.52</v>
      </c>
      <c r="F1668" s="3">
        <v>4</v>
      </c>
      <c r="G1668" s="6" t="s">
        <v>18</v>
      </c>
    </row>
    <row r="1669" spans="1:7" x14ac:dyDescent="0.3">
      <c r="A1669" s="2" t="s">
        <v>2102</v>
      </c>
      <c r="B1669" s="2" t="s">
        <v>2096</v>
      </c>
      <c r="C1669" s="6" t="s">
        <v>2097</v>
      </c>
      <c r="D1669" s="1">
        <v>45425</v>
      </c>
      <c r="E1669" s="4">
        <v>51.85</v>
      </c>
      <c r="F1669" s="3">
        <v>4</v>
      </c>
      <c r="G1669" s="6" t="s">
        <v>10</v>
      </c>
    </row>
    <row r="1670" spans="1:7" x14ac:dyDescent="0.3">
      <c r="A1670" s="2" t="s">
        <v>2103</v>
      </c>
      <c r="B1670" s="2" t="s">
        <v>2096</v>
      </c>
      <c r="C1670" s="6" t="s">
        <v>2097</v>
      </c>
      <c r="D1670" s="1">
        <v>45444</v>
      </c>
      <c r="E1670" s="4">
        <v>310.95</v>
      </c>
      <c r="F1670" s="3">
        <v>3</v>
      </c>
      <c r="G1670" s="6" t="s">
        <v>18</v>
      </c>
    </row>
    <row r="1671" spans="1:7" x14ac:dyDescent="0.3">
      <c r="A1671" s="2" t="s">
        <v>2104</v>
      </c>
      <c r="B1671" s="2" t="s">
        <v>2096</v>
      </c>
      <c r="C1671" s="6" t="s">
        <v>2097</v>
      </c>
      <c r="D1671" s="1">
        <v>45392</v>
      </c>
      <c r="E1671" s="4">
        <v>46.7</v>
      </c>
      <c r="F1671" s="3">
        <v>4</v>
      </c>
      <c r="G1671" s="6" t="s">
        <v>38</v>
      </c>
    </row>
    <row r="1672" spans="1:7" x14ac:dyDescent="0.3">
      <c r="A1672" s="2" t="s">
        <v>2105</v>
      </c>
      <c r="B1672" s="2" t="s">
        <v>2096</v>
      </c>
      <c r="C1672" s="6" t="s">
        <v>2097</v>
      </c>
      <c r="D1672" s="1">
        <v>45448</v>
      </c>
      <c r="E1672" s="4">
        <v>257.41000000000003</v>
      </c>
      <c r="F1672" s="3">
        <v>2</v>
      </c>
      <c r="G1672" s="6" t="s">
        <v>15</v>
      </c>
    </row>
    <row r="1673" spans="1:7" x14ac:dyDescent="0.3">
      <c r="A1673" s="2" t="s">
        <v>2106</v>
      </c>
      <c r="B1673" s="2" t="s">
        <v>2096</v>
      </c>
      <c r="C1673" s="6" t="s">
        <v>2097</v>
      </c>
      <c r="D1673" s="1">
        <v>45406</v>
      </c>
      <c r="E1673" s="4">
        <v>490.78</v>
      </c>
      <c r="F1673" s="3">
        <v>3</v>
      </c>
      <c r="G1673" s="6" t="s">
        <v>38</v>
      </c>
    </row>
    <row r="1674" spans="1:7" x14ac:dyDescent="0.3">
      <c r="A1674" s="2" t="s">
        <v>2107</v>
      </c>
      <c r="B1674" s="2" t="s">
        <v>2096</v>
      </c>
      <c r="C1674" s="6" t="s">
        <v>2097</v>
      </c>
      <c r="D1674" s="1">
        <v>45653</v>
      </c>
      <c r="E1674" s="4">
        <v>27.87</v>
      </c>
      <c r="F1674" s="3">
        <v>4</v>
      </c>
      <c r="G1674" s="6" t="s">
        <v>15</v>
      </c>
    </row>
    <row r="1675" spans="1:7" x14ac:dyDescent="0.3">
      <c r="A1675" s="2" t="s">
        <v>2108</v>
      </c>
      <c r="B1675" s="2" t="s">
        <v>2096</v>
      </c>
      <c r="C1675" s="6" t="s">
        <v>2097</v>
      </c>
      <c r="D1675" s="1">
        <v>45438</v>
      </c>
      <c r="E1675" s="4">
        <v>278.27999999999997</v>
      </c>
      <c r="F1675" s="3">
        <v>1</v>
      </c>
      <c r="G1675" s="6" t="s">
        <v>38</v>
      </c>
    </row>
    <row r="1676" spans="1:7" x14ac:dyDescent="0.3">
      <c r="A1676" s="2" t="s">
        <v>2109</v>
      </c>
      <c r="B1676" s="2" t="s">
        <v>2110</v>
      </c>
      <c r="C1676" s="6" t="s">
        <v>2111</v>
      </c>
      <c r="D1676" s="1">
        <v>45326</v>
      </c>
      <c r="E1676" s="4">
        <v>29.56</v>
      </c>
      <c r="F1676" s="3">
        <v>3</v>
      </c>
      <c r="G1676" s="6" t="s">
        <v>12</v>
      </c>
    </row>
    <row r="1677" spans="1:7" x14ac:dyDescent="0.3">
      <c r="A1677" s="2" t="s">
        <v>2112</v>
      </c>
      <c r="B1677" s="2" t="s">
        <v>2110</v>
      </c>
      <c r="C1677" s="6" t="s">
        <v>2111</v>
      </c>
      <c r="D1677" s="1">
        <v>45499</v>
      </c>
      <c r="E1677" s="4">
        <v>172.89</v>
      </c>
      <c r="F1677" s="3">
        <v>2</v>
      </c>
      <c r="G1677" s="6" t="s">
        <v>10</v>
      </c>
    </row>
    <row r="1678" spans="1:7" x14ac:dyDescent="0.3">
      <c r="A1678" s="2" t="s">
        <v>2113</v>
      </c>
      <c r="B1678" s="2" t="s">
        <v>2114</v>
      </c>
      <c r="C1678" s="6" t="s">
        <v>2115</v>
      </c>
      <c r="D1678" s="1">
        <v>45495</v>
      </c>
      <c r="E1678" s="4">
        <v>483.47</v>
      </c>
      <c r="F1678" s="3">
        <v>2</v>
      </c>
      <c r="G1678" s="6" t="s">
        <v>26</v>
      </c>
    </row>
    <row r="1679" spans="1:7" x14ac:dyDescent="0.3">
      <c r="A1679" s="2" t="s">
        <v>2116</v>
      </c>
      <c r="B1679" s="2" t="s">
        <v>2114</v>
      </c>
      <c r="C1679" s="6" t="s">
        <v>2115</v>
      </c>
      <c r="D1679" s="1">
        <v>45482</v>
      </c>
      <c r="E1679" s="4">
        <v>263.14999999999998</v>
      </c>
      <c r="F1679" s="3">
        <v>4</v>
      </c>
      <c r="G1679" s="6" t="s">
        <v>10</v>
      </c>
    </row>
    <row r="1680" spans="1:7" x14ac:dyDescent="0.3">
      <c r="A1680" s="2" t="s">
        <v>2117</v>
      </c>
      <c r="B1680" s="2" t="s">
        <v>2114</v>
      </c>
      <c r="C1680" s="6" t="s">
        <v>2115</v>
      </c>
      <c r="D1680" s="1">
        <v>45407</v>
      </c>
      <c r="E1680" s="4">
        <v>149.75</v>
      </c>
      <c r="F1680" s="3">
        <v>2</v>
      </c>
      <c r="G1680" s="6" t="s">
        <v>12</v>
      </c>
    </row>
    <row r="1681" spans="1:7" x14ac:dyDescent="0.3">
      <c r="A1681" s="2" t="s">
        <v>2118</v>
      </c>
      <c r="B1681" s="2" t="s">
        <v>2114</v>
      </c>
      <c r="C1681" s="6" t="s">
        <v>2115</v>
      </c>
      <c r="D1681" s="1">
        <v>45547</v>
      </c>
      <c r="E1681" s="4">
        <v>152.12</v>
      </c>
      <c r="F1681" s="3">
        <v>3</v>
      </c>
      <c r="G1681" s="6" t="s">
        <v>26</v>
      </c>
    </row>
    <row r="1682" spans="1:7" x14ac:dyDescent="0.3">
      <c r="A1682" s="2" t="s">
        <v>2119</v>
      </c>
      <c r="B1682" s="2" t="s">
        <v>2114</v>
      </c>
      <c r="C1682" s="6" t="s">
        <v>2115</v>
      </c>
      <c r="D1682" s="1">
        <v>45569</v>
      </c>
      <c r="E1682" s="4">
        <v>148.13999999999999</v>
      </c>
      <c r="F1682" s="3">
        <v>4</v>
      </c>
      <c r="G1682" s="6" t="s">
        <v>38</v>
      </c>
    </row>
    <row r="1683" spans="1:7" x14ac:dyDescent="0.3">
      <c r="A1683" s="2" t="s">
        <v>2120</v>
      </c>
      <c r="B1683" s="2" t="s">
        <v>2114</v>
      </c>
      <c r="C1683" s="6" t="s">
        <v>2115</v>
      </c>
      <c r="D1683" s="1">
        <v>45598</v>
      </c>
      <c r="E1683" s="4">
        <v>215.38</v>
      </c>
      <c r="F1683" s="3">
        <v>4</v>
      </c>
      <c r="G1683" s="6" t="s">
        <v>38</v>
      </c>
    </row>
    <row r="1684" spans="1:7" x14ac:dyDescent="0.3">
      <c r="A1684" s="2" t="s">
        <v>2121</v>
      </c>
      <c r="B1684" s="2" t="s">
        <v>2114</v>
      </c>
      <c r="C1684" s="6" t="s">
        <v>2115</v>
      </c>
      <c r="D1684" s="1">
        <v>45336</v>
      </c>
      <c r="E1684" s="4">
        <v>457.27</v>
      </c>
      <c r="F1684" s="3">
        <v>2</v>
      </c>
      <c r="G1684" s="6" t="s">
        <v>10</v>
      </c>
    </row>
    <row r="1685" spans="1:7" x14ac:dyDescent="0.3">
      <c r="A1685" s="2" t="s">
        <v>2122</v>
      </c>
      <c r="B1685" s="2" t="s">
        <v>2114</v>
      </c>
      <c r="C1685" s="6" t="s">
        <v>2115</v>
      </c>
      <c r="D1685" s="1">
        <v>45500</v>
      </c>
      <c r="E1685" s="4">
        <v>132.37</v>
      </c>
      <c r="F1685" s="3">
        <v>3</v>
      </c>
      <c r="G1685" s="6" t="s">
        <v>10</v>
      </c>
    </row>
    <row r="1686" spans="1:7" x14ac:dyDescent="0.3">
      <c r="A1686" s="2" t="s">
        <v>2123</v>
      </c>
      <c r="B1686" s="2" t="s">
        <v>2114</v>
      </c>
      <c r="C1686" s="6" t="s">
        <v>2115</v>
      </c>
      <c r="D1686" s="1">
        <v>45408</v>
      </c>
      <c r="E1686" s="4">
        <v>262.5</v>
      </c>
      <c r="F1686" s="3">
        <v>2</v>
      </c>
      <c r="G1686" s="6" t="s">
        <v>26</v>
      </c>
    </row>
    <row r="1687" spans="1:7" x14ac:dyDescent="0.3">
      <c r="A1687" s="2" t="s">
        <v>2124</v>
      </c>
      <c r="B1687" s="2" t="s">
        <v>2114</v>
      </c>
      <c r="C1687" s="6" t="s">
        <v>2115</v>
      </c>
      <c r="D1687" s="1">
        <v>45573</v>
      </c>
      <c r="E1687" s="4">
        <v>58.79</v>
      </c>
      <c r="F1687" s="3">
        <v>4</v>
      </c>
      <c r="G1687" s="6" t="s">
        <v>12</v>
      </c>
    </row>
    <row r="1688" spans="1:7" x14ac:dyDescent="0.3">
      <c r="A1688" s="2" t="s">
        <v>2125</v>
      </c>
      <c r="B1688" s="2" t="s">
        <v>2114</v>
      </c>
      <c r="C1688" s="6" t="s">
        <v>2115</v>
      </c>
      <c r="D1688" s="1">
        <v>45474</v>
      </c>
      <c r="E1688" s="4">
        <v>271.08999999999997</v>
      </c>
      <c r="F1688" s="3">
        <v>2</v>
      </c>
      <c r="G1688" s="6" t="s">
        <v>10</v>
      </c>
    </row>
    <row r="1689" spans="1:7" x14ac:dyDescent="0.3">
      <c r="A1689" s="2" t="s">
        <v>2126</v>
      </c>
      <c r="B1689" s="2" t="s">
        <v>2114</v>
      </c>
      <c r="C1689" s="6" t="s">
        <v>2115</v>
      </c>
      <c r="D1689" s="1">
        <v>45576</v>
      </c>
      <c r="E1689" s="4">
        <v>15.17</v>
      </c>
      <c r="F1689" s="3">
        <v>2</v>
      </c>
      <c r="G1689" s="6" t="s">
        <v>26</v>
      </c>
    </row>
    <row r="1690" spans="1:7" x14ac:dyDescent="0.3">
      <c r="A1690" s="2" t="s">
        <v>2127</v>
      </c>
      <c r="B1690" s="2" t="s">
        <v>2128</v>
      </c>
      <c r="C1690" s="6" t="s">
        <v>2129</v>
      </c>
      <c r="D1690" s="1">
        <v>45439</v>
      </c>
      <c r="E1690" s="4">
        <v>27.26</v>
      </c>
      <c r="F1690" s="3">
        <v>4</v>
      </c>
      <c r="G1690" s="6" t="s">
        <v>18</v>
      </c>
    </row>
    <row r="1691" spans="1:7" x14ac:dyDescent="0.3">
      <c r="A1691" s="2" t="s">
        <v>2130</v>
      </c>
      <c r="B1691" s="2" t="s">
        <v>2128</v>
      </c>
      <c r="C1691" s="6" t="s">
        <v>2129</v>
      </c>
      <c r="D1691" s="1">
        <v>45496</v>
      </c>
      <c r="E1691" s="4">
        <v>209.14</v>
      </c>
      <c r="F1691" s="3">
        <v>1</v>
      </c>
      <c r="G1691" s="6" t="s">
        <v>10</v>
      </c>
    </row>
    <row r="1692" spans="1:7" x14ac:dyDescent="0.3">
      <c r="A1692" s="2" t="s">
        <v>2131</v>
      </c>
      <c r="B1692" s="2" t="s">
        <v>2128</v>
      </c>
      <c r="C1692" s="6" t="s">
        <v>2129</v>
      </c>
      <c r="D1692" s="1">
        <v>45428</v>
      </c>
      <c r="E1692" s="4">
        <v>104.06</v>
      </c>
      <c r="F1692" s="3">
        <v>1</v>
      </c>
      <c r="G1692" s="6" t="s">
        <v>15</v>
      </c>
    </row>
    <row r="1693" spans="1:7" x14ac:dyDescent="0.3">
      <c r="A1693" s="2" t="s">
        <v>2132</v>
      </c>
      <c r="B1693" s="2" t="s">
        <v>2128</v>
      </c>
      <c r="C1693" s="6" t="s">
        <v>2129</v>
      </c>
      <c r="D1693" s="1">
        <v>45592</v>
      </c>
      <c r="E1693" s="4">
        <v>74.33</v>
      </c>
      <c r="F1693" s="3">
        <v>3</v>
      </c>
      <c r="G1693" s="6" t="s">
        <v>26</v>
      </c>
    </row>
    <row r="1694" spans="1:7" x14ac:dyDescent="0.3">
      <c r="A1694" s="2" t="s">
        <v>2133</v>
      </c>
      <c r="B1694" s="2" t="s">
        <v>2128</v>
      </c>
      <c r="C1694" s="6" t="s">
        <v>2129</v>
      </c>
      <c r="D1694" s="1">
        <v>45529</v>
      </c>
      <c r="E1694" s="4">
        <v>243.4</v>
      </c>
      <c r="F1694" s="3">
        <v>4</v>
      </c>
      <c r="G1694" s="6" t="s">
        <v>15</v>
      </c>
    </row>
    <row r="1695" spans="1:7" x14ac:dyDescent="0.3">
      <c r="A1695" s="2" t="s">
        <v>2134</v>
      </c>
      <c r="B1695" s="2" t="s">
        <v>2128</v>
      </c>
      <c r="C1695" s="6" t="s">
        <v>2129</v>
      </c>
      <c r="D1695" s="1">
        <v>45522</v>
      </c>
      <c r="E1695" s="4">
        <v>157.47</v>
      </c>
      <c r="F1695" s="3">
        <v>1</v>
      </c>
      <c r="G1695" s="6" t="s">
        <v>15</v>
      </c>
    </row>
    <row r="1696" spans="1:7" x14ac:dyDescent="0.3">
      <c r="A1696" s="2" t="s">
        <v>2135</v>
      </c>
      <c r="B1696" s="2" t="s">
        <v>2128</v>
      </c>
      <c r="C1696" s="6" t="s">
        <v>2129</v>
      </c>
      <c r="D1696" s="1">
        <v>45621</v>
      </c>
      <c r="E1696" s="4">
        <v>242.34</v>
      </c>
      <c r="F1696" s="3">
        <v>4</v>
      </c>
      <c r="G1696" s="6" t="s">
        <v>12</v>
      </c>
    </row>
    <row r="1697" spans="1:7" x14ac:dyDescent="0.3">
      <c r="A1697" s="2" t="s">
        <v>2136</v>
      </c>
      <c r="B1697" s="2" t="s">
        <v>2128</v>
      </c>
      <c r="C1697" s="6" t="s">
        <v>2129</v>
      </c>
      <c r="D1697" s="1">
        <v>45449</v>
      </c>
      <c r="E1697" s="4">
        <v>472.66</v>
      </c>
      <c r="F1697" s="3">
        <v>1</v>
      </c>
      <c r="G1697" s="6" t="s">
        <v>10</v>
      </c>
    </row>
    <row r="1698" spans="1:7" x14ac:dyDescent="0.3">
      <c r="A1698" s="2" t="s">
        <v>2137</v>
      </c>
      <c r="B1698" s="2" t="s">
        <v>2138</v>
      </c>
      <c r="C1698" s="6" t="s">
        <v>2139</v>
      </c>
      <c r="D1698" s="1">
        <v>45609</v>
      </c>
      <c r="E1698" s="4">
        <v>425.16</v>
      </c>
      <c r="F1698" s="3">
        <v>3</v>
      </c>
      <c r="G1698" s="6" t="s">
        <v>10</v>
      </c>
    </row>
    <row r="1699" spans="1:7" x14ac:dyDescent="0.3">
      <c r="A1699" s="2" t="s">
        <v>2140</v>
      </c>
      <c r="B1699" s="2" t="s">
        <v>2138</v>
      </c>
      <c r="C1699" s="6" t="s">
        <v>2139</v>
      </c>
      <c r="D1699" s="1">
        <v>45513</v>
      </c>
      <c r="E1699" s="4">
        <v>109.73</v>
      </c>
      <c r="F1699" s="3">
        <v>3</v>
      </c>
      <c r="G1699" s="6" t="s">
        <v>10</v>
      </c>
    </row>
    <row r="1700" spans="1:7" x14ac:dyDescent="0.3">
      <c r="A1700" s="2" t="s">
        <v>2141</v>
      </c>
      <c r="B1700" s="2" t="s">
        <v>2138</v>
      </c>
      <c r="C1700" s="6" t="s">
        <v>2139</v>
      </c>
      <c r="D1700" s="1">
        <v>45458</v>
      </c>
      <c r="E1700" s="4">
        <v>420.92</v>
      </c>
      <c r="F1700" s="3">
        <v>2</v>
      </c>
      <c r="G1700" s="6" t="s">
        <v>10</v>
      </c>
    </row>
    <row r="1701" spans="1:7" x14ac:dyDescent="0.3">
      <c r="A1701" s="2" t="s">
        <v>2142</v>
      </c>
      <c r="B1701" s="2" t="s">
        <v>2138</v>
      </c>
      <c r="C1701" s="6" t="s">
        <v>2139</v>
      </c>
      <c r="D1701" s="1">
        <v>45480</v>
      </c>
      <c r="E1701" s="4">
        <v>410.16</v>
      </c>
      <c r="F1701" s="3">
        <v>4</v>
      </c>
      <c r="G1701" s="6" t="s">
        <v>38</v>
      </c>
    </row>
    <row r="1702" spans="1:7" x14ac:dyDescent="0.3">
      <c r="A1702" s="2" t="s">
        <v>2143</v>
      </c>
      <c r="B1702" s="2" t="s">
        <v>2138</v>
      </c>
      <c r="C1702" s="6" t="s">
        <v>2139</v>
      </c>
      <c r="D1702" s="1">
        <v>45399</v>
      </c>
      <c r="E1702" s="4">
        <v>273.8</v>
      </c>
      <c r="F1702" s="3">
        <v>4</v>
      </c>
      <c r="G1702" s="6" t="s">
        <v>18</v>
      </c>
    </row>
    <row r="1703" spans="1:7" x14ac:dyDescent="0.3">
      <c r="A1703" s="2" t="s">
        <v>2144</v>
      </c>
      <c r="B1703" s="2" t="s">
        <v>2138</v>
      </c>
      <c r="C1703" s="6" t="s">
        <v>2139</v>
      </c>
      <c r="D1703" s="1">
        <v>45572</v>
      </c>
      <c r="E1703" s="4">
        <v>314.38</v>
      </c>
      <c r="F1703" s="3">
        <v>1</v>
      </c>
      <c r="G1703" s="6" t="s">
        <v>12</v>
      </c>
    </row>
    <row r="1704" spans="1:7" x14ac:dyDescent="0.3">
      <c r="A1704" s="2" t="s">
        <v>2145</v>
      </c>
      <c r="B1704" s="2" t="s">
        <v>2138</v>
      </c>
      <c r="C1704" s="6" t="s">
        <v>2139</v>
      </c>
      <c r="D1704" s="1">
        <v>45616</v>
      </c>
      <c r="E1704" s="4">
        <v>378.2</v>
      </c>
      <c r="F1704" s="3">
        <v>1</v>
      </c>
      <c r="G1704" s="6" t="s">
        <v>26</v>
      </c>
    </row>
    <row r="1705" spans="1:7" x14ac:dyDescent="0.3">
      <c r="A1705" s="2" t="s">
        <v>2146</v>
      </c>
      <c r="B1705" s="2" t="s">
        <v>2138</v>
      </c>
      <c r="C1705" s="6" t="s">
        <v>2139</v>
      </c>
      <c r="D1705" s="1">
        <v>45448</v>
      </c>
      <c r="E1705" s="4">
        <v>188.07</v>
      </c>
      <c r="F1705" s="3">
        <v>2</v>
      </c>
      <c r="G1705" s="6" t="s">
        <v>26</v>
      </c>
    </row>
    <row r="1706" spans="1:7" x14ac:dyDescent="0.3">
      <c r="A1706" s="2" t="s">
        <v>2147</v>
      </c>
      <c r="B1706" s="2" t="s">
        <v>2138</v>
      </c>
      <c r="C1706" s="6" t="s">
        <v>2139</v>
      </c>
      <c r="D1706" s="1">
        <v>45571</v>
      </c>
      <c r="E1706" s="4">
        <v>172.76</v>
      </c>
      <c r="F1706" s="3">
        <v>4</v>
      </c>
      <c r="G1706" s="6" t="s">
        <v>38</v>
      </c>
    </row>
    <row r="1707" spans="1:7" x14ac:dyDescent="0.3">
      <c r="A1707" s="2" t="s">
        <v>2148</v>
      </c>
      <c r="B1707" s="2" t="s">
        <v>2138</v>
      </c>
      <c r="C1707" s="6" t="s">
        <v>2139</v>
      </c>
      <c r="D1707" s="1">
        <v>45491</v>
      </c>
      <c r="E1707" s="4">
        <v>465.41</v>
      </c>
      <c r="F1707" s="3">
        <v>3</v>
      </c>
      <c r="G1707" s="6" t="s">
        <v>26</v>
      </c>
    </row>
    <row r="1708" spans="1:7" x14ac:dyDescent="0.3">
      <c r="A1708" s="2" t="s">
        <v>2149</v>
      </c>
      <c r="B1708" s="2" t="s">
        <v>2138</v>
      </c>
      <c r="C1708" s="6" t="s">
        <v>2139</v>
      </c>
      <c r="D1708" s="1">
        <v>45533</v>
      </c>
      <c r="E1708" s="4">
        <v>371.89</v>
      </c>
      <c r="F1708" s="3">
        <v>1</v>
      </c>
      <c r="G1708" s="6" t="s">
        <v>10</v>
      </c>
    </row>
    <row r="1709" spans="1:7" x14ac:dyDescent="0.3">
      <c r="A1709" s="2" t="s">
        <v>2150</v>
      </c>
      <c r="B1709" s="2" t="s">
        <v>2138</v>
      </c>
      <c r="C1709" s="6" t="s">
        <v>2139</v>
      </c>
      <c r="D1709" s="1">
        <v>45473</v>
      </c>
      <c r="E1709" s="4">
        <v>128.71</v>
      </c>
      <c r="F1709" s="3">
        <v>4</v>
      </c>
      <c r="G1709" s="6" t="s">
        <v>26</v>
      </c>
    </row>
    <row r="1710" spans="1:7" x14ac:dyDescent="0.3">
      <c r="A1710" s="2" t="s">
        <v>2151</v>
      </c>
      <c r="B1710" s="2" t="s">
        <v>2138</v>
      </c>
      <c r="C1710" s="6" t="s">
        <v>2139</v>
      </c>
      <c r="D1710" s="1">
        <v>45394</v>
      </c>
      <c r="E1710" s="4">
        <v>460.08</v>
      </c>
      <c r="F1710" s="3">
        <v>1</v>
      </c>
      <c r="G1710" s="6" t="s">
        <v>15</v>
      </c>
    </row>
    <row r="1711" spans="1:7" x14ac:dyDescent="0.3">
      <c r="A1711" s="2" t="s">
        <v>2152</v>
      </c>
      <c r="B1711" s="2" t="s">
        <v>2153</v>
      </c>
      <c r="C1711" s="6" t="s">
        <v>2154</v>
      </c>
      <c r="D1711" s="1">
        <v>45437</v>
      </c>
      <c r="E1711" s="4">
        <v>318.14999999999998</v>
      </c>
      <c r="F1711" s="3">
        <v>1</v>
      </c>
      <c r="G1711" s="6" t="s">
        <v>38</v>
      </c>
    </row>
    <row r="1712" spans="1:7" x14ac:dyDescent="0.3">
      <c r="A1712" s="2" t="s">
        <v>2155</v>
      </c>
      <c r="B1712" s="2" t="s">
        <v>2153</v>
      </c>
      <c r="C1712" s="6" t="s">
        <v>2154</v>
      </c>
      <c r="D1712" s="1">
        <v>45326</v>
      </c>
      <c r="E1712" s="4">
        <v>98.52</v>
      </c>
      <c r="F1712" s="3">
        <v>2</v>
      </c>
      <c r="G1712" s="6" t="s">
        <v>12</v>
      </c>
    </row>
    <row r="1713" spans="1:7" x14ac:dyDescent="0.3">
      <c r="A1713" s="2" t="s">
        <v>2156</v>
      </c>
      <c r="B1713" s="2" t="s">
        <v>2153</v>
      </c>
      <c r="C1713" s="6" t="s">
        <v>2154</v>
      </c>
      <c r="D1713" s="1">
        <v>45080</v>
      </c>
      <c r="E1713" s="4">
        <v>330.26</v>
      </c>
      <c r="F1713" s="3">
        <v>1</v>
      </c>
      <c r="G1713" s="6" t="s">
        <v>26</v>
      </c>
    </row>
    <row r="1714" spans="1:7" x14ac:dyDescent="0.3">
      <c r="A1714" s="2" t="s">
        <v>2157</v>
      </c>
      <c r="B1714" s="2" t="s">
        <v>2153</v>
      </c>
      <c r="C1714" s="6" t="s">
        <v>2154</v>
      </c>
      <c r="D1714" s="1">
        <v>45442</v>
      </c>
      <c r="E1714" s="4">
        <v>75.34</v>
      </c>
      <c r="F1714" s="3">
        <v>3</v>
      </c>
      <c r="G1714" s="6" t="s">
        <v>26</v>
      </c>
    </row>
    <row r="1715" spans="1:7" x14ac:dyDescent="0.3">
      <c r="A1715" s="2" t="s">
        <v>2158</v>
      </c>
      <c r="B1715" s="2" t="s">
        <v>2153</v>
      </c>
      <c r="C1715" s="6" t="s">
        <v>2154</v>
      </c>
      <c r="D1715" s="1">
        <v>45045</v>
      </c>
      <c r="E1715" s="4">
        <v>121.88</v>
      </c>
      <c r="F1715" s="3">
        <v>4</v>
      </c>
      <c r="G1715" s="6" t="s">
        <v>15</v>
      </c>
    </row>
    <row r="1716" spans="1:7" x14ac:dyDescent="0.3">
      <c r="A1716" s="2" t="s">
        <v>2159</v>
      </c>
      <c r="B1716" s="2" t="s">
        <v>2153</v>
      </c>
      <c r="C1716" s="6" t="s">
        <v>2154</v>
      </c>
      <c r="D1716" s="1">
        <v>45086</v>
      </c>
      <c r="E1716" s="4">
        <v>151.72999999999999</v>
      </c>
      <c r="F1716" s="3">
        <v>3</v>
      </c>
      <c r="G1716" s="6" t="s">
        <v>38</v>
      </c>
    </row>
    <row r="1717" spans="1:7" x14ac:dyDescent="0.3">
      <c r="A1717" s="2" t="s">
        <v>2160</v>
      </c>
      <c r="B1717" s="2" t="s">
        <v>2153</v>
      </c>
      <c r="C1717" s="6" t="s">
        <v>2154</v>
      </c>
      <c r="D1717" s="1">
        <v>45385</v>
      </c>
      <c r="E1717" s="4">
        <v>477.43</v>
      </c>
      <c r="F1717" s="3">
        <v>2</v>
      </c>
      <c r="G1717" s="6" t="s">
        <v>12</v>
      </c>
    </row>
    <row r="1718" spans="1:7" x14ac:dyDescent="0.3">
      <c r="A1718" s="2" t="s">
        <v>2161</v>
      </c>
      <c r="B1718" s="2" t="s">
        <v>2162</v>
      </c>
      <c r="C1718" s="6" t="s">
        <v>2163</v>
      </c>
      <c r="D1718" s="1">
        <v>45586</v>
      </c>
      <c r="E1718" s="4">
        <v>176.08</v>
      </c>
      <c r="F1718" s="3">
        <v>4</v>
      </c>
      <c r="G1718" s="6" t="s">
        <v>18</v>
      </c>
    </row>
    <row r="1719" spans="1:7" x14ac:dyDescent="0.3">
      <c r="A1719" s="2" t="s">
        <v>2164</v>
      </c>
      <c r="B1719" s="2" t="s">
        <v>2162</v>
      </c>
      <c r="C1719" s="6" t="s">
        <v>2163</v>
      </c>
      <c r="D1719" s="1">
        <v>45586</v>
      </c>
      <c r="E1719" s="4">
        <v>148.33000000000001</v>
      </c>
      <c r="F1719" s="3">
        <v>3</v>
      </c>
      <c r="G1719" s="6" t="s">
        <v>15</v>
      </c>
    </row>
    <row r="1720" spans="1:7" x14ac:dyDescent="0.3">
      <c r="A1720" s="2" t="s">
        <v>2165</v>
      </c>
      <c r="B1720" s="2" t="s">
        <v>2162</v>
      </c>
      <c r="C1720" s="6" t="s">
        <v>2163</v>
      </c>
      <c r="D1720" s="1">
        <v>45624</v>
      </c>
      <c r="E1720" s="4">
        <v>13.6</v>
      </c>
      <c r="F1720" s="3">
        <v>3</v>
      </c>
      <c r="G1720" s="6" t="s">
        <v>18</v>
      </c>
    </row>
    <row r="1721" spans="1:7" x14ac:dyDescent="0.3">
      <c r="A1721" s="2" t="s">
        <v>2166</v>
      </c>
      <c r="B1721" s="2" t="s">
        <v>2162</v>
      </c>
      <c r="C1721" s="6" t="s">
        <v>2163</v>
      </c>
      <c r="D1721" s="1">
        <v>45648</v>
      </c>
      <c r="E1721" s="4">
        <v>190.44</v>
      </c>
      <c r="F1721" s="3">
        <v>3</v>
      </c>
      <c r="G1721" s="6" t="s">
        <v>12</v>
      </c>
    </row>
    <row r="1722" spans="1:7" x14ac:dyDescent="0.3">
      <c r="A1722" s="2" t="s">
        <v>2167</v>
      </c>
      <c r="B1722" s="2" t="s">
        <v>2162</v>
      </c>
      <c r="C1722" s="6" t="s">
        <v>2163</v>
      </c>
      <c r="D1722" s="1">
        <v>45635</v>
      </c>
      <c r="E1722" s="4">
        <v>429.85</v>
      </c>
      <c r="F1722" s="3">
        <v>4</v>
      </c>
      <c r="G1722" s="6" t="s">
        <v>38</v>
      </c>
    </row>
    <row r="1723" spans="1:7" x14ac:dyDescent="0.3">
      <c r="A1723" s="2" t="s">
        <v>2168</v>
      </c>
      <c r="B1723" s="2" t="s">
        <v>2162</v>
      </c>
      <c r="C1723" s="6" t="s">
        <v>2163</v>
      </c>
      <c r="D1723" s="1">
        <v>45627</v>
      </c>
      <c r="E1723" s="4">
        <v>295.20999999999998</v>
      </c>
      <c r="F1723" s="3">
        <v>3</v>
      </c>
      <c r="G1723" s="6" t="s">
        <v>10</v>
      </c>
    </row>
    <row r="1724" spans="1:7" x14ac:dyDescent="0.3">
      <c r="A1724" s="2" t="s">
        <v>2169</v>
      </c>
      <c r="B1724" s="2" t="s">
        <v>2162</v>
      </c>
      <c r="C1724" s="6" t="s">
        <v>2163</v>
      </c>
      <c r="D1724" s="1">
        <v>45564</v>
      </c>
      <c r="E1724" s="4">
        <v>233.88</v>
      </c>
      <c r="F1724" s="3">
        <v>4</v>
      </c>
      <c r="G1724" s="6" t="s">
        <v>18</v>
      </c>
    </row>
    <row r="1725" spans="1:7" x14ac:dyDescent="0.3">
      <c r="A1725" s="2" t="s">
        <v>2170</v>
      </c>
      <c r="B1725" s="2" t="s">
        <v>2162</v>
      </c>
      <c r="C1725" s="6" t="s">
        <v>2163</v>
      </c>
      <c r="D1725" s="1">
        <v>45567</v>
      </c>
      <c r="E1725" s="4">
        <v>483.69</v>
      </c>
      <c r="F1725" s="3">
        <v>1</v>
      </c>
      <c r="G1725" s="6" t="s">
        <v>18</v>
      </c>
    </row>
    <row r="1726" spans="1:7" x14ac:dyDescent="0.3">
      <c r="A1726" s="2" t="s">
        <v>2171</v>
      </c>
      <c r="B1726" s="2" t="s">
        <v>2162</v>
      </c>
      <c r="C1726" s="6" t="s">
        <v>2163</v>
      </c>
      <c r="D1726" s="1">
        <v>45623</v>
      </c>
      <c r="E1726" s="4">
        <v>433.18</v>
      </c>
      <c r="F1726" s="3">
        <v>3</v>
      </c>
      <c r="G1726" s="6" t="s">
        <v>26</v>
      </c>
    </row>
    <row r="1727" spans="1:7" x14ac:dyDescent="0.3">
      <c r="A1727" s="2" t="s">
        <v>2172</v>
      </c>
      <c r="B1727" s="2" t="s">
        <v>2162</v>
      </c>
      <c r="C1727" s="6" t="s">
        <v>2163</v>
      </c>
      <c r="D1727" s="1">
        <v>45586</v>
      </c>
      <c r="E1727" s="4">
        <v>64.459999999999994</v>
      </c>
      <c r="F1727" s="3">
        <v>4</v>
      </c>
      <c r="G1727" s="6" t="s">
        <v>10</v>
      </c>
    </row>
    <row r="1728" spans="1:7" x14ac:dyDescent="0.3">
      <c r="A1728" s="2" t="s">
        <v>2173</v>
      </c>
      <c r="B1728" s="2" t="s">
        <v>2174</v>
      </c>
      <c r="C1728" s="6" t="s">
        <v>2175</v>
      </c>
      <c r="D1728" s="1">
        <v>45614</v>
      </c>
      <c r="E1728" s="4">
        <v>118.15</v>
      </c>
      <c r="F1728" s="3">
        <v>1</v>
      </c>
      <c r="G1728" s="6" t="s">
        <v>18</v>
      </c>
    </row>
    <row r="1729" spans="1:7" x14ac:dyDescent="0.3">
      <c r="A1729" s="2" t="s">
        <v>2176</v>
      </c>
      <c r="B1729" s="2" t="s">
        <v>2174</v>
      </c>
      <c r="C1729" s="6" t="s">
        <v>2175</v>
      </c>
      <c r="D1729" s="1">
        <v>45606</v>
      </c>
      <c r="E1729" s="4">
        <v>486.2</v>
      </c>
      <c r="F1729" s="3">
        <v>1</v>
      </c>
      <c r="G1729" s="6" t="s">
        <v>10</v>
      </c>
    </row>
    <row r="1730" spans="1:7" x14ac:dyDescent="0.3">
      <c r="A1730" s="2" t="s">
        <v>2177</v>
      </c>
      <c r="B1730" s="2" t="s">
        <v>2174</v>
      </c>
      <c r="C1730" s="6" t="s">
        <v>2175</v>
      </c>
      <c r="D1730" s="1">
        <v>45600</v>
      </c>
      <c r="E1730" s="4">
        <v>240.01</v>
      </c>
      <c r="F1730" s="3">
        <v>3</v>
      </c>
      <c r="G1730" s="6" t="s">
        <v>10</v>
      </c>
    </row>
    <row r="1731" spans="1:7" x14ac:dyDescent="0.3">
      <c r="A1731" s="2" t="s">
        <v>2178</v>
      </c>
      <c r="B1731" s="2" t="s">
        <v>2174</v>
      </c>
      <c r="C1731" s="6" t="s">
        <v>2175</v>
      </c>
      <c r="D1731" s="1">
        <v>45613</v>
      </c>
      <c r="E1731" s="4">
        <v>311.38</v>
      </c>
      <c r="F1731" s="3">
        <v>2</v>
      </c>
      <c r="G1731" s="6" t="s">
        <v>18</v>
      </c>
    </row>
    <row r="1732" spans="1:7" x14ac:dyDescent="0.3">
      <c r="A1732" s="2" t="s">
        <v>2179</v>
      </c>
      <c r="B1732" s="2" t="s">
        <v>2180</v>
      </c>
      <c r="C1732" s="6" t="s">
        <v>2181</v>
      </c>
      <c r="D1732" s="1">
        <v>45467</v>
      </c>
      <c r="E1732" s="4">
        <v>486.9</v>
      </c>
      <c r="F1732" s="3">
        <v>3</v>
      </c>
      <c r="G1732" s="6" t="s">
        <v>15</v>
      </c>
    </row>
    <row r="1733" spans="1:7" x14ac:dyDescent="0.3">
      <c r="A1733" s="2" t="s">
        <v>2182</v>
      </c>
      <c r="B1733" s="2" t="s">
        <v>2180</v>
      </c>
      <c r="C1733" s="6" t="s">
        <v>2181</v>
      </c>
      <c r="D1733" s="1">
        <v>45408</v>
      </c>
      <c r="E1733" s="4">
        <v>91.43</v>
      </c>
      <c r="F1733" s="3">
        <v>3</v>
      </c>
      <c r="G1733" s="6" t="s">
        <v>15</v>
      </c>
    </row>
    <row r="1734" spans="1:7" x14ac:dyDescent="0.3">
      <c r="A1734" s="2" t="s">
        <v>2183</v>
      </c>
      <c r="B1734" s="2" t="s">
        <v>2180</v>
      </c>
      <c r="C1734" s="6" t="s">
        <v>2181</v>
      </c>
      <c r="D1734" s="1">
        <v>45193</v>
      </c>
      <c r="E1734" s="4">
        <v>412.07</v>
      </c>
      <c r="F1734" s="3">
        <v>4</v>
      </c>
      <c r="G1734" s="6" t="s">
        <v>26</v>
      </c>
    </row>
    <row r="1735" spans="1:7" x14ac:dyDescent="0.3">
      <c r="A1735" s="2" t="s">
        <v>2184</v>
      </c>
      <c r="B1735" s="2" t="s">
        <v>2180</v>
      </c>
      <c r="C1735" s="6" t="s">
        <v>2181</v>
      </c>
      <c r="D1735" s="1">
        <v>45201</v>
      </c>
      <c r="E1735" s="4">
        <v>171.32</v>
      </c>
      <c r="F1735" s="3">
        <v>2</v>
      </c>
      <c r="G1735" s="6" t="s">
        <v>10</v>
      </c>
    </row>
    <row r="1736" spans="1:7" x14ac:dyDescent="0.3">
      <c r="A1736" s="2" t="s">
        <v>2185</v>
      </c>
      <c r="B1736" s="2" t="s">
        <v>2186</v>
      </c>
      <c r="C1736" s="6" t="s">
        <v>2187</v>
      </c>
      <c r="D1736" s="1">
        <v>45463</v>
      </c>
      <c r="E1736" s="4">
        <v>182.42</v>
      </c>
      <c r="F1736" s="3">
        <v>1</v>
      </c>
      <c r="G1736" s="6" t="s">
        <v>12</v>
      </c>
    </row>
    <row r="1737" spans="1:7" x14ac:dyDescent="0.3">
      <c r="A1737" s="2" t="s">
        <v>2188</v>
      </c>
      <c r="B1737" s="2" t="s">
        <v>2186</v>
      </c>
      <c r="C1737" s="6" t="s">
        <v>2187</v>
      </c>
      <c r="D1737" s="1">
        <v>45497</v>
      </c>
      <c r="E1737" s="4">
        <v>71.08</v>
      </c>
      <c r="F1737" s="3">
        <v>3</v>
      </c>
      <c r="G1737" s="6" t="s">
        <v>38</v>
      </c>
    </row>
    <row r="1738" spans="1:7" x14ac:dyDescent="0.3">
      <c r="A1738" s="2" t="s">
        <v>2189</v>
      </c>
      <c r="B1738" s="2" t="s">
        <v>2186</v>
      </c>
      <c r="C1738" s="6" t="s">
        <v>2187</v>
      </c>
      <c r="D1738" s="1">
        <v>45183</v>
      </c>
      <c r="E1738" s="4">
        <v>100.31</v>
      </c>
      <c r="F1738" s="3">
        <v>1</v>
      </c>
      <c r="G1738" s="6" t="s">
        <v>10</v>
      </c>
    </row>
    <row r="1739" spans="1:7" x14ac:dyDescent="0.3">
      <c r="A1739" s="2" t="s">
        <v>2190</v>
      </c>
      <c r="B1739" s="2" t="s">
        <v>2186</v>
      </c>
      <c r="C1739" s="6" t="s">
        <v>2187</v>
      </c>
      <c r="D1739" s="1">
        <v>45250</v>
      </c>
      <c r="E1739" s="4">
        <v>389.5</v>
      </c>
      <c r="F1739" s="3">
        <v>2</v>
      </c>
      <c r="G1739" s="6" t="s">
        <v>38</v>
      </c>
    </row>
    <row r="1740" spans="1:7" x14ac:dyDescent="0.3">
      <c r="A1740" s="2" t="s">
        <v>2191</v>
      </c>
      <c r="B1740" s="2" t="s">
        <v>2186</v>
      </c>
      <c r="C1740" s="6" t="s">
        <v>2187</v>
      </c>
      <c r="D1740" s="1">
        <v>45584</v>
      </c>
      <c r="E1740" s="4">
        <v>213.06</v>
      </c>
      <c r="F1740" s="3">
        <v>3</v>
      </c>
      <c r="G1740" s="6" t="s">
        <v>18</v>
      </c>
    </row>
    <row r="1741" spans="1:7" x14ac:dyDescent="0.3">
      <c r="A1741" s="2" t="s">
        <v>2192</v>
      </c>
      <c r="B1741" s="2" t="s">
        <v>2186</v>
      </c>
      <c r="C1741" s="6" t="s">
        <v>2187</v>
      </c>
      <c r="D1741" s="1">
        <v>45252</v>
      </c>
      <c r="E1741" s="4">
        <v>393.92</v>
      </c>
      <c r="F1741" s="3">
        <v>1</v>
      </c>
      <c r="G1741" s="6" t="s">
        <v>38</v>
      </c>
    </row>
    <row r="1742" spans="1:7" x14ac:dyDescent="0.3">
      <c r="A1742" s="2" t="s">
        <v>2193</v>
      </c>
      <c r="B1742" s="2" t="s">
        <v>2186</v>
      </c>
      <c r="C1742" s="6" t="s">
        <v>2187</v>
      </c>
      <c r="D1742" s="1">
        <v>45551</v>
      </c>
      <c r="E1742" s="4">
        <v>222.09</v>
      </c>
      <c r="F1742" s="3">
        <v>4</v>
      </c>
      <c r="G1742" s="6" t="s">
        <v>38</v>
      </c>
    </row>
    <row r="1743" spans="1:7" x14ac:dyDescent="0.3">
      <c r="A1743" s="2" t="s">
        <v>2194</v>
      </c>
      <c r="B1743" s="2" t="s">
        <v>2186</v>
      </c>
      <c r="C1743" s="6" t="s">
        <v>2187</v>
      </c>
      <c r="D1743" s="1">
        <v>45483</v>
      </c>
      <c r="E1743" s="4">
        <v>132.93</v>
      </c>
      <c r="F1743" s="3">
        <v>1</v>
      </c>
      <c r="G1743" s="6" t="s">
        <v>18</v>
      </c>
    </row>
    <row r="1744" spans="1:7" x14ac:dyDescent="0.3">
      <c r="A1744" s="2" t="s">
        <v>2195</v>
      </c>
      <c r="B1744" s="2" t="s">
        <v>2186</v>
      </c>
      <c r="C1744" s="6" t="s">
        <v>2187</v>
      </c>
      <c r="D1744" s="1">
        <v>45176</v>
      </c>
      <c r="E1744" s="4">
        <v>174.55</v>
      </c>
      <c r="F1744" s="3">
        <v>4</v>
      </c>
      <c r="G1744" s="6" t="s">
        <v>10</v>
      </c>
    </row>
    <row r="1745" spans="1:7" x14ac:dyDescent="0.3">
      <c r="A1745" s="2" t="s">
        <v>2196</v>
      </c>
      <c r="B1745" s="2" t="s">
        <v>2186</v>
      </c>
      <c r="C1745" s="6" t="s">
        <v>2187</v>
      </c>
      <c r="D1745" s="1">
        <v>45232</v>
      </c>
      <c r="E1745" s="4">
        <v>38.049999999999997</v>
      </c>
      <c r="F1745" s="3">
        <v>3</v>
      </c>
      <c r="G1745" s="6" t="s">
        <v>18</v>
      </c>
    </row>
    <row r="1746" spans="1:7" x14ac:dyDescent="0.3">
      <c r="A1746" s="2" t="s">
        <v>2197</v>
      </c>
      <c r="B1746" s="2" t="s">
        <v>2198</v>
      </c>
      <c r="C1746" s="6" t="s">
        <v>2199</v>
      </c>
      <c r="D1746" s="1">
        <v>45166</v>
      </c>
      <c r="E1746" s="4">
        <v>479.85</v>
      </c>
      <c r="F1746" s="3">
        <v>2</v>
      </c>
      <c r="G1746" s="6" t="s">
        <v>10</v>
      </c>
    </row>
    <row r="1747" spans="1:7" x14ac:dyDescent="0.3">
      <c r="A1747" s="2" t="s">
        <v>2200</v>
      </c>
      <c r="B1747" s="2" t="s">
        <v>2198</v>
      </c>
      <c r="C1747" s="6" t="s">
        <v>2199</v>
      </c>
      <c r="D1747" s="1">
        <v>45198</v>
      </c>
      <c r="E1747" s="4">
        <v>146.71</v>
      </c>
      <c r="F1747" s="3">
        <v>1</v>
      </c>
      <c r="G1747" s="6" t="s">
        <v>38</v>
      </c>
    </row>
    <row r="1748" spans="1:7" x14ac:dyDescent="0.3">
      <c r="A1748" s="2" t="s">
        <v>2201</v>
      </c>
      <c r="B1748" s="2" t="s">
        <v>2198</v>
      </c>
      <c r="C1748" s="6" t="s">
        <v>2199</v>
      </c>
      <c r="D1748" s="1">
        <v>45378</v>
      </c>
      <c r="E1748" s="4">
        <v>36.93</v>
      </c>
      <c r="F1748" s="3">
        <v>3</v>
      </c>
      <c r="G1748" s="6" t="s">
        <v>10</v>
      </c>
    </row>
    <row r="1749" spans="1:7" x14ac:dyDescent="0.3">
      <c r="A1749" s="2" t="s">
        <v>2202</v>
      </c>
      <c r="B1749" s="2" t="s">
        <v>2198</v>
      </c>
      <c r="C1749" s="6" t="s">
        <v>2199</v>
      </c>
      <c r="D1749" s="1">
        <v>45464</v>
      </c>
      <c r="E1749" s="4">
        <v>367.7</v>
      </c>
      <c r="F1749" s="3">
        <v>2</v>
      </c>
      <c r="G1749" s="6" t="s">
        <v>10</v>
      </c>
    </row>
    <row r="1750" spans="1:7" x14ac:dyDescent="0.3">
      <c r="A1750" s="2" t="s">
        <v>2203</v>
      </c>
      <c r="B1750" s="2" t="s">
        <v>2204</v>
      </c>
      <c r="C1750" s="6" t="s">
        <v>2205</v>
      </c>
      <c r="D1750" s="1">
        <v>45656</v>
      </c>
      <c r="E1750" s="4">
        <v>165.06</v>
      </c>
      <c r="F1750" s="3">
        <v>2</v>
      </c>
      <c r="G1750" s="6" t="s">
        <v>10</v>
      </c>
    </row>
    <row r="1751" spans="1:7" x14ac:dyDescent="0.3">
      <c r="A1751" s="2" t="s">
        <v>2206</v>
      </c>
      <c r="B1751" s="2" t="s">
        <v>2204</v>
      </c>
      <c r="C1751" s="6" t="s">
        <v>2205</v>
      </c>
      <c r="D1751" s="1">
        <v>45628</v>
      </c>
      <c r="E1751" s="4">
        <v>483.61</v>
      </c>
      <c r="F1751" s="3">
        <v>3</v>
      </c>
      <c r="G1751" s="6" t="s">
        <v>18</v>
      </c>
    </row>
    <row r="1752" spans="1:7" x14ac:dyDescent="0.3">
      <c r="A1752" s="2" t="s">
        <v>2207</v>
      </c>
      <c r="B1752" s="2" t="s">
        <v>2204</v>
      </c>
      <c r="C1752" s="6" t="s">
        <v>2205</v>
      </c>
      <c r="D1752" s="1">
        <v>45649</v>
      </c>
      <c r="E1752" s="4">
        <v>180.12</v>
      </c>
      <c r="F1752" s="3">
        <v>1</v>
      </c>
      <c r="G1752" s="6" t="s">
        <v>38</v>
      </c>
    </row>
    <row r="1753" spans="1:7" x14ac:dyDescent="0.3">
      <c r="A1753" s="2" t="s">
        <v>2208</v>
      </c>
      <c r="B1753" s="2" t="s">
        <v>2204</v>
      </c>
      <c r="C1753" s="6" t="s">
        <v>2205</v>
      </c>
      <c r="D1753" s="1">
        <v>45638</v>
      </c>
      <c r="E1753" s="4">
        <v>469.44</v>
      </c>
      <c r="F1753" s="3">
        <v>3</v>
      </c>
      <c r="G1753" s="6" t="s">
        <v>18</v>
      </c>
    </row>
    <row r="1754" spans="1:7" x14ac:dyDescent="0.3">
      <c r="A1754" s="2" t="s">
        <v>2209</v>
      </c>
      <c r="B1754" s="2" t="s">
        <v>2204</v>
      </c>
      <c r="C1754" s="6" t="s">
        <v>2205</v>
      </c>
      <c r="D1754" s="1">
        <v>45614</v>
      </c>
      <c r="E1754" s="4">
        <v>480.77</v>
      </c>
      <c r="F1754" s="3">
        <v>1</v>
      </c>
      <c r="G1754" s="6" t="s">
        <v>15</v>
      </c>
    </row>
    <row r="1755" spans="1:7" x14ac:dyDescent="0.3">
      <c r="A1755" s="2" t="s">
        <v>2210</v>
      </c>
      <c r="B1755" s="2" t="s">
        <v>2204</v>
      </c>
      <c r="C1755" s="6" t="s">
        <v>2205</v>
      </c>
      <c r="D1755" s="1">
        <v>45589</v>
      </c>
      <c r="E1755" s="4">
        <v>21.78</v>
      </c>
      <c r="F1755" s="3">
        <v>3</v>
      </c>
      <c r="G1755" s="6" t="s">
        <v>26</v>
      </c>
    </row>
    <row r="1756" spans="1:7" x14ac:dyDescent="0.3">
      <c r="A1756" s="2" t="s">
        <v>2211</v>
      </c>
      <c r="B1756" s="2" t="s">
        <v>2204</v>
      </c>
      <c r="C1756" s="6" t="s">
        <v>2205</v>
      </c>
      <c r="D1756" s="1">
        <v>45634</v>
      </c>
      <c r="E1756" s="4">
        <v>349.53</v>
      </c>
      <c r="F1756" s="3">
        <v>1</v>
      </c>
      <c r="G1756" s="6" t="s">
        <v>38</v>
      </c>
    </row>
    <row r="1757" spans="1:7" x14ac:dyDescent="0.3">
      <c r="A1757" s="2" t="s">
        <v>2212</v>
      </c>
      <c r="B1757" s="2" t="s">
        <v>2204</v>
      </c>
      <c r="C1757" s="6" t="s">
        <v>2205</v>
      </c>
      <c r="D1757" s="1">
        <v>45611</v>
      </c>
      <c r="E1757" s="4">
        <v>434.92</v>
      </c>
      <c r="F1757" s="3">
        <v>3</v>
      </c>
      <c r="G1757" s="6" t="s">
        <v>18</v>
      </c>
    </row>
    <row r="1758" spans="1:7" x14ac:dyDescent="0.3">
      <c r="A1758" s="2" t="s">
        <v>2213</v>
      </c>
      <c r="B1758" s="2" t="s">
        <v>2204</v>
      </c>
      <c r="C1758" s="6" t="s">
        <v>2205</v>
      </c>
      <c r="D1758" s="1">
        <v>45643</v>
      </c>
      <c r="E1758" s="4">
        <v>271.33</v>
      </c>
      <c r="F1758" s="3">
        <v>4</v>
      </c>
      <c r="G1758" s="6" t="s">
        <v>15</v>
      </c>
    </row>
    <row r="1759" spans="1:7" x14ac:dyDescent="0.3">
      <c r="A1759" s="2" t="s">
        <v>2214</v>
      </c>
      <c r="B1759" s="2" t="s">
        <v>2204</v>
      </c>
      <c r="C1759" s="6" t="s">
        <v>2205</v>
      </c>
      <c r="D1759" s="1">
        <v>45617</v>
      </c>
      <c r="E1759" s="4">
        <v>37.299999999999997</v>
      </c>
      <c r="F1759" s="3">
        <v>1</v>
      </c>
      <c r="G1759" s="6" t="s">
        <v>38</v>
      </c>
    </row>
    <row r="1760" spans="1:7" x14ac:dyDescent="0.3">
      <c r="A1760" s="2" t="s">
        <v>2215</v>
      </c>
      <c r="B1760" s="2" t="s">
        <v>2204</v>
      </c>
      <c r="C1760" s="6" t="s">
        <v>2205</v>
      </c>
      <c r="D1760" s="1">
        <v>45602</v>
      </c>
      <c r="E1760" s="4">
        <v>254.18</v>
      </c>
      <c r="F1760" s="3">
        <v>1</v>
      </c>
      <c r="G1760" s="6" t="s">
        <v>10</v>
      </c>
    </row>
    <row r="1761" spans="1:7" x14ac:dyDescent="0.3">
      <c r="A1761" s="2" t="s">
        <v>2216</v>
      </c>
      <c r="B1761" s="2" t="s">
        <v>2204</v>
      </c>
      <c r="C1761" s="6" t="s">
        <v>2205</v>
      </c>
      <c r="D1761" s="1">
        <v>45640</v>
      </c>
      <c r="E1761" s="4">
        <v>276.45999999999998</v>
      </c>
      <c r="F1761" s="3">
        <v>1</v>
      </c>
      <c r="G1761" s="6" t="s">
        <v>18</v>
      </c>
    </row>
    <row r="1762" spans="1:7" x14ac:dyDescent="0.3">
      <c r="A1762" s="2" t="s">
        <v>2217</v>
      </c>
      <c r="B1762" s="2" t="s">
        <v>2204</v>
      </c>
      <c r="C1762" s="6" t="s">
        <v>2205</v>
      </c>
      <c r="D1762" s="1">
        <v>45590</v>
      </c>
      <c r="E1762" s="4">
        <v>54.37</v>
      </c>
      <c r="F1762" s="3">
        <v>4</v>
      </c>
      <c r="G1762" s="6" t="s">
        <v>12</v>
      </c>
    </row>
    <row r="1763" spans="1:7" x14ac:dyDescent="0.3">
      <c r="A1763" s="2" t="s">
        <v>2218</v>
      </c>
      <c r="B1763" s="2" t="s">
        <v>2219</v>
      </c>
      <c r="C1763" s="6" t="s">
        <v>2220</v>
      </c>
      <c r="D1763" s="1">
        <v>45442</v>
      </c>
      <c r="E1763" s="4">
        <v>410.42</v>
      </c>
      <c r="F1763" s="3">
        <v>1</v>
      </c>
      <c r="G1763" s="6" t="s">
        <v>38</v>
      </c>
    </row>
    <row r="1764" spans="1:7" x14ac:dyDescent="0.3">
      <c r="A1764" s="2" t="s">
        <v>2221</v>
      </c>
      <c r="B1764" s="2" t="s">
        <v>2219</v>
      </c>
      <c r="C1764" s="6" t="s">
        <v>2220</v>
      </c>
      <c r="D1764" s="1">
        <v>45433</v>
      </c>
      <c r="E1764" s="4">
        <v>24.18</v>
      </c>
      <c r="F1764" s="3">
        <v>3</v>
      </c>
      <c r="G1764" s="6" t="s">
        <v>38</v>
      </c>
    </row>
    <row r="1765" spans="1:7" x14ac:dyDescent="0.3">
      <c r="A1765" s="2" t="s">
        <v>2222</v>
      </c>
      <c r="B1765" s="2" t="s">
        <v>2223</v>
      </c>
      <c r="C1765" s="6" t="s">
        <v>2224</v>
      </c>
      <c r="D1765" s="1">
        <v>45346</v>
      </c>
      <c r="E1765" s="4">
        <v>292.48</v>
      </c>
      <c r="F1765" s="3">
        <v>1</v>
      </c>
      <c r="G1765" s="6" t="s">
        <v>12</v>
      </c>
    </row>
    <row r="1766" spans="1:7" x14ac:dyDescent="0.3">
      <c r="A1766" s="2" t="s">
        <v>2225</v>
      </c>
      <c r="B1766" s="2" t="s">
        <v>2223</v>
      </c>
      <c r="C1766" s="6" t="s">
        <v>2224</v>
      </c>
      <c r="D1766" s="1">
        <v>45003</v>
      </c>
      <c r="E1766" s="4">
        <v>355.69</v>
      </c>
      <c r="F1766" s="3">
        <v>1</v>
      </c>
      <c r="G1766" s="6" t="s">
        <v>10</v>
      </c>
    </row>
    <row r="1767" spans="1:7" x14ac:dyDescent="0.3">
      <c r="A1767" s="2" t="s">
        <v>2226</v>
      </c>
      <c r="B1767" s="2" t="s">
        <v>2223</v>
      </c>
      <c r="C1767" s="6" t="s">
        <v>2224</v>
      </c>
      <c r="D1767" s="1">
        <v>45036</v>
      </c>
      <c r="E1767" s="4">
        <v>257.20999999999998</v>
      </c>
      <c r="F1767" s="3">
        <v>3</v>
      </c>
      <c r="G1767" s="6" t="s">
        <v>12</v>
      </c>
    </row>
    <row r="1768" spans="1:7" x14ac:dyDescent="0.3">
      <c r="A1768" s="2" t="s">
        <v>2227</v>
      </c>
      <c r="B1768" s="2" t="s">
        <v>2223</v>
      </c>
      <c r="C1768" s="6" t="s">
        <v>2224</v>
      </c>
      <c r="D1768" s="1">
        <v>45023</v>
      </c>
      <c r="E1768" s="4">
        <v>327.67</v>
      </c>
      <c r="F1768" s="3">
        <v>2</v>
      </c>
      <c r="G1768" s="6" t="s">
        <v>15</v>
      </c>
    </row>
    <row r="1769" spans="1:7" x14ac:dyDescent="0.3">
      <c r="A1769" s="2" t="s">
        <v>2228</v>
      </c>
      <c r="B1769" s="2" t="s">
        <v>2223</v>
      </c>
      <c r="C1769" s="6" t="s">
        <v>2224</v>
      </c>
      <c r="D1769" s="1">
        <v>45073</v>
      </c>
      <c r="E1769" s="4">
        <v>423.95</v>
      </c>
      <c r="F1769" s="3">
        <v>4</v>
      </c>
      <c r="G1769" s="6" t="s">
        <v>12</v>
      </c>
    </row>
    <row r="1770" spans="1:7" x14ac:dyDescent="0.3">
      <c r="A1770" s="2" t="s">
        <v>2229</v>
      </c>
      <c r="B1770" s="2" t="s">
        <v>2223</v>
      </c>
      <c r="C1770" s="6" t="s">
        <v>2224</v>
      </c>
      <c r="D1770" s="1">
        <v>45457</v>
      </c>
      <c r="E1770" s="4">
        <v>330.63</v>
      </c>
      <c r="F1770" s="3">
        <v>1</v>
      </c>
      <c r="G1770" s="6" t="s">
        <v>38</v>
      </c>
    </row>
    <row r="1771" spans="1:7" x14ac:dyDescent="0.3">
      <c r="A1771" s="2" t="s">
        <v>2230</v>
      </c>
      <c r="B1771" s="2" t="s">
        <v>2223</v>
      </c>
      <c r="C1771" s="6" t="s">
        <v>2224</v>
      </c>
      <c r="D1771" s="1">
        <v>45009</v>
      </c>
      <c r="E1771" s="4">
        <v>435.31</v>
      </c>
      <c r="F1771" s="3">
        <v>3</v>
      </c>
      <c r="G1771" s="6" t="s">
        <v>18</v>
      </c>
    </row>
    <row r="1772" spans="1:7" x14ac:dyDescent="0.3">
      <c r="A1772" s="2" t="s">
        <v>2231</v>
      </c>
      <c r="B1772" s="2" t="s">
        <v>2223</v>
      </c>
      <c r="C1772" s="6" t="s">
        <v>2224</v>
      </c>
      <c r="D1772" s="1">
        <v>45089</v>
      </c>
      <c r="E1772" s="4">
        <v>192.3</v>
      </c>
      <c r="F1772" s="3">
        <v>4</v>
      </c>
      <c r="G1772" s="6" t="s">
        <v>26</v>
      </c>
    </row>
    <row r="1773" spans="1:7" x14ac:dyDescent="0.3">
      <c r="A1773" s="2" t="s">
        <v>2232</v>
      </c>
      <c r="B1773" s="2" t="s">
        <v>2223</v>
      </c>
      <c r="C1773" s="6" t="s">
        <v>2224</v>
      </c>
      <c r="D1773" s="1">
        <v>44965</v>
      </c>
      <c r="E1773" s="4">
        <v>138.62</v>
      </c>
      <c r="F1773" s="3">
        <v>3</v>
      </c>
      <c r="G1773" s="6" t="s">
        <v>38</v>
      </c>
    </row>
    <row r="1774" spans="1:7" x14ac:dyDescent="0.3">
      <c r="A1774" s="2" t="s">
        <v>2233</v>
      </c>
      <c r="B1774" s="2" t="s">
        <v>2223</v>
      </c>
      <c r="C1774" s="6" t="s">
        <v>2224</v>
      </c>
      <c r="D1774" s="1">
        <v>45640</v>
      </c>
      <c r="E1774" s="4">
        <v>129.56</v>
      </c>
      <c r="F1774" s="3">
        <v>3</v>
      </c>
      <c r="G1774" s="6" t="s">
        <v>12</v>
      </c>
    </row>
    <row r="1775" spans="1:7" x14ac:dyDescent="0.3">
      <c r="A1775" s="2" t="s">
        <v>2234</v>
      </c>
      <c r="B1775" s="2" t="s">
        <v>2223</v>
      </c>
      <c r="C1775" s="6" t="s">
        <v>2224</v>
      </c>
      <c r="D1775" s="1">
        <v>45521</v>
      </c>
      <c r="E1775" s="4">
        <v>131.34</v>
      </c>
      <c r="F1775" s="3">
        <v>2</v>
      </c>
      <c r="G1775" s="6" t="s">
        <v>15</v>
      </c>
    </row>
    <row r="1776" spans="1:7" x14ac:dyDescent="0.3">
      <c r="A1776" s="2" t="s">
        <v>2235</v>
      </c>
      <c r="B1776" s="2" t="s">
        <v>2223</v>
      </c>
      <c r="C1776" s="6" t="s">
        <v>2224</v>
      </c>
      <c r="D1776" s="1">
        <v>44931</v>
      </c>
      <c r="E1776" s="4">
        <v>420.35</v>
      </c>
      <c r="F1776" s="3">
        <v>4</v>
      </c>
      <c r="G1776" s="6" t="s">
        <v>38</v>
      </c>
    </row>
    <row r="1777" spans="1:7" x14ac:dyDescent="0.3">
      <c r="A1777" s="2" t="s">
        <v>2236</v>
      </c>
      <c r="B1777" s="2" t="s">
        <v>2237</v>
      </c>
      <c r="C1777" s="6" t="s">
        <v>2238</v>
      </c>
      <c r="D1777" s="1">
        <v>45639</v>
      </c>
      <c r="E1777" s="4">
        <v>347.01</v>
      </c>
      <c r="F1777" s="3">
        <v>1</v>
      </c>
      <c r="G1777" s="6" t="s">
        <v>15</v>
      </c>
    </row>
    <row r="1778" spans="1:7" x14ac:dyDescent="0.3">
      <c r="A1778" s="2" t="s">
        <v>2239</v>
      </c>
      <c r="B1778" s="2" t="s">
        <v>2237</v>
      </c>
      <c r="C1778" s="6" t="s">
        <v>2238</v>
      </c>
      <c r="D1778" s="1">
        <v>45599</v>
      </c>
      <c r="E1778" s="4">
        <v>62.14</v>
      </c>
      <c r="F1778" s="3">
        <v>1</v>
      </c>
      <c r="G1778" s="6" t="s">
        <v>38</v>
      </c>
    </row>
    <row r="1779" spans="1:7" x14ac:dyDescent="0.3">
      <c r="A1779" s="2" t="s">
        <v>2240</v>
      </c>
      <c r="B1779" s="2" t="s">
        <v>2237</v>
      </c>
      <c r="C1779" s="6" t="s">
        <v>2238</v>
      </c>
      <c r="D1779" s="1">
        <v>45568</v>
      </c>
      <c r="E1779" s="4">
        <v>164.66</v>
      </c>
      <c r="F1779" s="3">
        <v>2</v>
      </c>
      <c r="G1779" s="6" t="s">
        <v>15</v>
      </c>
    </row>
    <row r="1780" spans="1:7" x14ac:dyDescent="0.3">
      <c r="A1780" s="2" t="s">
        <v>2241</v>
      </c>
      <c r="B1780" s="2" t="s">
        <v>2237</v>
      </c>
      <c r="C1780" s="6" t="s">
        <v>2238</v>
      </c>
      <c r="D1780" s="1">
        <v>45566</v>
      </c>
      <c r="E1780" s="4">
        <v>358.47</v>
      </c>
      <c r="F1780" s="3">
        <v>2</v>
      </c>
      <c r="G1780" s="6" t="s">
        <v>26</v>
      </c>
    </row>
    <row r="1781" spans="1:7" x14ac:dyDescent="0.3">
      <c r="A1781" s="2" t="s">
        <v>2242</v>
      </c>
      <c r="B1781" s="2" t="s">
        <v>2237</v>
      </c>
      <c r="C1781" s="6" t="s">
        <v>2238</v>
      </c>
      <c r="D1781" s="1">
        <v>45557</v>
      </c>
      <c r="E1781" s="4">
        <v>487.7</v>
      </c>
      <c r="F1781" s="3">
        <v>2</v>
      </c>
      <c r="G1781" s="6" t="s">
        <v>26</v>
      </c>
    </row>
    <row r="1782" spans="1:7" x14ac:dyDescent="0.3">
      <c r="A1782" s="2" t="s">
        <v>2243</v>
      </c>
      <c r="B1782" s="2" t="s">
        <v>2237</v>
      </c>
      <c r="C1782" s="6" t="s">
        <v>2238</v>
      </c>
      <c r="D1782" s="1">
        <v>45507</v>
      </c>
      <c r="E1782" s="4">
        <v>266.02</v>
      </c>
      <c r="F1782" s="3">
        <v>2</v>
      </c>
      <c r="G1782" s="6" t="s">
        <v>15</v>
      </c>
    </row>
    <row r="1783" spans="1:7" x14ac:dyDescent="0.3">
      <c r="A1783" s="2" t="s">
        <v>2244</v>
      </c>
      <c r="B1783" s="2" t="s">
        <v>2237</v>
      </c>
      <c r="C1783" s="6" t="s">
        <v>2238</v>
      </c>
      <c r="D1783" s="1">
        <v>45450</v>
      </c>
      <c r="E1783" s="4">
        <v>128.38</v>
      </c>
      <c r="F1783" s="3">
        <v>1</v>
      </c>
      <c r="G1783" s="6" t="s">
        <v>18</v>
      </c>
    </row>
    <row r="1784" spans="1:7" x14ac:dyDescent="0.3">
      <c r="A1784" s="2" t="s">
        <v>2245</v>
      </c>
      <c r="B1784" s="2" t="s">
        <v>2237</v>
      </c>
      <c r="C1784" s="6" t="s">
        <v>2238</v>
      </c>
      <c r="D1784" s="1">
        <v>45656</v>
      </c>
      <c r="E1784" s="4">
        <v>426.47</v>
      </c>
      <c r="F1784" s="3">
        <v>3</v>
      </c>
      <c r="G1784" s="6" t="s">
        <v>12</v>
      </c>
    </row>
    <row r="1785" spans="1:7" x14ac:dyDescent="0.3">
      <c r="A1785" s="2" t="s">
        <v>2246</v>
      </c>
      <c r="B1785" s="2" t="s">
        <v>2237</v>
      </c>
      <c r="C1785" s="6" t="s">
        <v>2238</v>
      </c>
      <c r="D1785" s="1">
        <v>45552</v>
      </c>
      <c r="E1785" s="4">
        <v>13.81</v>
      </c>
      <c r="F1785" s="3">
        <v>2</v>
      </c>
      <c r="G1785" s="6" t="s">
        <v>26</v>
      </c>
    </row>
    <row r="1786" spans="1:7" x14ac:dyDescent="0.3">
      <c r="A1786" s="2" t="s">
        <v>2247</v>
      </c>
      <c r="B1786" s="2" t="s">
        <v>2237</v>
      </c>
      <c r="C1786" s="6" t="s">
        <v>2238</v>
      </c>
      <c r="D1786" s="1">
        <v>45478</v>
      </c>
      <c r="E1786" s="4">
        <v>372.39</v>
      </c>
      <c r="F1786" s="3">
        <v>2</v>
      </c>
      <c r="G1786" s="6" t="s">
        <v>18</v>
      </c>
    </row>
    <row r="1787" spans="1:7" x14ac:dyDescent="0.3">
      <c r="A1787" s="2" t="s">
        <v>2248</v>
      </c>
      <c r="B1787" s="2" t="s">
        <v>2237</v>
      </c>
      <c r="C1787" s="6" t="s">
        <v>2238</v>
      </c>
      <c r="D1787" s="1">
        <v>45477</v>
      </c>
      <c r="E1787" s="4">
        <v>346.72</v>
      </c>
      <c r="F1787" s="3">
        <v>2</v>
      </c>
      <c r="G1787" s="6" t="s">
        <v>18</v>
      </c>
    </row>
    <row r="1788" spans="1:7" x14ac:dyDescent="0.3">
      <c r="A1788" s="2" t="s">
        <v>2249</v>
      </c>
      <c r="B1788" s="2" t="s">
        <v>2237</v>
      </c>
      <c r="C1788" s="6" t="s">
        <v>2238</v>
      </c>
      <c r="D1788" s="1">
        <v>45534</v>
      </c>
      <c r="E1788" s="4">
        <v>235.56</v>
      </c>
      <c r="F1788" s="3">
        <v>3</v>
      </c>
      <c r="G1788" s="6" t="s">
        <v>12</v>
      </c>
    </row>
    <row r="1789" spans="1:7" x14ac:dyDescent="0.3">
      <c r="A1789" s="2" t="s">
        <v>2250</v>
      </c>
      <c r="B1789" s="2" t="s">
        <v>2251</v>
      </c>
      <c r="C1789" s="6" t="s">
        <v>2252</v>
      </c>
      <c r="D1789" s="1">
        <v>45604</v>
      </c>
      <c r="E1789" s="4">
        <v>45.61</v>
      </c>
      <c r="F1789" s="3">
        <v>1</v>
      </c>
      <c r="G1789" s="6" t="s">
        <v>15</v>
      </c>
    </row>
    <row r="1790" spans="1:7" x14ac:dyDescent="0.3">
      <c r="A1790" s="2" t="s">
        <v>2253</v>
      </c>
      <c r="B1790" s="2" t="s">
        <v>2251</v>
      </c>
      <c r="C1790" s="6" t="s">
        <v>2252</v>
      </c>
      <c r="D1790" s="1">
        <v>45601</v>
      </c>
      <c r="E1790" s="4">
        <v>117.84</v>
      </c>
      <c r="F1790" s="3">
        <v>4</v>
      </c>
      <c r="G1790" s="6" t="s">
        <v>10</v>
      </c>
    </row>
    <row r="1791" spans="1:7" x14ac:dyDescent="0.3">
      <c r="A1791" s="2" t="s">
        <v>2254</v>
      </c>
      <c r="B1791" s="2" t="s">
        <v>2251</v>
      </c>
      <c r="C1791" s="6" t="s">
        <v>2252</v>
      </c>
      <c r="D1791" s="1">
        <v>45619</v>
      </c>
      <c r="E1791" s="4">
        <v>71.569999999999993</v>
      </c>
      <c r="F1791" s="3">
        <v>4</v>
      </c>
      <c r="G1791" s="6" t="s">
        <v>38</v>
      </c>
    </row>
    <row r="1792" spans="1:7" x14ac:dyDescent="0.3">
      <c r="A1792" s="2" t="s">
        <v>2255</v>
      </c>
      <c r="B1792" s="2" t="s">
        <v>2251</v>
      </c>
      <c r="C1792" s="6" t="s">
        <v>2252</v>
      </c>
      <c r="D1792" s="1">
        <v>45559</v>
      </c>
      <c r="E1792" s="4">
        <v>382.56</v>
      </c>
      <c r="F1792" s="3">
        <v>1</v>
      </c>
      <c r="G1792" s="6" t="s">
        <v>26</v>
      </c>
    </row>
    <row r="1793" spans="1:7" x14ac:dyDescent="0.3">
      <c r="A1793" s="2" t="s">
        <v>2256</v>
      </c>
      <c r="B1793" s="2" t="s">
        <v>2251</v>
      </c>
      <c r="C1793" s="6" t="s">
        <v>2252</v>
      </c>
      <c r="D1793" s="1">
        <v>45644</v>
      </c>
      <c r="E1793" s="4">
        <v>259.48</v>
      </c>
      <c r="F1793" s="3">
        <v>4</v>
      </c>
      <c r="G1793" s="6" t="s">
        <v>10</v>
      </c>
    </row>
    <row r="1794" spans="1:7" x14ac:dyDescent="0.3">
      <c r="A1794" s="2" t="s">
        <v>2257</v>
      </c>
      <c r="B1794" s="2" t="s">
        <v>2251</v>
      </c>
      <c r="C1794" s="6" t="s">
        <v>2252</v>
      </c>
      <c r="D1794" s="1">
        <v>45655</v>
      </c>
      <c r="E1794" s="4">
        <v>488.46</v>
      </c>
      <c r="F1794" s="3">
        <v>3</v>
      </c>
      <c r="G1794" s="6" t="s">
        <v>12</v>
      </c>
    </row>
    <row r="1795" spans="1:7" x14ac:dyDescent="0.3">
      <c r="A1795" s="2" t="s">
        <v>2258</v>
      </c>
      <c r="B1795" s="2" t="s">
        <v>2259</v>
      </c>
      <c r="C1795" s="6" t="s">
        <v>2260</v>
      </c>
      <c r="D1795" s="1">
        <v>45471</v>
      </c>
      <c r="E1795" s="4">
        <v>361.14</v>
      </c>
      <c r="F1795" s="3">
        <v>3</v>
      </c>
      <c r="G1795" s="6" t="s">
        <v>12</v>
      </c>
    </row>
    <row r="1796" spans="1:7" x14ac:dyDescent="0.3">
      <c r="A1796" s="2" t="s">
        <v>2261</v>
      </c>
      <c r="B1796" s="2" t="s">
        <v>2259</v>
      </c>
      <c r="C1796" s="6" t="s">
        <v>2260</v>
      </c>
      <c r="D1796" s="1">
        <v>45359</v>
      </c>
      <c r="E1796" s="4">
        <v>257.89999999999998</v>
      </c>
      <c r="F1796" s="3">
        <v>4</v>
      </c>
      <c r="G1796" s="6" t="s">
        <v>10</v>
      </c>
    </row>
    <row r="1797" spans="1:7" x14ac:dyDescent="0.3">
      <c r="A1797" s="2" t="s">
        <v>2262</v>
      </c>
      <c r="B1797" s="2" t="s">
        <v>2259</v>
      </c>
      <c r="C1797" s="6" t="s">
        <v>2260</v>
      </c>
      <c r="D1797" s="1">
        <v>45605</v>
      </c>
      <c r="E1797" s="4">
        <v>423.98</v>
      </c>
      <c r="F1797" s="3">
        <v>2</v>
      </c>
      <c r="G1797" s="6" t="s">
        <v>12</v>
      </c>
    </row>
    <row r="1798" spans="1:7" x14ac:dyDescent="0.3">
      <c r="A1798" s="2" t="s">
        <v>2263</v>
      </c>
      <c r="B1798" s="2" t="s">
        <v>2264</v>
      </c>
      <c r="C1798" s="6" t="s">
        <v>2265</v>
      </c>
      <c r="D1798" s="1">
        <v>45439</v>
      </c>
      <c r="E1798" s="4">
        <v>123.88</v>
      </c>
      <c r="F1798" s="3">
        <v>1</v>
      </c>
      <c r="G1798" s="6" t="s">
        <v>38</v>
      </c>
    </row>
    <row r="1799" spans="1:7" x14ac:dyDescent="0.3">
      <c r="A1799" s="2" t="s">
        <v>2266</v>
      </c>
      <c r="B1799" s="2" t="s">
        <v>2267</v>
      </c>
      <c r="C1799" s="6" t="s">
        <v>2268</v>
      </c>
      <c r="D1799" s="1">
        <v>45218</v>
      </c>
      <c r="E1799" s="4">
        <v>120.66</v>
      </c>
      <c r="F1799" s="3">
        <v>3</v>
      </c>
      <c r="G1799" s="6" t="s">
        <v>15</v>
      </c>
    </row>
    <row r="1800" spans="1:7" x14ac:dyDescent="0.3">
      <c r="A1800" s="2" t="s">
        <v>2269</v>
      </c>
      <c r="B1800" s="2" t="s">
        <v>2267</v>
      </c>
      <c r="C1800" s="6" t="s">
        <v>2268</v>
      </c>
      <c r="D1800" s="1">
        <v>45512</v>
      </c>
      <c r="E1800" s="4">
        <v>227.65</v>
      </c>
      <c r="F1800" s="3">
        <v>3</v>
      </c>
      <c r="G1800" s="6" t="s">
        <v>12</v>
      </c>
    </row>
    <row r="1801" spans="1:7" x14ac:dyDescent="0.3">
      <c r="A1801" s="2" t="s">
        <v>2270</v>
      </c>
      <c r="B1801" s="2" t="s">
        <v>2271</v>
      </c>
      <c r="C1801" s="6" t="s">
        <v>2272</v>
      </c>
      <c r="D1801" s="1">
        <v>45588</v>
      </c>
      <c r="E1801" s="4">
        <v>228.7</v>
      </c>
      <c r="F1801" s="3">
        <v>4</v>
      </c>
      <c r="G1801" s="6" t="s">
        <v>10</v>
      </c>
    </row>
    <row r="1802" spans="1:7" x14ac:dyDescent="0.3">
      <c r="A1802" s="2" t="s">
        <v>2273</v>
      </c>
      <c r="B1802" s="2" t="s">
        <v>2271</v>
      </c>
      <c r="C1802" s="6" t="s">
        <v>2272</v>
      </c>
      <c r="D1802" s="1">
        <v>45503</v>
      </c>
      <c r="E1802" s="4">
        <v>493.81</v>
      </c>
      <c r="F1802" s="3">
        <v>1</v>
      </c>
      <c r="G1802" s="6" t="s">
        <v>38</v>
      </c>
    </row>
    <row r="1803" spans="1:7" x14ac:dyDescent="0.3">
      <c r="A1803" s="2" t="s">
        <v>2274</v>
      </c>
      <c r="B1803" s="2" t="s">
        <v>2271</v>
      </c>
      <c r="C1803" s="6" t="s">
        <v>2272</v>
      </c>
      <c r="D1803" s="1">
        <v>45581</v>
      </c>
      <c r="E1803" s="4">
        <v>288.8</v>
      </c>
      <c r="F1803" s="3">
        <v>4</v>
      </c>
      <c r="G1803" s="6" t="s">
        <v>10</v>
      </c>
    </row>
    <row r="1804" spans="1:7" x14ac:dyDescent="0.3">
      <c r="A1804" s="2" t="s">
        <v>2275</v>
      </c>
      <c r="B1804" s="2" t="s">
        <v>2276</v>
      </c>
      <c r="C1804" s="6" t="s">
        <v>2277</v>
      </c>
      <c r="D1804" s="1">
        <v>45331</v>
      </c>
      <c r="E1804" s="4">
        <v>378.38</v>
      </c>
      <c r="F1804" s="3">
        <v>3</v>
      </c>
      <c r="G1804" s="6" t="s">
        <v>10</v>
      </c>
    </row>
    <row r="1805" spans="1:7" x14ac:dyDescent="0.3">
      <c r="A1805" s="2" t="s">
        <v>2278</v>
      </c>
      <c r="B1805" s="2" t="s">
        <v>2276</v>
      </c>
      <c r="C1805" s="6" t="s">
        <v>2277</v>
      </c>
      <c r="D1805" s="1">
        <v>45533</v>
      </c>
      <c r="E1805" s="4">
        <v>137.75</v>
      </c>
      <c r="F1805" s="3">
        <v>3</v>
      </c>
      <c r="G1805" s="6" t="s">
        <v>26</v>
      </c>
    </row>
    <row r="1806" spans="1:7" x14ac:dyDescent="0.3">
      <c r="A1806" s="2" t="s">
        <v>2279</v>
      </c>
      <c r="B1806" s="2" t="s">
        <v>2276</v>
      </c>
      <c r="C1806" s="6" t="s">
        <v>2277</v>
      </c>
      <c r="D1806" s="1">
        <v>45656</v>
      </c>
      <c r="E1806" s="4">
        <v>445.61</v>
      </c>
      <c r="F1806" s="3">
        <v>2</v>
      </c>
      <c r="G1806" s="6" t="s">
        <v>26</v>
      </c>
    </row>
    <row r="1807" spans="1:7" x14ac:dyDescent="0.3">
      <c r="A1807" s="2" t="s">
        <v>2280</v>
      </c>
      <c r="B1807" s="2" t="s">
        <v>2276</v>
      </c>
      <c r="C1807" s="6" t="s">
        <v>2277</v>
      </c>
      <c r="D1807" s="1">
        <v>45390</v>
      </c>
      <c r="E1807" s="4">
        <v>264.19</v>
      </c>
      <c r="F1807" s="3">
        <v>1</v>
      </c>
      <c r="G1807" s="6" t="s">
        <v>12</v>
      </c>
    </row>
    <row r="1808" spans="1:7" x14ac:dyDescent="0.3">
      <c r="A1808" s="2" t="s">
        <v>2281</v>
      </c>
      <c r="B1808" s="2" t="s">
        <v>2276</v>
      </c>
      <c r="C1808" s="6" t="s">
        <v>2277</v>
      </c>
      <c r="D1808" s="1">
        <v>45601</v>
      </c>
      <c r="E1808" s="4">
        <v>155.26</v>
      </c>
      <c r="F1808" s="3">
        <v>1</v>
      </c>
      <c r="G1808" s="6" t="s">
        <v>18</v>
      </c>
    </row>
    <row r="1809" spans="1:7" x14ac:dyDescent="0.3">
      <c r="A1809" s="2" t="s">
        <v>2282</v>
      </c>
      <c r="B1809" s="2" t="s">
        <v>2276</v>
      </c>
      <c r="C1809" s="6" t="s">
        <v>2277</v>
      </c>
      <c r="D1809" s="1">
        <v>45294</v>
      </c>
      <c r="E1809" s="4">
        <v>168.18</v>
      </c>
      <c r="F1809" s="3">
        <v>4</v>
      </c>
      <c r="G1809" s="6" t="s">
        <v>26</v>
      </c>
    </row>
    <row r="1810" spans="1:7" x14ac:dyDescent="0.3">
      <c r="A1810" s="2" t="s">
        <v>2283</v>
      </c>
      <c r="B1810" s="2" t="s">
        <v>2276</v>
      </c>
      <c r="C1810" s="6" t="s">
        <v>2277</v>
      </c>
      <c r="D1810" s="1">
        <v>45473</v>
      </c>
      <c r="E1810" s="4">
        <v>156</v>
      </c>
      <c r="F1810" s="3">
        <v>3</v>
      </c>
      <c r="G1810" s="6" t="s">
        <v>10</v>
      </c>
    </row>
    <row r="1811" spans="1:7" x14ac:dyDescent="0.3">
      <c r="A1811" s="2" t="s">
        <v>2284</v>
      </c>
      <c r="B1811" s="2" t="s">
        <v>2276</v>
      </c>
      <c r="C1811" s="6" t="s">
        <v>2277</v>
      </c>
      <c r="D1811" s="1">
        <v>45600</v>
      </c>
      <c r="E1811" s="4">
        <v>356.73</v>
      </c>
      <c r="F1811" s="3">
        <v>2</v>
      </c>
      <c r="G1811" s="6" t="s">
        <v>12</v>
      </c>
    </row>
    <row r="1812" spans="1:7" x14ac:dyDescent="0.3">
      <c r="A1812" s="2" t="s">
        <v>2285</v>
      </c>
      <c r="B1812" s="2" t="s">
        <v>2276</v>
      </c>
      <c r="C1812" s="6" t="s">
        <v>2277</v>
      </c>
      <c r="D1812" s="1">
        <v>45344</v>
      </c>
      <c r="E1812" s="4">
        <v>157.88</v>
      </c>
      <c r="F1812" s="3">
        <v>4</v>
      </c>
      <c r="G1812" s="6" t="s">
        <v>18</v>
      </c>
    </row>
    <row r="1813" spans="1:7" x14ac:dyDescent="0.3">
      <c r="A1813" s="2" t="s">
        <v>2286</v>
      </c>
      <c r="B1813" s="2" t="s">
        <v>2276</v>
      </c>
      <c r="C1813" s="6" t="s">
        <v>2277</v>
      </c>
      <c r="D1813" s="1">
        <v>45363</v>
      </c>
      <c r="E1813" s="4">
        <v>224.94</v>
      </c>
      <c r="F1813" s="3">
        <v>1</v>
      </c>
      <c r="G1813" s="6" t="s">
        <v>38</v>
      </c>
    </row>
    <row r="1814" spans="1:7" x14ac:dyDescent="0.3">
      <c r="A1814" s="2" t="s">
        <v>2287</v>
      </c>
      <c r="B1814" s="2" t="s">
        <v>2288</v>
      </c>
      <c r="C1814" s="6" t="s">
        <v>2289</v>
      </c>
      <c r="D1814" s="1">
        <v>44999</v>
      </c>
      <c r="E1814" s="4">
        <v>326.74</v>
      </c>
      <c r="F1814" s="3">
        <v>2</v>
      </c>
      <c r="G1814" s="6" t="s">
        <v>18</v>
      </c>
    </row>
    <row r="1815" spans="1:7" x14ac:dyDescent="0.3">
      <c r="A1815" s="2" t="s">
        <v>2290</v>
      </c>
      <c r="B1815" s="2" t="s">
        <v>2288</v>
      </c>
      <c r="C1815" s="6" t="s">
        <v>2289</v>
      </c>
      <c r="D1815" s="1">
        <v>45189</v>
      </c>
      <c r="E1815" s="4">
        <v>133.38999999999999</v>
      </c>
      <c r="F1815" s="3">
        <v>2</v>
      </c>
      <c r="G1815" s="6" t="s">
        <v>26</v>
      </c>
    </row>
    <row r="1816" spans="1:7" x14ac:dyDescent="0.3">
      <c r="A1816" s="2" t="s">
        <v>2291</v>
      </c>
      <c r="B1816" s="2" t="s">
        <v>2288</v>
      </c>
      <c r="C1816" s="6" t="s">
        <v>2289</v>
      </c>
      <c r="D1816" s="1">
        <v>45324</v>
      </c>
      <c r="E1816" s="4">
        <v>49.91</v>
      </c>
      <c r="F1816" s="3">
        <v>3</v>
      </c>
      <c r="G1816" s="6" t="s">
        <v>18</v>
      </c>
    </row>
    <row r="1817" spans="1:7" x14ac:dyDescent="0.3">
      <c r="A1817" s="2" t="s">
        <v>2292</v>
      </c>
      <c r="B1817" s="2" t="s">
        <v>2288</v>
      </c>
      <c r="C1817" s="6" t="s">
        <v>2289</v>
      </c>
      <c r="D1817" s="1">
        <v>45429</v>
      </c>
      <c r="E1817" s="4">
        <v>155.30000000000001</v>
      </c>
      <c r="F1817" s="3">
        <v>3</v>
      </c>
      <c r="G1817" s="6" t="s">
        <v>26</v>
      </c>
    </row>
    <row r="1818" spans="1:7" x14ac:dyDescent="0.3">
      <c r="A1818" s="2" t="s">
        <v>2293</v>
      </c>
      <c r="B1818" s="2" t="s">
        <v>2288</v>
      </c>
      <c r="C1818" s="6" t="s">
        <v>2289</v>
      </c>
      <c r="D1818" s="1">
        <v>45638</v>
      </c>
      <c r="E1818" s="4">
        <v>499.53</v>
      </c>
      <c r="F1818" s="3">
        <v>4</v>
      </c>
      <c r="G1818" s="6" t="s">
        <v>38</v>
      </c>
    </row>
    <row r="1819" spans="1:7" x14ac:dyDescent="0.3">
      <c r="A1819" s="2" t="s">
        <v>2294</v>
      </c>
      <c r="B1819" s="2" t="s">
        <v>2288</v>
      </c>
      <c r="C1819" s="6" t="s">
        <v>2289</v>
      </c>
      <c r="D1819" s="1">
        <v>45308</v>
      </c>
      <c r="E1819" s="4">
        <v>81.3</v>
      </c>
      <c r="F1819" s="3">
        <v>2</v>
      </c>
      <c r="G1819" s="6" t="s">
        <v>15</v>
      </c>
    </row>
    <row r="1820" spans="1:7" x14ac:dyDescent="0.3">
      <c r="A1820" s="2" t="s">
        <v>2295</v>
      </c>
      <c r="B1820" s="2" t="s">
        <v>2288</v>
      </c>
      <c r="C1820" s="6" t="s">
        <v>2289</v>
      </c>
      <c r="D1820" s="1">
        <v>45300</v>
      </c>
      <c r="E1820" s="4">
        <v>336.8</v>
      </c>
      <c r="F1820" s="3">
        <v>1</v>
      </c>
      <c r="G1820" s="6" t="s">
        <v>12</v>
      </c>
    </row>
    <row r="1821" spans="1:7" x14ac:dyDescent="0.3">
      <c r="A1821" s="2" t="s">
        <v>2296</v>
      </c>
      <c r="B1821" s="2" t="s">
        <v>2288</v>
      </c>
      <c r="C1821" s="6" t="s">
        <v>2289</v>
      </c>
      <c r="D1821" s="1">
        <v>45325</v>
      </c>
      <c r="E1821" s="4">
        <v>223.48</v>
      </c>
      <c r="F1821" s="3">
        <v>4</v>
      </c>
      <c r="G1821" s="6" t="s">
        <v>10</v>
      </c>
    </row>
    <row r="1822" spans="1:7" x14ac:dyDescent="0.3">
      <c r="A1822" s="2" t="s">
        <v>2297</v>
      </c>
      <c r="B1822" s="2" t="s">
        <v>2298</v>
      </c>
      <c r="C1822" s="6" t="s">
        <v>2299</v>
      </c>
      <c r="D1822" s="1">
        <v>45529</v>
      </c>
      <c r="E1822" s="4">
        <v>164.71</v>
      </c>
      <c r="F1822" s="3">
        <v>3</v>
      </c>
      <c r="G1822" s="6" t="s">
        <v>10</v>
      </c>
    </row>
    <row r="1823" spans="1:7" x14ac:dyDescent="0.3">
      <c r="A1823" s="2" t="s">
        <v>2300</v>
      </c>
      <c r="B1823" s="2" t="s">
        <v>2298</v>
      </c>
      <c r="C1823" s="6" t="s">
        <v>2299</v>
      </c>
      <c r="D1823" s="1">
        <v>45592</v>
      </c>
      <c r="E1823" s="4">
        <v>136.16</v>
      </c>
      <c r="F1823" s="3">
        <v>3</v>
      </c>
      <c r="G1823" s="6" t="s">
        <v>26</v>
      </c>
    </row>
    <row r="1824" spans="1:7" x14ac:dyDescent="0.3">
      <c r="A1824" s="2" t="s">
        <v>2301</v>
      </c>
      <c r="B1824" s="2" t="s">
        <v>2298</v>
      </c>
      <c r="C1824" s="6" t="s">
        <v>2299</v>
      </c>
      <c r="D1824" s="1">
        <v>45491</v>
      </c>
      <c r="E1824" s="4">
        <v>75.430000000000007</v>
      </c>
      <c r="F1824" s="3">
        <v>3</v>
      </c>
      <c r="G1824" s="6" t="s">
        <v>10</v>
      </c>
    </row>
    <row r="1825" spans="1:7" x14ac:dyDescent="0.3">
      <c r="A1825" s="2" t="s">
        <v>2302</v>
      </c>
      <c r="B1825" s="2" t="s">
        <v>2298</v>
      </c>
      <c r="C1825" s="6" t="s">
        <v>2299</v>
      </c>
      <c r="D1825" s="1">
        <v>45491</v>
      </c>
      <c r="E1825" s="4">
        <v>419.14</v>
      </c>
      <c r="F1825" s="3">
        <v>4</v>
      </c>
      <c r="G1825" s="6" t="s">
        <v>26</v>
      </c>
    </row>
    <row r="1826" spans="1:7" x14ac:dyDescent="0.3">
      <c r="A1826" s="2" t="s">
        <v>2303</v>
      </c>
      <c r="B1826" s="2" t="s">
        <v>2298</v>
      </c>
      <c r="C1826" s="6" t="s">
        <v>2299</v>
      </c>
      <c r="D1826" s="1">
        <v>45533</v>
      </c>
      <c r="E1826" s="4">
        <v>290.36</v>
      </c>
      <c r="F1826" s="3">
        <v>2</v>
      </c>
      <c r="G1826" s="6" t="s">
        <v>10</v>
      </c>
    </row>
    <row r="1827" spans="1:7" x14ac:dyDescent="0.3">
      <c r="A1827" s="2" t="s">
        <v>2304</v>
      </c>
      <c r="B1827" s="2" t="s">
        <v>2298</v>
      </c>
      <c r="C1827" s="6" t="s">
        <v>2299</v>
      </c>
      <c r="D1827" s="1">
        <v>45563</v>
      </c>
      <c r="E1827" s="4">
        <v>93.59</v>
      </c>
      <c r="F1827" s="3">
        <v>2</v>
      </c>
      <c r="G1827" s="6" t="s">
        <v>15</v>
      </c>
    </row>
    <row r="1828" spans="1:7" x14ac:dyDescent="0.3">
      <c r="A1828" s="2" t="s">
        <v>2305</v>
      </c>
      <c r="B1828" s="2" t="s">
        <v>2298</v>
      </c>
      <c r="C1828" s="6" t="s">
        <v>2299</v>
      </c>
      <c r="D1828" s="1">
        <v>45441</v>
      </c>
      <c r="E1828" s="4">
        <v>396.66</v>
      </c>
      <c r="F1828" s="3">
        <v>4</v>
      </c>
      <c r="G1828" s="6" t="s">
        <v>10</v>
      </c>
    </row>
    <row r="1829" spans="1:7" x14ac:dyDescent="0.3">
      <c r="A1829" s="2" t="s">
        <v>2306</v>
      </c>
      <c r="B1829" s="2" t="s">
        <v>2298</v>
      </c>
      <c r="C1829" s="6" t="s">
        <v>2299</v>
      </c>
      <c r="D1829" s="1">
        <v>45449</v>
      </c>
      <c r="E1829" s="4">
        <v>22.08</v>
      </c>
      <c r="F1829" s="3">
        <v>3</v>
      </c>
      <c r="G1829" s="6" t="s">
        <v>26</v>
      </c>
    </row>
    <row r="1830" spans="1:7" x14ac:dyDescent="0.3">
      <c r="A1830" s="2" t="s">
        <v>2307</v>
      </c>
      <c r="B1830" s="2" t="s">
        <v>2308</v>
      </c>
      <c r="C1830" s="6" t="s">
        <v>2309</v>
      </c>
      <c r="D1830" s="1">
        <v>45645</v>
      </c>
      <c r="E1830" s="4">
        <v>487.48</v>
      </c>
      <c r="F1830" s="3">
        <v>2</v>
      </c>
      <c r="G1830" s="6" t="s">
        <v>18</v>
      </c>
    </row>
    <row r="1831" spans="1:7" x14ac:dyDescent="0.3">
      <c r="A1831" s="2" t="s">
        <v>2310</v>
      </c>
      <c r="B1831" s="2" t="s">
        <v>2308</v>
      </c>
      <c r="C1831" s="6" t="s">
        <v>2309</v>
      </c>
      <c r="D1831" s="1">
        <v>45633</v>
      </c>
      <c r="E1831" s="4">
        <v>54.97</v>
      </c>
      <c r="F1831" s="3">
        <v>3</v>
      </c>
      <c r="G1831" s="6" t="s">
        <v>26</v>
      </c>
    </row>
    <row r="1832" spans="1:7" x14ac:dyDescent="0.3">
      <c r="A1832" s="2" t="s">
        <v>2311</v>
      </c>
      <c r="B1832" s="2" t="s">
        <v>2308</v>
      </c>
      <c r="C1832" s="6" t="s">
        <v>2309</v>
      </c>
      <c r="D1832" s="1">
        <v>45607</v>
      </c>
      <c r="E1832" s="4">
        <v>261.97000000000003</v>
      </c>
      <c r="F1832" s="3">
        <v>3</v>
      </c>
      <c r="G1832" s="6" t="s">
        <v>12</v>
      </c>
    </row>
    <row r="1833" spans="1:7" x14ac:dyDescent="0.3">
      <c r="A1833" s="2" t="s">
        <v>2312</v>
      </c>
      <c r="B1833" s="2" t="s">
        <v>2308</v>
      </c>
      <c r="C1833" s="6" t="s">
        <v>2309</v>
      </c>
      <c r="D1833" s="1">
        <v>45634</v>
      </c>
      <c r="E1833" s="4">
        <v>491.42</v>
      </c>
      <c r="F1833" s="3">
        <v>3</v>
      </c>
      <c r="G1833" s="6" t="s">
        <v>38</v>
      </c>
    </row>
    <row r="1834" spans="1:7" x14ac:dyDescent="0.3">
      <c r="A1834" s="2" t="s">
        <v>2313</v>
      </c>
      <c r="B1834" s="2" t="s">
        <v>2308</v>
      </c>
      <c r="C1834" s="6" t="s">
        <v>2309</v>
      </c>
      <c r="D1834" s="1">
        <v>45644</v>
      </c>
      <c r="E1834" s="4">
        <v>298.3</v>
      </c>
      <c r="F1834" s="3">
        <v>2</v>
      </c>
      <c r="G1834" s="6" t="s">
        <v>12</v>
      </c>
    </row>
    <row r="1835" spans="1:7" x14ac:dyDescent="0.3">
      <c r="A1835" s="2" t="s">
        <v>2314</v>
      </c>
      <c r="B1835" s="2" t="s">
        <v>2308</v>
      </c>
      <c r="C1835" s="6" t="s">
        <v>2309</v>
      </c>
      <c r="D1835" s="1">
        <v>45624</v>
      </c>
      <c r="E1835" s="4">
        <v>41.48</v>
      </c>
      <c r="F1835" s="3">
        <v>4</v>
      </c>
      <c r="G1835" s="6" t="s">
        <v>10</v>
      </c>
    </row>
    <row r="1836" spans="1:7" x14ac:dyDescent="0.3">
      <c r="A1836" s="2" t="s">
        <v>2315</v>
      </c>
      <c r="B1836" s="2" t="s">
        <v>2308</v>
      </c>
      <c r="C1836" s="6" t="s">
        <v>2309</v>
      </c>
      <c r="D1836" s="1">
        <v>45616</v>
      </c>
      <c r="E1836" s="4">
        <v>37</v>
      </c>
      <c r="F1836" s="3">
        <v>2</v>
      </c>
      <c r="G1836" s="6" t="s">
        <v>26</v>
      </c>
    </row>
    <row r="1837" spans="1:7" x14ac:dyDescent="0.3">
      <c r="A1837" s="2" t="s">
        <v>2316</v>
      </c>
      <c r="B1837" s="2" t="s">
        <v>2308</v>
      </c>
      <c r="C1837" s="6" t="s">
        <v>2309</v>
      </c>
      <c r="D1837" s="1">
        <v>45644</v>
      </c>
      <c r="E1837" s="4">
        <v>464.99</v>
      </c>
      <c r="F1837" s="3">
        <v>2</v>
      </c>
      <c r="G1837" s="6" t="s">
        <v>26</v>
      </c>
    </row>
    <row r="1838" spans="1:7" x14ac:dyDescent="0.3">
      <c r="A1838" s="2" t="s">
        <v>2317</v>
      </c>
      <c r="B1838" s="2" t="s">
        <v>2308</v>
      </c>
      <c r="C1838" s="6" t="s">
        <v>2309</v>
      </c>
      <c r="D1838" s="1">
        <v>45618</v>
      </c>
      <c r="E1838" s="4">
        <v>205</v>
      </c>
      <c r="F1838" s="3">
        <v>1</v>
      </c>
      <c r="G1838" s="6" t="s">
        <v>10</v>
      </c>
    </row>
    <row r="1839" spans="1:7" x14ac:dyDescent="0.3">
      <c r="A1839" s="2" t="s">
        <v>2318</v>
      </c>
      <c r="B1839" s="2" t="s">
        <v>2308</v>
      </c>
      <c r="C1839" s="6" t="s">
        <v>2309</v>
      </c>
      <c r="D1839" s="1">
        <v>45653</v>
      </c>
      <c r="E1839" s="4">
        <v>486.56</v>
      </c>
      <c r="F1839" s="3">
        <v>3</v>
      </c>
      <c r="G1839" s="6" t="s">
        <v>38</v>
      </c>
    </row>
    <row r="1840" spans="1:7" x14ac:dyDescent="0.3">
      <c r="A1840" s="2" t="s">
        <v>2319</v>
      </c>
      <c r="B1840" s="2" t="s">
        <v>2308</v>
      </c>
      <c r="C1840" s="6" t="s">
        <v>2309</v>
      </c>
      <c r="D1840" s="1">
        <v>45616</v>
      </c>
      <c r="E1840" s="4">
        <v>334.29</v>
      </c>
      <c r="F1840" s="3">
        <v>1</v>
      </c>
      <c r="G1840" s="6" t="s">
        <v>26</v>
      </c>
    </row>
    <row r="1841" spans="1:7" x14ac:dyDescent="0.3">
      <c r="A1841" s="2" t="s">
        <v>2320</v>
      </c>
      <c r="B1841" s="2" t="s">
        <v>2321</v>
      </c>
      <c r="C1841" s="6" t="s">
        <v>2322</v>
      </c>
      <c r="D1841" s="1">
        <v>45511</v>
      </c>
      <c r="E1841" s="4">
        <v>160.4</v>
      </c>
      <c r="F1841" s="3">
        <v>4</v>
      </c>
      <c r="G1841" s="6" t="s">
        <v>26</v>
      </c>
    </row>
    <row r="1842" spans="1:7" x14ac:dyDescent="0.3">
      <c r="A1842" s="2" t="s">
        <v>2323</v>
      </c>
      <c r="B1842" s="2" t="s">
        <v>2321</v>
      </c>
      <c r="C1842" s="6" t="s">
        <v>2322</v>
      </c>
      <c r="D1842" s="1">
        <v>45542</v>
      </c>
      <c r="E1842" s="4">
        <v>71.37</v>
      </c>
      <c r="F1842" s="3">
        <v>4</v>
      </c>
      <c r="G1842" s="6" t="s">
        <v>12</v>
      </c>
    </row>
    <row r="1843" spans="1:7" x14ac:dyDescent="0.3">
      <c r="A1843" s="2" t="s">
        <v>2324</v>
      </c>
      <c r="B1843" s="2" t="s">
        <v>2321</v>
      </c>
      <c r="C1843" s="6" t="s">
        <v>2322</v>
      </c>
      <c r="D1843" s="1">
        <v>45538</v>
      </c>
      <c r="E1843" s="4">
        <v>15.84</v>
      </c>
      <c r="F1843" s="3">
        <v>4</v>
      </c>
      <c r="G1843" s="6" t="s">
        <v>12</v>
      </c>
    </row>
    <row r="1844" spans="1:7" x14ac:dyDescent="0.3">
      <c r="A1844" s="2" t="s">
        <v>2325</v>
      </c>
      <c r="B1844" s="2" t="s">
        <v>2321</v>
      </c>
      <c r="C1844" s="6" t="s">
        <v>2322</v>
      </c>
      <c r="D1844" s="1">
        <v>45328</v>
      </c>
      <c r="E1844" s="4">
        <v>446.51</v>
      </c>
      <c r="F1844" s="3">
        <v>1</v>
      </c>
      <c r="G1844" s="6" t="s">
        <v>12</v>
      </c>
    </row>
    <row r="1845" spans="1:7" x14ac:dyDescent="0.3">
      <c r="A1845" s="2" t="s">
        <v>2326</v>
      </c>
      <c r="B1845" s="2" t="s">
        <v>2321</v>
      </c>
      <c r="C1845" s="6" t="s">
        <v>2322</v>
      </c>
      <c r="D1845" s="1">
        <v>45603</v>
      </c>
      <c r="E1845" s="4">
        <v>338.67</v>
      </c>
      <c r="F1845" s="3">
        <v>2</v>
      </c>
      <c r="G1845" s="6" t="s">
        <v>18</v>
      </c>
    </row>
    <row r="1846" spans="1:7" x14ac:dyDescent="0.3">
      <c r="A1846" s="2" t="s">
        <v>2327</v>
      </c>
      <c r="B1846" s="2" t="s">
        <v>2328</v>
      </c>
      <c r="C1846" s="6" t="s">
        <v>2329</v>
      </c>
      <c r="D1846" s="1">
        <v>45443</v>
      </c>
      <c r="E1846" s="4">
        <v>469.45</v>
      </c>
      <c r="F1846" s="3">
        <v>1</v>
      </c>
      <c r="G1846" s="6" t="s">
        <v>38</v>
      </c>
    </row>
    <row r="1847" spans="1:7" x14ac:dyDescent="0.3">
      <c r="A1847" s="2" t="s">
        <v>2330</v>
      </c>
      <c r="B1847" s="2" t="s">
        <v>2328</v>
      </c>
      <c r="C1847" s="6" t="s">
        <v>2329</v>
      </c>
      <c r="D1847" s="1">
        <v>45468</v>
      </c>
      <c r="E1847" s="4">
        <v>104.32</v>
      </c>
      <c r="F1847" s="3">
        <v>4</v>
      </c>
      <c r="G1847" s="6" t="s">
        <v>10</v>
      </c>
    </row>
    <row r="1848" spans="1:7" x14ac:dyDescent="0.3">
      <c r="A1848" s="2" t="s">
        <v>2331</v>
      </c>
      <c r="B1848" s="2" t="s">
        <v>2328</v>
      </c>
      <c r="C1848" s="6" t="s">
        <v>2329</v>
      </c>
      <c r="D1848" s="1">
        <v>45640</v>
      </c>
      <c r="E1848" s="4">
        <v>319.20999999999998</v>
      </c>
      <c r="F1848" s="3">
        <v>4</v>
      </c>
      <c r="G1848" s="6" t="s">
        <v>10</v>
      </c>
    </row>
    <row r="1849" spans="1:7" x14ac:dyDescent="0.3">
      <c r="A1849" s="2" t="s">
        <v>2332</v>
      </c>
      <c r="B1849" s="2" t="s">
        <v>2328</v>
      </c>
      <c r="C1849" s="6" t="s">
        <v>2329</v>
      </c>
      <c r="D1849" s="1">
        <v>45517</v>
      </c>
      <c r="E1849" s="4">
        <v>33.9</v>
      </c>
      <c r="F1849" s="3">
        <v>2</v>
      </c>
      <c r="G1849" s="6" t="s">
        <v>26</v>
      </c>
    </row>
    <row r="1850" spans="1:7" x14ac:dyDescent="0.3">
      <c r="A1850" s="2" t="s">
        <v>2333</v>
      </c>
      <c r="B1850" s="2" t="s">
        <v>2328</v>
      </c>
      <c r="C1850" s="6" t="s">
        <v>2329</v>
      </c>
      <c r="D1850" s="1">
        <v>45300</v>
      </c>
      <c r="E1850" s="4">
        <v>319.62</v>
      </c>
      <c r="F1850" s="3">
        <v>4</v>
      </c>
      <c r="G1850" s="6" t="s">
        <v>10</v>
      </c>
    </row>
    <row r="1851" spans="1:7" x14ac:dyDescent="0.3">
      <c r="A1851" s="2" t="s">
        <v>2334</v>
      </c>
      <c r="B1851" s="2" t="s">
        <v>2328</v>
      </c>
      <c r="C1851" s="6" t="s">
        <v>2329</v>
      </c>
      <c r="D1851" s="1">
        <v>45534</v>
      </c>
      <c r="E1851" s="4">
        <v>54.76</v>
      </c>
      <c r="F1851" s="3">
        <v>2</v>
      </c>
      <c r="G1851" s="6" t="s">
        <v>26</v>
      </c>
    </row>
    <row r="1852" spans="1:7" x14ac:dyDescent="0.3">
      <c r="A1852" s="2" t="s">
        <v>2335</v>
      </c>
      <c r="B1852" s="2" t="s">
        <v>2328</v>
      </c>
      <c r="C1852" s="6" t="s">
        <v>2329</v>
      </c>
      <c r="D1852" s="1">
        <v>45554</v>
      </c>
      <c r="E1852" s="4">
        <v>366.45</v>
      </c>
      <c r="F1852" s="3">
        <v>4</v>
      </c>
      <c r="G1852" s="6" t="s">
        <v>15</v>
      </c>
    </row>
    <row r="1853" spans="1:7" x14ac:dyDescent="0.3">
      <c r="A1853" s="2" t="s">
        <v>2336</v>
      </c>
      <c r="B1853" s="2" t="s">
        <v>2328</v>
      </c>
      <c r="C1853" s="6" t="s">
        <v>2329</v>
      </c>
      <c r="D1853" s="1">
        <v>45634</v>
      </c>
      <c r="E1853" s="4">
        <v>100.28</v>
      </c>
      <c r="F1853" s="3">
        <v>3</v>
      </c>
      <c r="G1853" s="6" t="s">
        <v>18</v>
      </c>
    </row>
    <row r="1854" spans="1:7" x14ac:dyDescent="0.3">
      <c r="A1854" s="2" t="s">
        <v>2337</v>
      </c>
      <c r="B1854" s="2" t="s">
        <v>2328</v>
      </c>
      <c r="C1854" s="6" t="s">
        <v>2329</v>
      </c>
      <c r="D1854" s="1">
        <v>45501</v>
      </c>
      <c r="E1854" s="4">
        <v>71.19</v>
      </c>
      <c r="F1854" s="3">
        <v>4</v>
      </c>
      <c r="G1854" s="6" t="s">
        <v>18</v>
      </c>
    </row>
    <row r="1855" spans="1:7" x14ac:dyDescent="0.3">
      <c r="A1855" s="2" t="s">
        <v>2338</v>
      </c>
      <c r="B1855" s="2" t="s">
        <v>2328</v>
      </c>
      <c r="C1855" s="6" t="s">
        <v>2329</v>
      </c>
      <c r="D1855" s="1">
        <v>45435</v>
      </c>
      <c r="E1855" s="4">
        <v>109.4</v>
      </c>
      <c r="F1855" s="3">
        <v>1</v>
      </c>
      <c r="G1855" s="6" t="s">
        <v>10</v>
      </c>
    </row>
    <row r="1856" spans="1:7" x14ac:dyDescent="0.3">
      <c r="A1856" s="2" t="s">
        <v>2339</v>
      </c>
      <c r="B1856" s="2" t="s">
        <v>2340</v>
      </c>
      <c r="C1856" s="6" t="s">
        <v>2341</v>
      </c>
      <c r="D1856" s="1">
        <v>45645</v>
      </c>
      <c r="E1856" s="4">
        <v>144.36000000000001</v>
      </c>
      <c r="F1856" s="3">
        <v>1</v>
      </c>
      <c r="G1856" s="6" t="s">
        <v>26</v>
      </c>
    </row>
    <row r="1857" spans="1:7" x14ac:dyDescent="0.3">
      <c r="A1857" s="2" t="s">
        <v>2342</v>
      </c>
      <c r="B1857" s="2" t="s">
        <v>2340</v>
      </c>
      <c r="C1857" s="6" t="s">
        <v>2341</v>
      </c>
      <c r="D1857" s="1">
        <v>45605</v>
      </c>
      <c r="E1857" s="4">
        <v>137.6</v>
      </c>
      <c r="F1857" s="3">
        <v>4</v>
      </c>
      <c r="G1857" s="6" t="s">
        <v>15</v>
      </c>
    </row>
    <row r="1858" spans="1:7" x14ac:dyDescent="0.3">
      <c r="A1858" s="2" t="s">
        <v>2343</v>
      </c>
      <c r="B1858" s="2" t="s">
        <v>2340</v>
      </c>
      <c r="C1858" s="6" t="s">
        <v>2341</v>
      </c>
      <c r="D1858" s="1">
        <v>45626</v>
      </c>
      <c r="E1858" s="4">
        <v>373.43</v>
      </c>
      <c r="F1858" s="3">
        <v>2</v>
      </c>
      <c r="G1858" s="6" t="s">
        <v>10</v>
      </c>
    </row>
    <row r="1859" spans="1:7" x14ac:dyDescent="0.3">
      <c r="A1859" s="2" t="s">
        <v>2344</v>
      </c>
      <c r="B1859" s="2" t="s">
        <v>2340</v>
      </c>
      <c r="C1859" s="6" t="s">
        <v>2341</v>
      </c>
      <c r="D1859" s="1">
        <v>45561</v>
      </c>
      <c r="E1859" s="4">
        <v>347.81</v>
      </c>
      <c r="F1859" s="3">
        <v>3</v>
      </c>
      <c r="G1859" s="6" t="s">
        <v>38</v>
      </c>
    </row>
    <row r="1860" spans="1:7" x14ac:dyDescent="0.3">
      <c r="A1860" s="2" t="s">
        <v>2345</v>
      </c>
      <c r="B1860" s="2" t="s">
        <v>2340</v>
      </c>
      <c r="C1860" s="6" t="s">
        <v>2341</v>
      </c>
      <c r="D1860" s="1">
        <v>45612</v>
      </c>
      <c r="E1860" s="4">
        <v>73.63</v>
      </c>
      <c r="F1860" s="3">
        <v>1</v>
      </c>
      <c r="G1860" s="6" t="s">
        <v>38</v>
      </c>
    </row>
    <row r="1861" spans="1:7" x14ac:dyDescent="0.3">
      <c r="A1861" s="2" t="s">
        <v>2346</v>
      </c>
      <c r="B1861" s="2" t="s">
        <v>2340</v>
      </c>
      <c r="C1861" s="6" t="s">
        <v>2341</v>
      </c>
      <c r="D1861" s="1">
        <v>45581</v>
      </c>
      <c r="E1861" s="4">
        <v>481.74</v>
      </c>
      <c r="F1861" s="3">
        <v>2</v>
      </c>
      <c r="G1861" s="6" t="s">
        <v>26</v>
      </c>
    </row>
    <row r="1862" spans="1:7" x14ac:dyDescent="0.3">
      <c r="A1862" s="2" t="s">
        <v>2347</v>
      </c>
      <c r="B1862" s="2" t="s">
        <v>2340</v>
      </c>
      <c r="C1862" s="6" t="s">
        <v>2341</v>
      </c>
      <c r="D1862" s="1">
        <v>45606</v>
      </c>
      <c r="E1862" s="4">
        <v>178.22</v>
      </c>
      <c r="F1862" s="3">
        <v>3</v>
      </c>
      <c r="G1862" s="6" t="s">
        <v>10</v>
      </c>
    </row>
    <row r="1863" spans="1:7" x14ac:dyDescent="0.3">
      <c r="A1863" s="2" t="s">
        <v>2348</v>
      </c>
      <c r="B1863" s="2" t="s">
        <v>2340</v>
      </c>
      <c r="C1863" s="6" t="s">
        <v>2341</v>
      </c>
      <c r="D1863" s="1">
        <v>45560</v>
      </c>
      <c r="E1863" s="4">
        <v>293.58999999999997</v>
      </c>
      <c r="F1863" s="3">
        <v>1</v>
      </c>
      <c r="G1863" s="6" t="s">
        <v>18</v>
      </c>
    </row>
    <row r="1864" spans="1:7" x14ac:dyDescent="0.3">
      <c r="A1864" s="2" t="s">
        <v>2349</v>
      </c>
      <c r="B1864" s="2" t="s">
        <v>2340</v>
      </c>
      <c r="C1864" s="6" t="s">
        <v>2341</v>
      </c>
      <c r="D1864" s="1">
        <v>45620</v>
      </c>
      <c r="E1864" s="4">
        <v>44.69</v>
      </c>
      <c r="F1864" s="3">
        <v>3</v>
      </c>
      <c r="G1864" s="6" t="s">
        <v>26</v>
      </c>
    </row>
    <row r="1865" spans="1:7" x14ac:dyDescent="0.3">
      <c r="A1865" s="2" t="s">
        <v>2350</v>
      </c>
      <c r="B1865" s="2" t="s">
        <v>2351</v>
      </c>
      <c r="C1865" s="6" t="s">
        <v>2352</v>
      </c>
      <c r="D1865" s="1">
        <v>45573</v>
      </c>
      <c r="E1865" s="4">
        <v>376.29</v>
      </c>
      <c r="F1865" s="3">
        <v>1</v>
      </c>
      <c r="G1865" s="6" t="s">
        <v>15</v>
      </c>
    </row>
    <row r="1866" spans="1:7" x14ac:dyDescent="0.3">
      <c r="A1866" s="2" t="s">
        <v>2353</v>
      </c>
      <c r="B1866" s="2" t="s">
        <v>2351</v>
      </c>
      <c r="C1866" s="6" t="s">
        <v>2352</v>
      </c>
      <c r="D1866" s="1">
        <v>45616</v>
      </c>
      <c r="E1866" s="4">
        <v>163.94</v>
      </c>
      <c r="F1866" s="3">
        <v>1</v>
      </c>
      <c r="G1866" s="6" t="s">
        <v>38</v>
      </c>
    </row>
    <row r="1867" spans="1:7" x14ac:dyDescent="0.3">
      <c r="A1867" s="2" t="s">
        <v>2354</v>
      </c>
      <c r="B1867" s="2" t="s">
        <v>2355</v>
      </c>
      <c r="C1867" s="6" t="s">
        <v>2356</v>
      </c>
      <c r="D1867" s="1">
        <v>45254</v>
      </c>
      <c r="E1867" s="4">
        <v>91.59</v>
      </c>
      <c r="F1867" s="3">
        <v>3</v>
      </c>
      <c r="G1867" s="6" t="s">
        <v>18</v>
      </c>
    </row>
    <row r="1868" spans="1:7" x14ac:dyDescent="0.3">
      <c r="A1868" s="2" t="s">
        <v>2357</v>
      </c>
      <c r="B1868" s="2" t="s">
        <v>2355</v>
      </c>
      <c r="C1868" s="6" t="s">
        <v>2356</v>
      </c>
      <c r="D1868" s="1">
        <v>45480</v>
      </c>
      <c r="E1868" s="4">
        <v>116.69</v>
      </c>
      <c r="F1868" s="3">
        <v>1</v>
      </c>
      <c r="G1868" s="6" t="s">
        <v>15</v>
      </c>
    </row>
    <row r="1869" spans="1:7" x14ac:dyDescent="0.3">
      <c r="A1869" s="2" t="s">
        <v>2358</v>
      </c>
      <c r="B1869" s="2" t="s">
        <v>2355</v>
      </c>
      <c r="C1869" s="6" t="s">
        <v>2356</v>
      </c>
      <c r="D1869" s="1">
        <v>45559</v>
      </c>
      <c r="E1869" s="4">
        <v>246.95</v>
      </c>
      <c r="F1869" s="3">
        <v>3</v>
      </c>
      <c r="G1869" s="6" t="s">
        <v>26</v>
      </c>
    </row>
    <row r="1870" spans="1:7" x14ac:dyDescent="0.3">
      <c r="A1870" s="2" t="s">
        <v>2359</v>
      </c>
      <c r="B1870" s="2" t="s">
        <v>2355</v>
      </c>
      <c r="C1870" s="6" t="s">
        <v>2356</v>
      </c>
      <c r="D1870" s="1">
        <v>45173</v>
      </c>
      <c r="E1870" s="4">
        <v>255.3</v>
      </c>
      <c r="F1870" s="3">
        <v>1</v>
      </c>
      <c r="G1870" s="6" t="s">
        <v>12</v>
      </c>
    </row>
    <row r="1871" spans="1:7" x14ac:dyDescent="0.3">
      <c r="A1871" s="2" t="s">
        <v>2360</v>
      </c>
      <c r="B1871" s="2" t="s">
        <v>2361</v>
      </c>
      <c r="C1871" s="6" t="s">
        <v>2362</v>
      </c>
      <c r="D1871" s="1">
        <v>45564</v>
      </c>
      <c r="E1871" s="4">
        <v>291.23</v>
      </c>
      <c r="F1871" s="3">
        <v>3</v>
      </c>
      <c r="G1871" s="6" t="s">
        <v>26</v>
      </c>
    </row>
    <row r="1872" spans="1:7" x14ac:dyDescent="0.3">
      <c r="A1872" s="2" t="s">
        <v>2363</v>
      </c>
      <c r="B1872" s="2" t="s">
        <v>2361</v>
      </c>
      <c r="C1872" s="6" t="s">
        <v>2362</v>
      </c>
      <c r="D1872" s="1">
        <v>45613</v>
      </c>
      <c r="E1872" s="4">
        <v>379.87</v>
      </c>
      <c r="F1872" s="3">
        <v>4</v>
      </c>
      <c r="G1872" s="6" t="s">
        <v>12</v>
      </c>
    </row>
    <row r="1873" spans="1:7" x14ac:dyDescent="0.3">
      <c r="A1873" s="2" t="s">
        <v>2364</v>
      </c>
      <c r="B1873" s="2" t="s">
        <v>2361</v>
      </c>
      <c r="C1873" s="6" t="s">
        <v>2362</v>
      </c>
      <c r="D1873" s="1">
        <v>45463</v>
      </c>
      <c r="E1873" s="4">
        <v>464.73</v>
      </c>
      <c r="F1873" s="3">
        <v>2</v>
      </c>
      <c r="G1873" s="6" t="s">
        <v>10</v>
      </c>
    </row>
    <row r="1874" spans="1:7" x14ac:dyDescent="0.3">
      <c r="A1874" s="2" t="s">
        <v>2365</v>
      </c>
      <c r="B1874" s="2" t="s">
        <v>2366</v>
      </c>
      <c r="C1874" s="6" t="s">
        <v>2367</v>
      </c>
      <c r="D1874" s="1">
        <v>45248</v>
      </c>
      <c r="E1874" s="4">
        <v>454.01</v>
      </c>
      <c r="F1874" s="3">
        <v>3</v>
      </c>
      <c r="G1874" s="6" t="s">
        <v>26</v>
      </c>
    </row>
    <row r="1875" spans="1:7" x14ac:dyDescent="0.3">
      <c r="A1875" s="2" t="s">
        <v>2368</v>
      </c>
      <c r="B1875" s="2" t="s">
        <v>2366</v>
      </c>
      <c r="C1875" s="6" t="s">
        <v>2367</v>
      </c>
      <c r="D1875" s="1">
        <v>45600</v>
      </c>
      <c r="E1875" s="4">
        <v>133.63999999999999</v>
      </c>
      <c r="F1875" s="3">
        <v>4</v>
      </c>
      <c r="G1875" s="6" t="s">
        <v>12</v>
      </c>
    </row>
    <row r="1876" spans="1:7" x14ac:dyDescent="0.3">
      <c r="A1876" s="2" t="s">
        <v>2369</v>
      </c>
      <c r="B1876" s="2" t="s">
        <v>2366</v>
      </c>
      <c r="C1876" s="6" t="s">
        <v>2367</v>
      </c>
      <c r="D1876" s="1">
        <v>45152</v>
      </c>
      <c r="E1876" s="4">
        <v>440.59</v>
      </c>
      <c r="F1876" s="3">
        <v>1</v>
      </c>
      <c r="G1876" s="6" t="s">
        <v>38</v>
      </c>
    </row>
    <row r="1877" spans="1:7" x14ac:dyDescent="0.3">
      <c r="A1877" s="2" t="s">
        <v>2370</v>
      </c>
      <c r="B1877" s="2" t="s">
        <v>2366</v>
      </c>
      <c r="C1877" s="6" t="s">
        <v>2367</v>
      </c>
      <c r="D1877" s="1">
        <v>45321</v>
      </c>
      <c r="E1877" s="4">
        <v>331.72</v>
      </c>
      <c r="F1877" s="3">
        <v>3</v>
      </c>
      <c r="G1877" s="6" t="s">
        <v>38</v>
      </c>
    </row>
    <row r="1878" spans="1:7" x14ac:dyDescent="0.3">
      <c r="A1878" s="2" t="s">
        <v>2371</v>
      </c>
      <c r="B1878" s="2" t="s">
        <v>2366</v>
      </c>
      <c r="C1878" s="6" t="s">
        <v>2367</v>
      </c>
      <c r="D1878" s="1">
        <v>45600</v>
      </c>
      <c r="E1878" s="4">
        <v>119.31</v>
      </c>
      <c r="F1878" s="3">
        <v>2</v>
      </c>
      <c r="G1878" s="6" t="s">
        <v>15</v>
      </c>
    </row>
    <row r="1879" spans="1:7" x14ac:dyDescent="0.3">
      <c r="A1879" s="2" t="s">
        <v>2372</v>
      </c>
      <c r="B1879" s="2" t="s">
        <v>2366</v>
      </c>
      <c r="C1879" s="6" t="s">
        <v>2367</v>
      </c>
      <c r="D1879" s="1">
        <v>45262</v>
      </c>
      <c r="E1879" s="4">
        <v>473.4</v>
      </c>
      <c r="F1879" s="3">
        <v>1</v>
      </c>
      <c r="G1879" s="6" t="s">
        <v>15</v>
      </c>
    </row>
    <row r="1880" spans="1:7" x14ac:dyDescent="0.3">
      <c r="A1880" s="2" t="s">
        <v>2373</v>
      </c>
      <c r="B1880" s="2" t="s">
        <v>2366</v>
      </c>
      <c r="C1880" s="6" t="s">
        <v>2367</v>
      </c>
      <c r="D1880" s="1">
        <v>45146</v>
      </c>
      <c r="E1880" s="4">
        <v>239.84</v>
      </c>
      <c r="F1880" s="3">
        <v>4</v>
      </c>
      <c r="G1880" s="6" t="s">
        <v>12</v>
      </c>
    </row>
    <row r="1881" spans="1:7" x14ac:dyDescent="0.3">
      <c r="A1881" s="2" t="s">
        <v>2374</v>
      </c>
      <c r="B1881" s="2" t="s">
        <v>2366</v>
      </c>
      <c r="C1881" s="6" t="s">
        <v>2367</v>
      </c>
      <c r="D1881" s="1">
        <v>45431</v>
      </c>
      <c r="E1881" s="4">
        <v>55.58</v>
      </c>
      <c r="F1881" s="3">
        <v>3</v>
      </c>
      <c r="G1881" s="6" t="s">
        <v>38</v>
      </c>
    </row>
    <row r="1882" spans="1:7" x14ac:dyDescent="0.3">
      <c r="A1882" s="2" t="s">
        <v>2375</v>
      </c>
      <c r="B1882" s="2" t="s">
        <v>2366</v>
      </c>
      <c r="C1882" s="6" t="s">
        <v>2367</v>
      </c>
      <c r="D1882" s="1">
        <v>45362</v>
      </c>
      <c r="E1882" s="4">
        <v>262.24</v>
      </c>
      <c r="F1882" s="3">
        <v>1</v>
      </c>
      <c r="G1882" s="6" t="s">
        <v>12</v>
      </c>
    </row>
    <row r="1883" spans="1:7" x14ac:dyDescent="0.3">
      <c r="A1883" s="2" t="s">
        <v>2376</v>
      </c>
      <c r="B1883" s="2" t="s">
        <v>2366</v>
      </c>
      <c r="C1883" s="6" t="s">
        <v>2367</v>
      </c>
      <c r="D1883" s="1">
        <v>45470</v>
      </c>
      <c r="E1883" s="4">
        <v>79.28</v>
      </c>
      <c r="F1883" s="3">
        <v>4</v>
      </c>
      <c r="G1883" s="6" t="s">
        <v>18</v>
      </c>
    </row>
    <row r="1884" spans="1:7" x14ac:dyDescent="0.3">
      <c r="A1884" s="2" t="s">
        <v>2377</v>
      </c>
      <c r="B1884" s="2" t="s">
        <v>2366</v>
      </c>
      <c r="C1884" s="6" t="s">
        <v>2367</v>
      </c>
      <c r="D1884" s="1">
        <v>45252</v>
      </c>
      <c r="E1884" s="4">
        <v>369.48</v>
      </c>
      <c r="F1884" s="3">
        <v>1</v>
      </c>
      <c r="G1884" s="6" t="s">
        <v>10</v>
      </c>
    </row>
    <row r="1885" spans="1:7" x14ac:dyDescent="0.3">
      <c r="A1885" s="2" t="s">
        <v>2378</v>
      </c>
      <c r="B1885" s="2" t="s">
        <v>2379</v>
      </c>
      <c r="C1885" s="6" t="s">
        <v>2380</v>
      </c>
      <c r="D1885" s="1">
        <v>45019</v>
      </c>
      <c r="E1885" s="4">
        <v>462.63</v>
      </c>
      <c r="F1885" s="3">
        <v>2</v>
      </c>
      <c r="G1885" s="6" t="s">
        <v>10</v>
      </c>
    </row>
    <row r="1886" spans="1:7" x14ac:dyDescent="0.3">
      <c r="A1886" s="2" t="s">
        <v>2381</v>
      </c>
      <c r="B1886" s="2" t="s">
        <v>2379</v>
      </c>
      <c r="C1886" s="6" t="s">
        <v>2380</v>
      </c>
      <c r="D1886" s="1">
        <v>45385</v>
      </c>
      <c r="E1886" s="4">
        <v>71.06</v>
      </c>
      <c r="F1886" s="3">
        <v>2</v>
      </c>
      <c r="G1886" s="6" t="s">
        <v>26</v>
      </c>
    </row>
    <row r="1887" spans="1:7" x14ac:dyDescent="0.3">
      <c r="A1887" s="2" t="s">
        <v>2382</v>
      </c>
      <c r="B1887" s="2" t="s">
        <v>2379</v>
      </c>
      <c r="C1887" s="6" t="s">
        <v>2380</v>
      </c>
      <c r="D1887" s="1">
        <v>45017</v>
      </c>
      <c r="E1887" s="4">
        <v>341.79</v>
      </c>
      <c r="F1887" s="3">
        <v>3</v>
      </c>
      <c r="G1887" s="6" t="s">
        <v>15</v>
      </c>
    </row>
    <row r="1888" spans="1:7" x14ac:dyDescent="0.3">
      <c r="A1888" s="2" t="s">
        <v>2383</v>
      </c>
      <c r="B1888" s="2" t="s">
        <v>2379</v>
      </c>
      <c r="C1888" s="6" t="s">
        <v>2380</v>
      </c>
      <c r="D1888" s="1">
        <v>45510</v>
      </c>
      <c r="E1888" s="4">
        <v>140.38999999999999</v>
      </c>
      <c r="F1888" s="3">
        <v>2</v>
      </c>
      <c r="G1888" s="6" t="s">
        <v>18</v>
      </c>
    </row>
    <row r="1889" spans="1:7" x14ac:dyDescent="0.3">
      <c r="A1889" s="2" t="s">
        <v>2384</v>
      </c>
      <c r="B1889" s="2" t="s">
        <v>2385</v>
      </c>
      <c r="C1889" s="6" t="s">
        <v>2386</v>
      </c>
      <c r="D1889" s="1">
        <v>45479</v>
      </c>
      <c r="E1889" s="4">
        <v>289.05</v>
      </c>
      <c r="F1889" s="3">
        <v>3</v>
      </c>
      <c r="G1889" s="6" t="s">
        <v>38</v>
      </c>
    </row>
    <row r="1890" spans="1:7" x14ac:dyDescent="0.3">
      <c r="A1890" s="2" t="s">
        <v>2387</v>
      </c>
      <c r="B1890" s="2" t="s">
        <v>2385</v>
      </c>
      <c r="C1890" s="6" t="s">
        <v>2386</v>
      </c>
      <c r="D1890" s="1">
        <v>45340</v>
      </c>
      <c r="E1890" s="4">
        <v>90.17</v>
      </c>
      <c r="F1890" s="3">
        <v>4</v>
      </c>
      <c r="G1890" s="6" t="s">
        <v>15</v>
      </c>
    </row>
    <row r="1891" spans="1:7" x14ac:dyDescent="0.3">
      <c r="A1891" s="2" t="s">
        <v>2388</v>
      </c>
      <c r="B1891" s="2" t="s">
        <v>2385</v>
      </c>
      <c r="C1891" s="6" t="s">
        <v>2386</v>
      </c>
      <c r="D1891" s="1">
        <v>45529</v>
      </c>
      <c r="E1891" s="4">
        <v>238.84</v>
      </c>
      <c r="F1891" s="3">
        <v>3</v>
      </c>
      <c r="G1891" s="6" t="s">
        <v>38</v>
      </c>
    </row>
    <row r="1892" spans="1:7" x14ac:dyDescent="0.3">
      <c r="A1892" s="2" t="s">
        <v>2389</v>
      </c>
      <c r="B1892" s="2" t="s">
        <v>2385</v>
      </c>
      <c r="C1892" s="6" t="s">
        <v>2386</v>
      </c>
      <c r="D1892" s="1">
        <v>45650</v>
      </c>
      <c r="E1892" s="4">
        <v>74.59</v>
      </c>
      <c r="F1892" s="3">
        <v>4</v>
      </c>
      <c r="G1892" s="6" t="s">
        <v>12</v>
      </c>
    </row>
    <row r="1893" spans="1:7" x14ac:dyDescent="0.3">
      <c r="A1893" s="2" t="s">
        <v>2390</v>
      </c>
      <c r="B1893" s="2" t="s">
        <v>2385</v>
      </c>
      <c r="C1893" s="6" t="s">
        <v>2386</v>
      </c>
      <c r="D1893" s="1">
        <v>45293</v>
      </c>
      <c r="E1893" s="4">
        <v>62.44</v>
      </c>
      <c r="F1893" s="3">
        <v>3</v>
      </c>
      <c r="G1893" s="6" t="s">
        <v>12</v>
      </c>
    </row>
    <row r="1894" spans="1:7" x14ac:dyDescent="0.3">
      <c r="A1894" s="2" t="s">
        <v>2391</v>
      </c>
      <c r="B1894" s="2" t="s">
        <v>2392</v>
      </c>
      <c r="C1894" s="6" t="s">
        <v>2393</v>
      </c>
      <c r="D1894" s="1">
        <v>45421</v>
      </c>
      <c r="E1894" s="4">
        <v>319.01</v>
      </c>
      <c r="F1894" s="3">
        <v>3</v>
      </c>
      <c r="G1894" s="6" t="s">
        <v>18</v>
      </c>
    </row>
    <row r="1895" spans="1:7" x14ac:dyDescent="0.3">
      <c r="A1895" s="2" t="s">
        <v>2394</v>
      </c>
      <c r="B1895" s="2" t="s">
        <v>2392</v>
      </c>
      <c r="C1895" s="6" t="s">
        <v>2393</v>
      </c>
      <c r="D1895" s="1">
        <v>45045</v>
      </c>
      <c r="E1895" s="4">
        <v>162.08000000000001</v>
      </c>
      <c r="F1895" s="3">
        <v>2</v>
      </c>
      <c r="G1895" s="6" t="s">
        <v>38</v>
      </c>
    </row>
    <row r="1896" spans="1:7" x14ac:dyDescent="0.3">
      <c r="A1896" s="2" t="s">
        <v>2395</v>
      </c>
      <c r="B1896" s="2" t="s">
        <v>2392</v>
      </c>
      <c r="C1896" s="6" t="s">
        <v>2393</v>
      </c>
      <c r="D1896" s="1">
        <v>45139</v>
      </c>
      <c r="E1896" s="4">
        <v>230.14</v>
      </c>
      <c r="F1896" s="3">
        <v>1</v>
      </c>
      <c r="G1896" s="6" t="s">
        <v>12</v>
      </c>
    </row>
    <row r="1897" spans="1:7" x14ac:dyDescent="0.3">
      <c r="A1897" s="2" t="s">
        <v>2396</v>
      </c>
      <c r="B1897" s="2" t="s">
        <v>2392</v>
      </c>
      <c r="C1897" s="6" t="s">
        <v>2393</v>
      </c>
      <c r="D1897" s="1">
        <v>45102</v>
      </c>
      <c r="E1897" s="4">
        <v>438.62</v>
      </c>
      <c r="F1897" s="3">
        <v>1</v>
      </c>
      <c r="G1897" s="6" t="s">
        <v>38</v>
      </c>
    </row>
    <row r="1898" spans="1:7" x14ac:dyDescent="0.3">
      <c r="A1898" s="2" t="s">
        <v>2397</v>
      </c>
      <c r="B1898" s="2" t="s">
        <v>2392</v>
      </c>
      <c r="C1898" s="6" t="s">
        <v>2393</v>
      </c>
      <c r="D1898" s="1">
        <v>45133</v>
      </c>
      <c r="E1898" s="4">
        <v>439.09</v>
      </c>
      <c r="F1898" s="3">
        <v>1</v>
      </c>
      <c r="G1898" s="6" t="s">
        <v>18</v>
      </c>
    </row>
    <row r="1899" spans="1:7" x14ac:dyDescent="0.3">
      <c r="A1899" s="2" t="s">
        <v>2398</v>
      </c>
      <c r="B1899" s="2" t="s">
        <v>2399</v>
      </c>
      <c r="C1899" s="6" t="s">
        <v>2400</v>
      </c>
      <c r="D1899" s="1">
        <v>45656</v>
      </c>
      <c r="E1899" s="4">
        <v>164.7</v>
      </c>
      <c r="F1899" s="3">
        <v>1</v>
      </c>
      <c r="G1899" s="6" t="s">
        <v>26</v>
      </c>
    </row>
    <row r="1900" spans="1:7" x14ac:dyDescent="0.3">
      <c r="A1900" s="2" t="s">
        <v>2401</v>
      </c>
      <c r="B1900" s="2" t="s">
        <v>2399</v>
      </c>
      <c r="C1900" s="6" t="s">
        <v>2400</v>
      </c>
      <c r="D1900" s="1">
        <v>45592</v>
      </c>
      <c r="E1900" s="4">
        <v>193.91</v>
      </c>
      <c r="F1900" s="3">
        <v>2</v>
      </c>
      <c r="G1900" s="6" t="s">
        <v>26</v>
      </c>
    </row>
    <row r="1901" spans="1:7" x14ac:dyDescent="0.3">
      <c r="A1901" s="2" t="s">
        <v>2402</v>
      </c>
      <c r="B1901" s="2" t="s">
        <v>2399</v>
      </c>
      <c r="C1901" s="6" t="s">
        <v>2400</v>
      </c>
      <c r="D1901" s="1">
        <v>45588</v>
      </c>
      <c r="E1901" s="4">
        <v>329.62</v>
      </c>
      <c r="F1901" s="3">
        <v>2</v>
      </c>
      <c r="G1901" s="6" t="s">
        <v>12</v>
      </c>
    </row>
    <row r="1902" spans="1:7" x14ac:dyDescent="0.3">
      <c r="A1902" s="2" t="s">
        <v>2403</v>
      </c>
      <c r="B1902" s="2" t="s">
        <v>2399</v>
      </c>
      <c r="C1902" s="6" t="s">
        <v>2400</v>
      </c>
      <c r="D1902" s="1">
        <v>45575</v>
      </c>
      <c r="E1902" s="4">
        <v>95.24</v>
      </c>
      <c r="F1902" s="3">
        <v>1</v>
      </c>
      <c r="G1902" s="6" t="s">
        <v>18</v>
      </c>
    </row>
    <row r="1903" spans="1:7" x14ac:dyDescent="0.3">
      <c r="A1903" s="2" t="s">
        <v>2404</v>
      </c>
      <c r="B1903" s="2" t="s">
        <v>2399</v>
      </c>
      <c r="C1903" s="6" t="s">
        <v>2400</v>
      </c>
      <c r="D1903" s="1">
        <v>45619</v>
      </c>
      <c r="E1903" s="4">
        <v>455.69</v>
      </c>
      <c r="F1903" s="3">
        <v>2</v>
      </c>
      <c r="G1903" s="6" t="s">
        <v>15</v>
      </c>
    </row>
    <row r="1904" spans="1:7" x14ac:dyDescent="0.3">
      <c r="A1904" s="2" t="s">
        <v>2405</v>
      </c>
      <c r="B1904" s="2" t="s">
        <v>2399</v>
      </c>
      <c r="C1904" s="6" t="s">
        <v>2400</v>
      </c>
      <c r="D1904" s="1">
        <v>45625</v>
      </c>
      <c r="E1904" s="4">
        <v>499.68</v>
      </c>
      <c r="F1904" s="3">
        <v>1</v>
      </c>
      <c r="G1904" s="6" t="s">
        <v>18</v>
      </c>
    </row>
    <row r="1905" spans="1:7" x14ac:dyDescent="0.3">
      <c r="A1905" s="2" t="s">
        <v>2406</v>
      </c>
      <c r="B1905" s="2" t="s">
        <v>2399</v>
      </c>
      <c r="C1905" s="6" t="s">
        <v>2400</v>
      </c>
      <c r="D1905" s="1">
        <v>45632</v>
      </c>
      <c r="E1905" s="4">
        <v>334.8</v>
      </c>
      <c r="F1905" s="3">
        <v>4</v>
      </c>
      <c r="G1905" s="6" t="s">
        <v>15</v>
      </c>
    </row>
    <row r="1906" spans="1:7" x14ac:dyDescent="0.3">
      <c r="A1906" s="2" t="s">
        <v>2407</v>
      </c>
      <c r="B1906" s="2" t="s">
        <v>2399</v>
      </c>
      <c r="C1906" s="6" t="s">
        <v>2400</v>
      </c>
      <c r="D1906" s="1">
        <v>45550</v>
      </c>
      <c r="E1906" s="4">
        <v>51.14</v>
      </c>
      <c r="F1906" s="3">
        <v>4</v>
      </c>
      <c r="G1906" s="6" t="s">
        <v>26</v>
      </c>
    </row>
    <row r="1907" spans="1:7" x14ac:dyDescent="0.3">
      <c r="A1907" s="2" t="s">
        <v>2408</v>
      </c>
      <c r="B1907" s="2" t="s">
        <v>2399</v>
      </c>
      <c r="C1907" s="6" t="s">
        <v>2400</v>
      </c>
      <c r="D1907" s="1">
        <v>45646</v>
      </c>
      <c r="E1907" s="4">
        <v>76.52</v>
      </c>
      <c r="F1907" s="3">
        <v>1</v>
      </c>
      <c r="G1907" s="6" t="s">
        <v>10</v>
      </c>
    </row>
    <row r="1908" spans="1:7" x14ac:dyDescent="0.3">
      <c r="A1908" s="2" t="s">
        <v>2409</v>
      </c>
      <c r="B1908" s="2" t="s">
        <v>2399</v>
      </c>
      <c r="C1908" s="6" t="s">
        <v>2400</v>
      </c>
      <c r="D1908" s="1">
        <v>45545</v>
      </c>
      <c r="E1908" s="4">
        <v>369.83</v>
      </c>
      <c r="F1908" s="3">
        <v>2</v>
      </c>
      <c r="G1908" s="6" t="s">
        <v>12</v>
      </c>
    </row>
    <row r="1909" spans="1:7" x14ac:dyDescent="0.3">
      <c r="A1909" s="2" t="s">
        <v>2410</v>
      </c>
      <c r="B1909" s="2" t="s">
        <v>2399</v>
      </c>
      <c r="C1909" s="6" t="s">
        <v>2400</v>
      </c>
      <c r="D1909" s="1">
        <v>45627</v>
      </c>
      <c r="E1909" s="4">
        <v>143.13999999999999</v>
      </c>
      <c r="F1909" s="3">
        <v>2</v>
      </c>
      <c r="G1909" s="6" t="s">
        <v>12</v>
      </c>
    </row>
    <row r="1910" spans="1:7" x14ac:dyDescent="0.3">
      <c r="A1910" s="2" t="s">
        <v>2411</v>
      </c>
      <c r="B1910" s="2" t="s">
        <v>2399</v>
      </c>
      <c r="C1910" s="6" t="s">
        <v>2400</v>
      </c>
      <c r="D1910" s="1">
        <v>45543</v>
      </c>
      <c r="E1910" s="4">
        <v>55.34</v>
      </c>
      <c r="F1910" s="3">
        <v>2</v>
      </c>
      <c r="G1910" s="6" t="s">
        <v>26</v>
      </c>
    </row>
    <row r="1911" spans="1:7" x14ac:dyDescent="0.3">
      <c r="A1911" s="2" t="s">
        <v>2412</v>
      </c>
      <c r="B1911" s="2" t="s">
        <v>2399</v>
      </c>
      <c r="C1911" s="6" t="s">
        <v>2400</v>
      </c>
      <c r="D1911" s="1">
        <v>45516</v>
      </c>
      <c r="E1911" s="4">
        <v>318.54000000000002</v>
      </c>
      <c r="F1911" s="3">
        <v>3</v>
      </c>
      <c r="G1911" s="6" t="s">
        <v>38</v>
      </c>
    </row>
    <row r="1912" spans="1:7" x14ac:dyDescent="0.3">
      <c r="A1912" s="2" t="s">
        <v>2413</v>
      </c>
      <c r="B1912" s="2" t="s">
        <v>2414</v>
      </c>
      <c r="C1912" s="6" t="s">
        <v>2415</v>
      </c>
      <c r="D1912" s="1">
        <v>45490</v>
      </c>
      <c r="E1912" s="4">
        <v>412.22</v>
      </c>
      <c r="F1912" s="3">
        <v>2</v>
      </c>
      <c r="G1912" s="6" t="s">
        <v>38</v>
      </c>
    </row>
    <row r="1913" spans="1:7" x14ac:dyDescent="0.3">
      <c r="A1913" s="2" t="s">
        <v>2416</v>
      </c>
      <c r="B1913" s="2" t="s">
        <v>2414</v>
      </c>
      <c r="C1913" s="6" t="s">
        <v>2415</v>
      </c>
      <c r="D1913" s="1">
        <v>45573</v>
      </c>
      <c r="E1913" s="4">
        <v>37.75</v>
      </c>
      <c r="F1913" s="3">
        <v>3</v>
      </c>
      <c r="G1913" s="6" t="s">
        <v>15</v>
      </c>
    </row>
    <row r="1914" spans="1:7" x14ac:dyDescent="0.3">
      <c r="A1914" s="2" t="s">
        <v>2417</v>
      </c>
      <c r="B1914" s="2" t="s">
        <v>2414</v>
      </c>
      <c r="C1914" s="6" t="s">
        <v>2415</v>
      </c>
      <c r="D1914" s="1">
        <v>45457</v>
      </c>
      <c r="E1914" s="4">
        <v>129.41999999999999</v>
      </c>
      <c r="F1914" s="3">
        <v>2</v>
      </c>
      <c r="G1914" s="6" t="s">
        <v>10</v>
      </c>
    </row>
    <row r="1915" spans="1:7" x14ac:dyDescent="0.3">
      <c r="A1915" s="2" t="s">
        <v>2418</v>
      </c>
      <c r="B1915" s="2" t="s">
        <v>2414</v>
      </c>
      <c r="C1915" s="6" t="s">
        <v>2415</v>
      </c>
      <c r="D1915" s="1">
        <v>45396</v>
      </c>
      <c r="E1915" s="4">
        <v>228.48</v>
      </c>
      <c r="F1915" s="3">
        <v>2</v>
      </c>
      <c r="G1915" s="6" t="s">
        <v>15</v>
      </c>
    </row>
    <row r="1916" spans="1:7" x14ac:dyDescent="0.3">
      <c r="A1916" s="2" t="s">
        <v>2419</v>
      </c>
      <c r="B1916" s="2" t="s">
        <v>2414</v>
      </c>
      <c r="C1916" s="6" t="s">
        <v>2415</v>
      </c>
      <c r="D1916" s="1">
        <v>45583</v>
      </c>
      <c r="E1916" s="4">
        <v>492.03</v>
      </c>
      <c r="F1916" s="3">
        <v>2</v>
      </c>
      <c r="G1916" s="6" t="s">
        <v>38</v>
      </c>
    </row>
    <row r="1917" spans="1:7" x14ac:dyDescent="0.3">
      <c r="A1917" s="2" t="s">
        <v>2420</v>
      </c>
      <c r="B1917" s="2" t="s">
        <v>2414</v>
      </c>
      <c r="C1917" s="6" t="s">
        <v>2415</v>
      </c>
      <c r="D1917" s="1">
        <v>45613</v>
      </c>
      <c r="E1917" s="4">
        <v>44.64</v>
      </c>
      <c r="F1917" s="3">
        <v>2</v>
      </c>
      <c r="G1917" s="6" t="s">
        <v>18</v>
      </c>
    </row>
    <row r="1918" spans="1:7" x14ac:dyDescent="0.3">
      <c r="A1918" s="2" t="s">
        <v>2421</v>
      </c>
      <c r="B1918" s="2" t="s">
        <v>2414</v>
      </c>
      <c r="C1918" s="6" t="s">
        <v>2415</v>
      </c>
      <c r="D1918" s="1">
        <v>45382</v>
      </c>
      <c r="E1918" s="4">
        <v>156.94</v>
      </c>
      <c r="F1918" s="3">
        <v>2</v>
      </c>
      <c r="G1918" s="6" t="s">
        <v>12</v>
      </c>
    </row>
    <row r="1919" spans="1:7" x14ac:dyDescent="0.3">
      <c r="A1919" s="2" t="s">
        <v>2422</v>
      </c>
      <c r="B1919" s="2" t="s">
        <v>2414</v>
      </c>
      <c r="C1919" s="6" t="s">
        <v>2415</v>
      </c>
      <c r="D1919" s="1">
        <v>45640</v>
      </c>
      <c r="E1919" s="4">
        <v>409.87</v>
      </c>
      <c r="F1919" s="3">
        <v>2</v>
      </c>
      <c r="G1919" s="6" t="s">
        <v>10</v>
      </c>
    </row>
    <row r="1920" spans="1:7" x14ac:dyDescent="0.3">
      <c r="A1920" s="2" t="s">
        <v>2423</v>
      </c>
      <c r="B1920" s="2" t="s">
        <v>2414</v>
      </c>
      <c r="C1920" s="6" t="s">
        <v>2415</v>
      </c>
      <c r="D1920" s="1">
        <v>45626</v>
      </c>
      <c r="E1920" s="4">
        <v>201.24</v>
      </c>
      <c r="F1920" s="3">
        <v>2</v>
      </c>
      <c r="G1920" s="6" t="s">
        <v>38</v>
      </c>
    </row>
    <row r="1921" spans="1:7" x14ac:dyDescent="0.3">
      <c r="A1921" s="2" t="s">
        <v>2424</v>
      </c>
      <c r="B1921" s="2" t="s">
        <v>2414</v>
      </c>
      <c r="C1921" s="6" t="s">
        <v>2415</v>
      </c>
      <c r="D1921" s="1">
        <v>45531</v>
      </c>
      <c r="E1921" s="4">
        <v>211.36</v>
      </c>
      <c r="F1921" s="3">
        <v>3</v>
      </c>
      <c r="G1921" s="6" t="s">
        <v>26</v>
      </c>
    </row>
    <row r="1922" spans="1:7" x14ac:dyDescent="0.3">
      <c r="A1922" s="2" t="s">
        <v>2425</v>
      </c>
      <c r="B1922" s="2" t="s">
        <v>2414</v>
      </c>
      <c r="C1922" s="6" t="s">
        <v>2415</v>
      </c>
      <c r="D1922" s="1">
        <v>45473</v>
      </c>
      <c r="E1922" s="4">
        <v>80.709999999999994</v>
      </c>
      <c r="F1922" s="3">
        <v>2</v>
      </c>
      <c r="G1922" s="6" t="s">
        <v>15</v>
      </c>
    </row>
    <row r="1923" spans="1:7" x14ac:dyDescent="0.3">
      <c r="A1923" s="2" t="s">
        <v>2426</v>
      </c>
      <c r="B1923" s="2" t="s">
        <v>2414</v>
      </c>
      <c r="C1923" s="6" t="s">
        <v>2415</v>
      </c>
      <c r="D1923" s="1">
        <v>45371</v>
      </c>
      <c r="E1923" s="4">
        <v>438.03</v>
      </c>
      <c r="F1923" s="3">
        <v>2</v>
      </c>
      <c r="G1923" s="6" t="s">
        <v>12</v>
      </c>
    </row>
    <row r="1924" spans="1:7" x14ac:dyDescent="0.3">
      <c r="A1924" s="2" t="s">
        <v>2427</v>
      </c>
      <c r="B1924" s="2" t="s">
        <v>2414</v>
      </c>
      <c r="C1924" s="6" t="s">
        <v>2415</v>
      </c>
      <c r="D1924" s="1">
        <v>45441</v>
      </c>
      <c r="E1924" s="4">
        <v>179.18</v>
      </c>
      <c r="F1924" s="3">
        <v>4</v>
      </c>
      <c r="G1924" s="6" t="s">
        <v>10</v>
      </c>
    </row>
    <row r="1925" spans="1:7" x14ac:dyDescent="0.3">
      <c r="A1925" s="2" t="s">
        <v>2428</v>
      </c>
      <c r="B1925" s="2" t="s">
        <v>2429</v>
      </c>
      <c r="C1925" s="6" t="s">
        <v>2430</v>
      </c>
      <c r="D1925" s="1">
        <v>45461</v>
      </c>
      <c r="E1925" s="4">
        <v>89.63</v>
      </c>
      <c r="F1925" s="3">
        <v>3</v>
      </c>
      <c r="G1925" s="6" t="s">
        <v>38</v>
      </c>
    </row>
    <row r="1926" spans="1:7" x14ac:dyDescent="0.3">
      <c r="A1926" s="2" t="s">
        <v>2431</v>
      </c>
      <c r="B1926" s="2" t="s">
        <v>2429</v>
      </c>
      <c r="C1926" s="6" t="s">
        <v>2430</v>
      </c>
      <c r="D1926" s="1">
        <v>45639</v>
      </c>
      <c r="E1926" s="4">
        <v>361.51</v>
      </c>
      <c r="F1926" s="3">
        <v>1</v>
      </c>
      <c r="G1926" s="6" t="s">
        <v>12</v>
      </c>
    </row>
    <row r="1927" spans="1:7" x14ac:dyDescent="0.3">
      <c r="A1927" s="2" t="s">
        <v>2432</v>
      </c>
      <c r="B1927" s="2" t="s">
        <v>2429</v>
      </c>
      <c r="C1927" s="6" t="s">
        <v>2430</v>
      </c>
      <c r="D1927" s="1">
        <v>45570</v>
      </c>
      <c r="E1927" s="4">
        <v>19.36</v>
      </c>
      <c r="F1927" s="3">
        <v>3</v>
      </c>
      <c r="G1927" s="6" t="s">
        <v>12</v>
      </c>
    </row>
    <row r="1928" spans="1:7" x14ac:dyDescent="0.3">
      <c r="A1928" s="2" t="s">
        <v>2433</v>
      </c>
      <c r="B1928" s="2" t="s">
        <v>2429</v>
      </c>
      <c r="C1928" s="6" t="s">
        <v>2430</v>
      </c>
      <c r="D1928" s="1">
        <v>45403</v>
      </c>
      <c r="E1928" s="4">
        <v>319.74</v>
      </c>
      <c r="F1928" s="3">
        <v>2</v>
      </c>
      <c r="G1928" s="6" t="s">
        <v>12</v>
      </c>
    </row>
    <row r="1929" spans="1:7" x14ac:dyDescent="0.3">
      <c r="A1929" s="2" t="s">
        <v>2434</v>
      </c>
      <c r="B1929" s="2" t="s">
        <v>2429</v>
      </c>
      <c r="C1929" s="6" t="s">
        <v>2430</v>
      </c>
      <c r="D1929" s="1">
        <v>45446</v>
      </c>
      <c r="E1929" s="4">
        <v>263.83</v>
      </c>
      <c r="F1929" s="3">
        <v>1</v>
      </c>
      <c r="G1929" s="6" t="s">
        <v>26</v>
      </c>
    </row>
    <row r="1930" spans="1:7" x14ac:dyDescent="0.3">
      <c r="A1930" s="2" t="s">
        <v>2435</v>
      </c>
      <c r="B1930" s="2" t="s">
        <v>2429</v>
      </c>
      <c r="C1930" s="6" t="s">
        <v>2430</v>
      </c>
      <c r="D1930" s="1">
        <v>45530</v>
      </c>
      <c r="E1930" s="4">
        <v>375.75</v>
      </c>
      <c r="F1930" s="3">
        <v>3</v>
      </c>
      <c r="G1930" s="6" t="s">
        <v>38</v>
      </c>
    </row>
    <row r="1931" spans="1:7" x14ac:dyDescent="0.3">
      <c r="A1931" s="2" t="s">
        <v>2436</v>
      </c>
      <c r="B1931" s="2" t="s">
        <v>2429</v>
      </c>
      <c r="C1931" s="6" t="s">
        <v>2430</v>
      </c>
      <c r="D1931" s="1">
        <v>45592</v>
      </c>
      <c r="E1931" s="4">
        <v>368.79</v>
      </c>
      <c r="F1931" s="3">
        <v>4</v>
      </c>
      <c r="G1931" s="6" t="s">
        <v>26</v>
      </c>
    </row>
    <row r="1932" spans="1:7" x14ac:dyDescent="0.3">
      <c r="A1932" s="2" t="s">
        <v>2437</v>
      </c>
      <c r="B1932" s="2" t="s">
        <v>2429</v>
      </c>
      <c r="C1932" s="6" t="s">
        <v>2430</v>
      </c>
      <c r="D1932" s="1">
        <v>45375</v>
      </c>
      <c r="E1932" s="4">
        <v>182.34</v>
      </c>
      <c r="F1932" s="3">
        <v>4</v>
      </c>
      <c r="G1932" s="6" t="s">
        <v>26</v>
      </c>
    </row>
    <row r="1933" spans="1:7" x14ac:dyDescent="0.3">
      <c r="A1933" s="2" t="s">
        <v>2438</v>
      </c>
      <c r="B1933" s="2" t="s">
        <v>2429</v>
      </c>
      <c r="C1933" s="6" t="s">
        <v>2430</v>
      </c>
      <c r="D1933" s="1">
        <v>45540</v>
      </c>
      <c r="E1933" s="4">
        <v>213.66</v>
      </c>
      <c r="F1933" s="3">
        <v>3</v>
      </c>
      <c r="G1933" s="6" t="s">
        <v>18</v>
      </c>
    </row>
    <row r="1934" spans="1:7" x14ac:dyDescent="0.3">
      <c r="A1934" s="2" t="s">
        <v>2439</v>
      </c>
      <c r="B1934" s="2" t="s">
        <v>2429</v>
      </c>
      <c r="C1934" s="6" t="s">
        <v>2430</v>
      </c>
      <c r="D1934" s="1">
        <v>45632</v>
      </c>
      <c r="E1934" s="4">
        <v>24.29</v>
      </c>
      <c r="F1934" s="3">
        <v>3</v>
      </c>
      <c r="G1934" s="6" t="s">
        <v>12</v>
      </c>
    </row>
    <row r="1935" spans="1:7" x14ac:dyDescent="0.3">
      <c r="A1935" s="2" t="s">
        <v>2440</v>
      </c>
      <c r="B1935" s="2" t="s">
        <v>2429</v>
      </c>
      <c r="C1935" s="6" t="s">
        <v>2430</v>
      </c>
      <c r="D1935" s="1">
        <v>45598</v>
      </c>
      <c r="E1935" s="4">
        <v>353.56</v>
      </c>
      <c r="F1935" s="3">
        <v>2</v>
      </c>
      <c r="G1935" s="6" t="s">
        <v>10</v>
      </c>
    </row>
    <row r="1936" spans="1:7" x14ac:dyDescent="0.3">
      <c r="A1936" s="2" t="s">
        <v>2441</v>
      </c>
      <c r="B1936" s="2" t="s">
        <v>2429</v>
      </c>
      <c r="C1936" s="6" t="s">
        <v>2430</v>
      </c>
      <c r="D1936" s="1">
        <v>45645</v>
      </c>
      <c r="E1936" s="4">
        <v>185.78</v>
      </c>
      <c r="F1936" s="3">
        <v>2</v>
      </c>
      <c r="G1936" s="6" t="s">
        <v>38</v>
      </c>
    </row>
    <row r="1937" spans="1:7" x14ac:dyDescent="0.3">
      <c r="A1937" s="2" t="s">
        <v>2442</v>
      </c>
      <c r="B1937" s="2" t="s">
        <v>2429</v>
      </c>
      <c r="C1937" s="6" t="s">
        <v>2430</v>
      </c>
      <c r="D1937" s="1">
        <v>45539</v>
      </c>
      <c r="E1937" s="4">
        <v>248.08</v>
      </c>
      <c r="F1937" s="3">
        <v>2</v>
      </c>
      <c r="G1937" s="6" t="s">
        <v>18</v>
      </c>
    </row>
    <row r="1938" spans="1:7" x14ac:dyDescent="0.3">
      <c r="A1938" s="2" t="s">
        <v>2443</v>
      </c>
      <c r="B1938" s="2" t="s">
        <v>2429</v>
      </c>
      <c r="C1938" s="6" t="s">
        <v>2430</v>
      </c>
      <c r="D1938" s="1">
        <v>45497</v>
      </c>
      <c r="E1938" s="4">
        <v>402.4</v>
      </c>
      <c r="F1938" s="3">
        <v>2</v>
      </c>
      <c r="G1938" s="6" t="s">
        <v>18</v>
      </c>
    </row>
    <row r="1939" spans="1:7" x14ac:dyDescent="0.3">
      <c r="A1939" s="2" t="s">
        <v>2444</v>
      </c>
      <c r="B1939" s="2" t="s">
        <v>2445</v>
      </c>
      <c r="C1939" s="6" t="s">
        <v>2446</v>
      </c>
      <c r="D1939" s="1">
        <v>45394</v>
      </c>
      <c r="E1939" s="4">
        <v>251.26</v>
      </c>
      <c r="F1939" s="3">
        <v>1</v>
      </c>
      <c r="G1939" s="6" t="s">
        <v>26</v>
      </c>
    </row>
    <row r="1940" spans="1:7" x14ac:dyDescent="0.3">
      <c r="A1940" s="2" t="s">
        <v>2447</v>
      </c>
      <c r="B1940" s="2" t="s">
        <v>2445</v>
      </c>
      <c r="C1940" s="6" t="s">
        <v>2446</v>
      </c>
      <c r="D1940" s="1">
        <v>45415</v>
      </c>
      <c r="E1940" s="4">
        <v>130.44999999999999</v>
      </c>
      <c r="F1940" s="3">
        <v>2</v>
      </c>
      <c r="G1940" s="6" t="s">
        <v>18</v>
      </c>
    </row>
    <row r="1941" spans="1:7" x14ac:dyDescent="0.3">
      <c r="A1941" s="2" t="s">
        <v>2448</v>
      </c>
      <c r="B1941" s="2" t="s">
        <v>2445</v>
      </c>
      <c r="C1941" s="6" t="s">
        <v>2446</v>
      </c>
      <c r="D1941" s="1">
        <v>45119</v>
      </c>
      <c r="E1941" s="4">
        <v>236.97</v>
      </c>
      <c r="F1941" s="3">
        <v>3</v>
      </c>
      <c r="G1941" s="6" t="s">
        <v>26</v>
      </c>
    </row>
    <row r="1942" spans="1:7" x14ac:dyDescent="0.3">
      <c r="A1942" s="2" t="s">
        <v>2449</v>
      </c>
      <c r="B1942" s="2" t="s">
        <v>2445</v>
      </c>
      <c r="C1942" s="6" t="s">
        <v>2446</v>
      </c>
      <c r="D1942" s="1">
        <v>45621</v>
      </c>
      <c r="E1942" s="4">
        <v>319.45999999999998</v>
      </c>
      <c r="F1942" s="3">
        <v>3</v>
      </c>
      <c r="G1942" s="6" t="s">
        <v>18</v>
      </c>
    </row>
    <row r="1943" spans="1:7" x14ac:dyDescent="0.3">
      <c r="A1943" s="2" t="s">
        <v>2450</v>
      </c>
      <c r="B1943" s="2" t="s">
        <v>2445</v>
      </c>
      <c r="C1943" s="6" t="s">
        <v>2446</v>
      </c>
      <c r="D1943" s="1">
        <v>45632</v>
      </c>
      <c r="E1943" s="4">
        <v>233.69</v>
      </c>
      <c r="F1943" s="3">
        <v>1</v>
      </c>
      <c r="G1943" s="6" t="s">
        <v>26</v>
      </c>
    </row>
    <row r="1944" spans="1:7" x14ac:dyDescent="0.3">
      <c r="A1944" s="2" t="s">
        <v>2451</v>
      </c>
      <c r="B1944" s="2" t="s">
        <v>2445</v>
      </c>
      <c r="C1944" s="6" t="s">
        <v>2446</v>
      </c>
      <c r="D1944" s="1">
        <v>45622</v>
      </c>
      <c r="E1944" s="4">
        <v>234.77</v>
      </c>
      <c r="F1944" s="3">
        <v>1</v>
      </c>
      <c r="G1944" s="6" t="s">
        <v>26</v>
      </c>
    </row>
    <row r="1945" spans="1:7" x14ac:dyDescent="0.3">
      <c r="A1945" s="2" t="s">
        <v>2452</v>
      </c>
      <c r="B1945" s="2" t="s">
        <v>2445</v>
      </c>
      <c r="C1945" s="6" t="s">
        <v>2446</v>
      </c>
      <c r="D1945" s="1">
        <v>45220</v>
      </c>
      <c r="E1945" s="4">
        <v>34.89</v>
      </c>
      <c r="F1945" s="3">
        <v>2</v>
      </c>
      <c r="G1945" s="6" t="s">
        <v>15</v>
      </c>
    </row>
    <row r="1946" spans="1:7" x14ac:dyDescent="0.3">
      <c r="A1946" s="2" t="s">
        <v>2453</v>
      </c>
      <c r="B1946" s="2" t="s">
        <v>2445</v>
      </c>
      <c r="C1946" s="6" t="s">
        <v>2446</v>
      </c>
      <c r="D1946" s="1">
        <v>45195</v>
      </c>
      <c r="E1946" s="4">
        <v>358.11</v>
      </c>
      <c r="F1946" s="3">
        <v>3</v>
      </c>
      <c r="G1946" s="6" t="s">
        <v>26</v>
      </c>
    </row>
    <row r="1947" spans="1:7" x14ac:dyDescent="0.3">
      <c r="A1947" s="2" t="s">
        <v>2454</v>
      </c>
      <c r="B1947" s="2" t="s">
        <v>2455</v>
      </c>
      <c r="C1947" s="6" t="s">
        <v>2456</v>
      </c>
      <c r="D1947" s="1">
        <v>45616</v>
      </c>
      <c r="E1947" s="4">
        <v>429.03</v>
      </c>
      <c r="F1947" s="3">
        <v>3</v>
      </c>
      <c r="G1947" s="6" t="s">
        <v>38</v>
      </c>
    </row>
    <row r="1948" spans="1:7" x14ac:dyDescent="0.3">
      <c r="A1948" s="2" t="s">
        <v>2457</v>
      </c>
      <c r="B1948" s="2" t="s">
        <v>2455</v>
      </c>
      <c r="C1948" s="6" t="s">
        <v>2456</v>
      </c>
      <c r="D1948" s="1">
        <v>45563</v>
      </c>
      <c r="E1948" s="4">
        <v>220.62</v>
      </c>
      <c r="F1948" s="3">
        <v>4</v>
      </c>
      <c r="G1948" s="6" t="s">
        <v>38</v>
      </c>
    </row>
    <row r="1949" spans="1:7" x14ac:dyDescent="0.3">
      <c r="A1949" s="2" t="s">
        <v>2458</v>
      </c>
      <c r="B1949" s="2" t="s">
        <v>2455</v>
      </c>
      <c r="C1949" s="6" t="s">
        <v>2456</v>
      </c>
      <c r="D1949" s="1">
        <v>45629</v>
      </c>
      <c r="E1949" s="4">
        <v>482.6</v>
      </c>
      <c r="F1949" s="3">
        <v>2</v>
      </c>
      <c r="G1949" s="6" t="s">
        <v>38</v>
      </c>
    </row>
    <row r="1950" spans="1:7" x14ac:dyDescent="0.3">
      <c r="A1950" s="2" t="s">
        <v>2459</v>
      </c>
      <c r="B1950" s="2" t="s">
        <v>2455</v>
      </c>
      <c r="C1950" s="6" t="s">
        <v>2456</v>
      </c>
      <c r="D1950" s="1">
        <v>45625</v>
      </c>
      <c r="E1950" s="4">
        <v>339.98</v>
      </c>
      <c r="F1950" s="3">
        <v>2</v>
      </c>
      <c r="G1950" s="6" t="s">
        <v>10</v>
      </c>
    </row>
    <row r="1951" spans="1:7" x14ac:dyDescent="0.3">
      <c r="A1951" s="2" t="s">
        <v>2460</v>
      </c>
      <c r="B1951" s="2" t="s">
        <v>2455</v>
      </c>
      <c r="C1951" s="6" t="s">
        <v>2456</v>
      </c>
      <c r="D1951" s="1">
        <v>45508</v>
      </c>
      <c r="E1951" s="4">
        <v>48.53</v>
      </c>
      <c r="F1951" s="3">
        <v>1</v>
      </c>
      <c r="G1951" s="6" t="s">
        <v>26</v>
      </c>
    </row>
    <row r="1952" spans="1:7" x14ac:dyDescent="0.3">
      <c r="A1952" s="2" t="s">
        <v>2461</v>
      </c>
      <c r="B1952" s="2" t="s">
        <v>2455</v>
      </c>
      <c r="C1952" s="6" t="s">
        <v>2456</v>
      </c>
      <c r="D1952" s="1">
        <v>45520</v>
      </c>
      <c r="E1952" s="4">
        <v>200.8</v>
      </c>
      <c r="F1952" s="3">
        <v>3</v>
      </c>
      <c r="G1952" s="6" t="s">
        <v>15</v>
      </c>
    </row>
    <row r="1953" spans="1:7" x14ac:dyDescent="0.3">
      <c r="A1953" s="2" t="s">
        <v>2462</v>
      </c>
      <c r="B1953" s="2" t="s">
        <v>2463</v>
      </c>
      <c r="C1953" s="6" t="s">
        <v>2464</v>
      </c>
      <c r="D1953" s="1">
        <v>45482</v>
      </c>
      <c r="E1953" s="4">
        <v>127.11</v>
      </c>
      <c r="F1953" s="3">
        <v>3</v>
      </c>
      <c r="G1953" s="6" t="s">
        <v>18</v>
      </c>
    </row>
    <row r="1954" spans="1:7" x14ac:dyDescent="0.3">
      <c r="A1954" s="2" t="s">
        <v>2465</v>
      </c>
      <c r="B1954" s="2" t="s">
        <v>2463</v>
      </c>
      <c r="C1954" s="6" t="s">
        <v>2464</v>
      </c>
      <c r="D1954" s="1">
        <v>45513</v>
      </c>
      <c r="E1954" s="4">
        <v>111.33</v>
      </c>
      <c r="F1954" s="3">
        <v>3</v>
      </c>
      <c r="G1954" s="6" t="s">
        <v>38</v>
      </c>
    </row>
    <row r="1955" spans="1:7" x14ac:dyDescent="0.3">
      <c r="A1955" s="2" t="s">
        <v>2466</v>
      </c>
      <c r="B1955" s="2" t="s">
        <v>2463</v>
      </c>
      <c r="C1955" s="6" t="s">
        <v>2464</v>
      </c>
      <c r="D1955" s="1">
        <v>45527</v>
      </c>
      <c r="E1955" s="4">
        <v>60.78</v>
      </c>
      <c r="F1955" s="3">
        <v>2</v>
      </c>
      <c r="G1955" s="6" t="s">
        <v>12</v>
      </c>
    </row>
    <row r="1956" spans="1:7" x14ac:dyDescent="0.3">
      <c r="A1956" s="2" t="s">
        <v>2467</v>
      </c>
      <c r="B1956" s="2" t="s">
        <v>2463</v>
      </c>
      <c r="C1956" s="6" t="s">
        <v>2464</v>
      </c>
      <c r="D1956" s="1">
        <v>45605</v>
      </c>
      <c r="E1956" s="4">
        <v>13.47</v>
      </c>
      <c r="F1956" s="3">
        <v>3</v>
      </c>
      <c r="G1956" s="6" t="s">
        <v>18</v>
      </c>
    </row>
    <row r="1957" spans="1:7" x14ac:dyDescent="0.3">
      <c r="A1957" s="2" t="s">
        <v>2468</v>
      </c>
      <c r="B1957" s="2" t="s">
        <v>2463</v>
      </c>
      <c r="C1957" s="6" t="s">
        <v>2464</v>
      </c>
      <c r="D1957" s="1">
        <v>45568</v>
      </c>
      <c r="E1957" s="4">
        <v>209.89</v>
      </c>
      <c r="F1957" s="3">
        <v>3</v>
      </c>
      <c r="G1957" s="6" t="s">
        <v>10</v>
      </c>
    </row>
    <row r="1958" spans="1:7" x14ac:dyDescent="0.3">
      <c r="A1958" s="2" t="s">
        <v>2469</v>
      </c>
      <c r="B1958" s="2" t="s">
        <v>2463</v>
      </c>
      <c r="C1958" s="6" t="s">
        <v>2464</v>
      </c>
      <c r="D1958" s="1">
        <v>45531</v>
      </c>
      <c r="E1958" s="4">
        <v>373.59</v>
      </c>
      <c r="F1958" s="3">
        <v>1</v>
      </c>
      <c r="G1958" s="6" t="s">
        <v>38</v>
      </c>
    </row>
    <row r="1959" spans="1:7" x14ac:dyDescent="0.3">
      <c r="A1959" s="2" t="s">
        <v>2470</v>
      </c>
      <c r="B1959" s="2" t="s">
        <v>2463</v>
      </c>
      <c r="C1959" s="6" t="s">
        <v>2464</v>
      </c>
      <c r="D1959" s="1">
        <v>45520</v>
      </c>
      <c r="E1959" s="4">
        <v>320.20999999999998</v>
      </c>
      <c r="F1959" s="3">
        <v>1</v>
      </c>
      <c r="G1959" s="6" t="s">
        <v>26</v>
      </c>
    </row>
    <row r="1960" spans="1:7" x14ac:dyDescent="0.3">
      <c r="A1960" s="2" t="s">
        <v>2471</v>
      </c>
      <c r="B1960" s="2" t="s">
        <v>2472</v>
      </c>
      <c r="C1960" s="6" t="s">
        <v>2473</v>
      </c>
      <c r="D1960" s="1">
        <v>45177</v>
      </c>
      <c r="E1960" s="4">
        <v>407.36</v>
      </c>
      <c r="F1960" s="3">
        <v>3</v>
      </c>
      <c r="G1960" s="6" t="s">
        <v>10</v>
      </c>
    </row>
    <row r="1961" spans="1:7" x14ac:dyDescent="0.3">
      <c r="A1961" s="2" t="s">
        <v>2474</v>
      </c>
      <c r="B1961" s="2" t="s">
        <v>2472</v>
      </c>
      <c r="C1961" s="6" t="s">
        <v>2473</v>
      </c>
      <c r="D1961" s="1">
        <v>45390</v>
      </c>
      <c r="E1961" s="4">
        <v>78.260000000000005</v>
      </c>
      <c r="F1961" s="3">
        <v>4</v>
      </c>
      <c r="G1961" s="6" t="s">
        <v>15</v>
      </c>
    </row>
    <row r="1962" spans="1:7" x14ac:dyDescent="0.3">
      <c r="A1962" s="2" t="s">
        <v>2475</v>
      </c>
      <c r="B1962" s="2" t="s">
        <v>2472</v>
      </c>
      <c r="C1962" s="6" t="s">
        <v>2473</v>
      </c>
      <c r="D1962" s="1">
        <v>45568</v>
      </c>
      <c r="E1962" s="4">
        <v>449.79</v>
      </c>
      <c r="F1962" s="3">
        <v>4</v>
      </c>
      <c r="G1962" s="6" t="s">
        <v>12</v>
      </c>
    </row>
    <row r="1963" spans="1:7" x14ac:dyDescent="0.3">
      <c r="A1963" s="2" t="s">
        <v>2476</v>
      </c>
      <c r="B1963" s="2" t="s">
        <v>2472</v>
      </c>
      <c r="C1963" s="6" t="s">
        <v>2473</v>
      </c>
      <c r="D1963" s="1">
        <v>45534</v>
      </c>
      <c r="E1963" s="4">
        <v>468.88</v>
      </c>
      <c r="F1963" s="3">
        <v>3</v>
      </c>
      <c r="G1963" s="6" t="s">
        <v>15</v>
      </c>
    </row>
    <row r="1964" spans="1:7" x14ac:dyDescent="0.3">
      <c r="A1964" s="2" t="s">
        <v>2477</v>
      </c>
      <c r="B1964" s="2" t="s">
        <v>2472</v>
      </c>
      <c r="C1964" s="6" t="s">
        <v>2473</v>
      </c>
      <c r="D1964" s="1">
        <v>45276</v>
      </c>
      <c r="E1964" s="4">
        <v>275.58999999999997</v>
      </c>
      <c r="F1964" s="3">
        <v>1</v>
      </c>
      <c r="G1964" s="6" t="s">
        <v>18</v>
      </c>
    </row>
    <row r="1965" spans="1:7" x14ac:dyDescent="0.3">
      <c r="A1965" s="2" t="s">
        <v>2478</v>
      </c>
      <c r="B1965" s="2" t="s">
        <v>2472</v>
      </c>
      <c r="C1965" s="6" t="s">
        <v>2473</v>
      </c>
      <c r="D1965" s="1">
        <v>45421</v>
      </c>
      <c r="E1965" s="4">
        <v>471.03</v>
      </c>
      <c r="F1965" s="3">
        <v>3</v>
      </c>
      <c r="G1965" s="6" t="s">
        <v>10</v>
      </c>
    </row>
    <row r="1966" spans="1:7" x14ac:dyDescent="0.3">
      <c r="A1966" s="2" t="s">
        <v>2479</v>
      </c>
      <c r="B1966" s="2" t="s">
        <v>2480</v>
      </c>
      <c r="C1966" s="6" t="s">
        <v>2481</v>
      </c>
      <c r="D1966" s="1">
        <v>45377</v>
      </c>
      <c r="E1966" s="4">
        <v>326.12</v>
      </c>
      <c r="F1966" s="3">
        <v>3</v>
      </c>
      <c r="G1966" s="6" t="s">
        <v>10</v>
      </c>
    </row>
    <row r="1967" spans="1:7" x14ac:dyDescent="0.3">
      <c r="A1967" s="2" t="s">
        <v>2482</v>
      </c>
      <c r="B1967" s="2" t="s">
        <v>2480</v>
      </c>
      <c r="C1967" s="6" t="s">
        <v>2481</v>
      </c>
      <c r="D1967" s="1">
        <v>45174</v>
      </c>
      <c r="E1967" s="4">
        <v>272.87</v>
      </c>
      <c r="F1967" s="3">
        <v>3</v>
      </c>
      <c r="G1967" s="6" t="s">
        <v>12</v>
      </c>
    </row>
    <row r="1968" spans="1:7" x14ac:dyDescent="0.3">
      <c r="A1968" s="2" t="s">
        <v>2483</v>
      </c>
      <c r="B1968" s="2" t="s">
        <v>2480</v>
      </c>
      <c r="C1968" s="6" t="s">
        <v>2481</v>
      </c>
      <c r="D1968" s="1">
        <v>45331</v>
      </c>
      <c r="E1968" s="4">
        <v>16.87</v>
      </c>
      <c r="F1968" s="3">
        <v>3</v>
      </c>
      <c r="G1968" s="6" t="s">
        <v>38</v>
      </c>
    </row>
    <row r="1969" spans="1:7" x14ac:dyDescent="0.3">
      <c r="A1969" s="2" t="s">
        <v>2484</v>
      </c>
      <c r="B1969" s="2" t="s">
        <v>2480</v>
      </c>
      <c r="C1969" s="6" t="s">
        <v>2481</v>
      </c>
      <c r="D1969" s="1">
        <v>44956</v>
      </c>
      <c r="E1969" s="4">
        <v>336.31</v>
      </c>
      <c r="F1969" s="3">
        <v>2</v>
      </c>
      <c r="G1969" s="6" t="s">
        <v>10</v>
      </c>
    </row>
    <row r="1970" spans="1:7" x14ac:dyDescent="0.3">
      <c r="A1970" s="2" t="s">
        <v>2485</v>
      </c>
      <c r="B1970" s="2" t="s">
        <v>2480</v>
      </c>
      <c r="C1970" s="6" t="s">
        <v>2481</v>
      </c>
      <c r="D1970" s="1">
        <v>45343</v>
      </c>
      <c r="E1970" s="4">
        <v>477.13</v>
      </c>
      <c r="F1970" s="3">
        <v>1</v>
      </c>
      <c r="G1970" s="6" t="s">
        <v>10</v>
      </c>
    </row>
    <row r="1971" spans="1:7" x14ac:dyDescent="0.3">
      <c r="A1971" s="2" t="s">
        <v>2486</v>
      </c>
      <c r="B1971" s="2" t="s">
        <v>2480</v>
      </c>
      <c r="C1971" s="6" t="s">
        <v>2481</v>
      </c>
      <c r="D1971" s="1">
        <v>44974</v>
      </c>
      <c r="E1971" s="4">
        <v>254.49</v>
      </c>
      <c r="F1971" s="3">
        <v>4</v>
      </c>
      <c r="G1971" s="6" t="s">
        <v>18</v>
      </c>
    </row>
    <row r="1972" spans="1:7" x14ac:dyDescent="0.3">
      <c r="A1972" s="2" t="s">
        <v>2487</v>
      </c>
      <c r="B1972" s="2" t="s">
        <v>2480</v>
      </c>
      <c r="C1972" s="6" t="s">
        <v>2481</v>
      </c>
      <c r="D1972" s="1">
        <v>45491</v>
      </c>
      <c r="E1972" s="4">
        <v>256.58</v>
      </c>
      <c r="F1972" s="3">
        <v>2</v>
      </c>
      <c r="G1972" s="6" t="s">
        <v>26</v>
      </c>
    </row>
    <row r="1973" spans="1:7" x14ac:dyDescent="0.3">
      <c r="A1973" s="2" t="s">
        <v>2488</v>
      </c>
      <c r="B1973" s="2" t="s">
        <v>2480</v>
      </c>
      <c r="C1973" s="6" t="s">
        <v>2481</v>
      </c>
      <c r="D1973" s="1">
        <v>45635</v>
      </c>
      <c r="E1973" s="4">
        <v>83.2</v>
      </c>
      <c r="F1973" s="3">
        <v>1</v>
      </c>
      <c r="G1973" s="6" t="s">
        <v>38</v>
      </c>
    </row>
    <row r="1974" spans="1:7" x14ac:dyDescent="0.3">
      <c r="A1974" s="2" t="s">
        <v>2489</v>
      </c>
      <c r="B1974" s="2" t="s">
        <v>2480</v>
      </c>
      <c r="C1974" s="6" t="s">
        <v>2481</v>
      </c>
      <c r="D1974" s="1">
        <v>44967</v>
      </c>
      <c r="E1974" s="4">
        <v>114.39</v>
      </c>
      <c r="F1974" s="3">
        <v>1</v>
      </c>
      <c r="G1974" s="6" t="s">
        <v>38</v>
      </c>
    </row>
    <row r="1975" spans="1:7" x14ac:dyDescent="0.3">
      <c r="A1975" s="2" t="s">
        <v>2490</v>
      </c>
      <c r="B1975" s="2" t="s">
        <v>2480</v>
      </c>
      <c r="C1975" s="6" t="s">
        <v>2481</v>
      </c>
      <c r="D1975" s="1">
        <v>45325</v>
      </c>
      <c r="E1975" s="4">
        <v>325.10000000000002</v>
      </c>
      <c r="F1975" s="3">
        <v>1</v>
      </c>
      <c r="G1975" s="6" t="s">
        <v>18</v>
      </c>
    </row>
    <row r="1976" spans="1:7" x14ac:dyDescent="0.3">
      <c r="A1976" s="2" t="s">
        <v>2491</v>
      </c>
      <c r="B1976" s="2" t="s">
        <v>2480</v>
      </c>
      <c r="C1976" s="6" t="s">
        <v>2481</v>
      </c>
      <c r="D1976" s="1">
        <v>45159</v>
      </c>
      <c r="E1976" s="4">
        <v>25.36</v>
      </c>
      <c r="F1976" s="3">
        <v>3</v>
      </c>
      <c r="G1976" s="6" t="s">
        <v>18</v>
      </c>
    </row>
    <row r="1977" spans="1:7" x14ac:dyDescent="0.3">
      <c r="A1977" s="2" t="s">
        <v>2492</v>
      </c>
      <c r="B1977" s="2" t="s">
        <v>2493</v>
      </c>
      <c r="C1977" s="6" t="s">
        <v>2494</v>
      </c>
      <c r="D1977" s="1">
        <v>45574</v>
      </c>
      <c r="E1977" s="4">
        <v>111.2</v>
      </c>
      <c r="F1977" s="3">
        <v>1</v>
      </c>
      <c r="G1977" s="6" t="s">
        <v>18</v>
      </c>
    </row>
    <row r="1978" spans="1:7" x14ac:dyDescent="0.3">
      <c r="A1978" s="2" t="s">
        <v>2495</v>
      </c>
      <c r="B1978" s="2" t="s">
        <v>2493</v>
      </c>
      <c r="C1978" s="6" t="s">
        <v>2494</v>
      </c>
      <c r="D1978" s="1">
        <v>45359</v>
      </c>
      <c r="E1978" s="4">
        <v>265.23</v>
      </c>
      <c r="F1978" s="3">
        <v>4</v>
      </c>
      <c r="G1978" s="6" t="s">
        <v>15</v>
      </c>
    </row>
    <row r="1979" spans="1:7" x14ac:dyDescent="0.3">
      <c r="A1979" s="2" t="s">
        <v>2496</v>
      </c>
      <c r="B1979" s="2" t="s">
        <v>2493</v>
      </c>
      <c r="C1979" s="6" t="s">
        <v>2494</v>
      </c>
      <c r="D1979" s="1">
        <v>45175</v>
      </c>
      <c r="E1979" s="4">
        <v>53.84</v>
      </c>
      <c r="F1979" s="3">
        <v>1</v>
      </c>
      <c r="G1979" s="6" t="s">
        <v>15</v>
      </c>
    </row>
    <row r="1980" spans="1:7" x14ac:dyDescent="0.3">
      <c r="A1980" s="2" t="s">
        <v>2497</v>
      </c>
      <c r="B1980" s="2" t="s">
        <v>2493</v>
      </c>
      <c r="C1980" s="6" t="s">
        <v>2494</v>
      </c>
      <c r="D1980" s="1">
        <v>45524</v>
      </c>
      <c r="E1980" s="4">
        <v>10.31</v>
      </c>
      <c r="F1980" s="3">
        <v>2</v>
      </c>
      <c r="G1980" s="6" t="s">
        <v>38</v>
      </c>
    </row>
    <row r="1981" spans="1:7" x14ac:dyDescent="0.3">
      <c r="A1981" s="2" t="s">
        <v>2498</v>
      </c>
      <c r="B1981" s="2" t="s">
        <v>2493</v>
      </c>
      <c r="C1981" s="6" t="s">
        <v>2494</v>
      </c>
      <c r="D1981" s="1">
        <v>45415</v>
      </c>
      <c r="E1981" s="4">
        <v>54.45</v>
      </c>
      <c r="F1981" s="3">
        <v>1</v>
      </c>
      <c r="G1981" s="6" t="s">
        <v>15</v>
      </c>
    </row>
    <row r="1982" spans="1:7" x14ac:dyDescent="0.3">
      <c r="A1982" s="2" t="s">
        <v>2499</v>
      </c>
      <c r="B1982" s="2" t="s">
        <v>2493</v>
      </c>
      <c r="C1982" s="6" t="s">
        <v>2494</v>
      </c>
      <c r="D1982" s="1">
        <v>45647</v>
      </c>
      <c r="E1982" s="4">
        <v>362.8</v>
      </c>
      <c r="F1982" s="3">
        <v>1</v>
      </c>
      <c r="G1982" s="6" t="s">
        <v>26</v>
      </c>
    </row>
    <row r="1983" spans="1:7" x14ac:dyDescent="0.3">
      <c r="A1983" s="2" t="s">
        <v>2500</v>
      </c>
      <c r="B1983" s="2" t="s">
        <v>2493</v>
      </c>
      <c r="C1983" s="6" t="s">
        <v>2494</v>
      </c>
      <c r="D1983" s="1">
        <v>45347</v>
      </c>
      <c r="E1983" s="4">
        <v>184.47</v>
      </c>
      <c r="F1983" s="3">
        <v>3</v>
      </c>
      <c r="G1983" s="6" t="s">
        <v>26</v>
      </c>
    </row>
    <row r="1984" spans="1:7" x14ac:dyDescent="0.3">
      <c r="A1984" s="2" t="s">
        <v>2501</v>
      </c>
      <c r="B1984" s="2" t="s">
        <v>2493</v>
      </c>
      <c r="C1984" s="6" t="s">
        <v>2494</v>
      </c>
      <c r="D1984" s="1">
        <v>45451</v>
      </c>
      <c r="E1984" s="4">
        <v>57.35</v>
      </c>
      <c r="F1984" s="3">
        <v>2</v>
      </c>
      <c r="G1984" s="6" t="s">
        <v>10</v>
      </c>
    </row>
    <row r="1985" spans="1:7" x14ac:dyDescent="0.3">
      <c r="A1985" s="2" t="s">
        <v>2502</v>
      </c>
      <c r="B1985" s="2" t="s">
        <v>2493</v>
      </c>
      <c r="C1985" s="6" t="s">
        <v>2494</v>
      </c>
      <c r="D1985" s="1">
        <v>45367</v>
      </c>
      <c r="E1985" s="4">
        <v>359.69</v>
      </c>
      <c r="F1985" s="3">
        <v>1</v>
      </c>
      <c r="G1985" s="6" t="s">
        <v>26</v>
      </c>
    </row>
    <row r="1986" spans="1:7" x14ac:dyDescent="0.3">
      <c r="A1986" s="2" t="s">
        <v>2503</v>
      </c>
      <c r="B1986" s="2" t="s">
        <v>2493</v>
      </c>
      <c r="C1986" s="6" t="s">
        <v>2494</v>
      </c>
      <c r="D1986" s="1">
        <v>45305</v>
      </c>
      <c r="E1986" s="4">
        <v>434.63</v>
      </c>
      <c r="F1986" s="3">
        <v>1</v>
      </c>
      <c r="G1986" s="6" t="s">
        <v>26</v>
      </c>
    </row>
    <row r="1987" spans="1:7" x14ac:dyDescent="0.3">
      <c r="A1987" s="2" t="s">
        <v>2504</v>
      </c>
      <c r="B1987" s="2" t="s">
        <v>2493</v>
      </c>
      <c r="C1987" s="6" t="s">
        <v>2494</v>
      </c>
      <c r="D1987" s="1">
        <v>45219</v>
      </c>
      <c r="E1987" s="4">
        <v>151.68</v>
      </c>
      <c r="F1987" s="3">
        <v>4</v>
      </c>
      <c r="G1987" s="6" t="s">
        <v>12</v>
      </c>
    </row>
    <row r="1988" spans="1:7" x14ac:dyDescent="0.3">
      <c r="A1988" s="2" t="s">
        <v>2505</v>
      </c>
      <c r="B1988" s="2" t="s">
        <v>2493</v>
      </c>
      <c r="C1988" s="6" t="s">
        <v>2494</v>
      </c>
      <c r="D1988" s="1">
        <v>45633</v>
      </c>
      <c r="E1988" s="4">
        <v>353.17</v>
      </c>
      <c r="F1988" s="3">
        <v>2</v>
      </c>
      <c r="G1988" s="6" t="s">
        <v>10</v>
      </c>
    </row>
    <row r="1989" spans="1:7" x14ac:dyDescent="0.3">
      <c r="A1989" s="2" t="s">
        <v>2506</v>
      </c>
      <c r="B1989" s="2" t="s">
        <v>2507</v>
      </c>
      <c r="C1989" s="6" t="s">
        <v>2508</v>
      </c>
      <c r="D1989" s="1">
        <v>45483</v>
      </c>
      <c r="E1989" s="4">
        <v>409.17</v>
      </c>
      <c r="F1989" s="3">
        <v>3</v>
      </c>
      <c r="G1989" s="6" t="s">
        <v>38</v>
      </c>
    </row>
    <row r="1990" spans="1:7" x14ac:dyDescent="0.3">
      <c r="A1990" s="2" t="s">
        <v>2509</v>
      </c>
      <c r="B1990" s="2" t="s">
        <v>2507</v>
      </c>
      <c r="C1990" s="6" t="s">
        <v>2508</v>
      </c>
      <c r="D1990" s="1">
        <v>45251</v>
      </c>
      <c r="E1990" s="4">
        <v>187.13</v>
      </c>
      <c r="F1990" s="3">
        <v>2</v>
      </c>
      <c r="G1990" s="6" t="s">
        <v>26</v>
      </c>
    </row>
    <row r="1991" spans="1:7" x14ac:dyDescent="0.3">
      <c r="A1991" s="2" t="s">
        <v>2510</v>
      </c>
      <c r="B1991" s="2" t="s">
        <v>2507</v>
      </c>
      <c r="C1991" s="6" t="s">
        <v>2508</v>
      </c>
      <c r="D1991" s="1">
        <v>45287</v>
      </c>
      <c r="E1991" s="4">
        <v>203.15</v>
      </c>
      <c r="F1991" s="3">
        <v>1</v>
      </c>
      <c r="G1991" s="6" t="s">
        <v>12</v>
      </c>
    </row>
    <row r="1992" spans="1:7" x14ac:dyDescent="0.3">
      <c r="A1992" s="2" t="s">
        <v>2511</v>
      </c>
      <c r="B1992" s="2" t="s">
        <v>2507</v>
      </c>
      <c r="C1992" s="6" t="s">
        <v>2508</v>
      </c>
      <c r="D1992" s="1">
        <v>45553</v>
      </c>
      <c r="E1992" s="4">
        <v>177.07</v>
      </c>
      <c r="F1992" s="3">
        <v>3</v>
      </c>
      <c r="G1992" s="6" t="s">
        <v>26</v>
      </c>
    </row>
    <row r="1993" spans="1:7" x14ac:dyDescent="0.3">
      <c r="A1993" s="2" t="s">
        <v>2512</v>
      </c>
      <c r="B1993" s="2" t="s">
        <v>2507</v>
      </c>
      <c r="C1993" s="6" t="s">
        <v>2508</v>
      </c>
      <c r="D1993" s="1">
        <v>45640</v>
      </c>
      <c r="E1993" s="4">
        <v>424.92</v>
      </c>
      <c r="F1993" s="3">
        <v>1</v>
      </c>
      <c r="G1993" s="6" t="s">
        <v>26</v>
      </c>
    </row>
    <row r="1994" spans="1:7" x14ac:dyDescent="0.3">
      <c r="A1994" s="2" t="s">
        <v>2513</v>
      </c>
      <c r="B1994" s="2" t="s">
        <v>2507</v>
      </c>
      <c r="C1994" s="6" t="s">
        <v>2508</v>
      </c>
      <c r="D1994" s="1">
        <v>45611</v>
      </c>
      <c r="E1994" s="4">
        <v>467.92</v>
      </c>
      <c r="F1994" s="3">
        <v>1</v>
      </c>
      <c r="G1994" s="6" t="s">
        <v>18</v>
      </c>
    </row>
    <row r="1995" spans="1:7" x14ac:dyDescent="0.3">
      <c r="A1995" s="2" t="s">
        <v>2514</v>
      </c>
      <c r="B1995" s="2" t="s">
        <v>2507</v>
      </c>
      <c r="C1995" s="6" t="s">
        <v>2508</v>
      </c>
      <c r="D1995" s="1">
        <v>45213</v>
      </c>
      <c r="E1995" s="4">
        <v>126.79</v>
      </c>
      <c r="F1995" s="3">
        <v>4</v>
      </c>
      <c r="G1995" s="6" t="s">
        <v>12</v>
      </c>
    </row>
    <row r="1996" spans="1:7" x14ac:dyDescent="0.3">
      <c r="A1996" s="2" t="s">
        <v>2515</v>
      </c>
      <c r="B1996" s="2" t="s">
        <v>2507</v>
      </c>
      <c r="C1996" s="6" t="s">
        <v>2508</v>
      </c>
      <c r="D1996" s="1">
        <v>45295</v>
      </c>
      <c r="E1996" s="4">
        <v>268.60000000000002</v>
      </c>
      <c r="F1996" s="3">
        <v>4</v>
      </c>
      <c r="G1996" s="6" t="s">
        <v>38</v>
      </c>
    </row>
    <row r="1997" spans="1:7" x14ac:dyDescent="0.3">
      <c r="A1997" s="2" t="s">
        <v>2516</v>
      </c>
      <c r="B1997" s="2" t="s">
        <v>2507</v>
      </c>
      <c r="C1997" s="6" t="s">
        <v>2508</v>
      </c>
      <c r="D1997" s="1">
        <v>45524</v>
      </c>
      <c r="E1997" s="4">
        <v>127.03</v>
      </c>
      <c r="F1997" s="3">
        <v>3</v>
      </c>
      <c r="G1997" s="6" t="s">
        <v>10</v>
      </c>
    </row>
    <row r="1998" spans="1:7" x14ac:dyDescent="0.3">
      <c r="A1998" s="2" t="s">
        <v>2517</v>
      </c>
      <c r="B1998" s="2" t="s">
        <v>2507</v>
      </c>
      <c r="C1998" s="6" t="s">
        <v>2508</v>
      </c>
      <c r="D1998" s="1">
        <v>45541</v>
      </c>
      <c r="E1998" s="4">
        <v>391.43</v>
      </c>
      <c r="F1998" s="3">
        <v>1</v>
      </c>
      <c r="G1998" s="6" t="s">
        <v>10</v>
      </c>
    </row>
    <row r="1999" spans="1:7" x14ac:dyDescent="0.3">
      <c r="A1999" s="2" t="s">
        <v>2518</v>
      </c>
      <c r="B1999" s="2" t="s">
        <v>2507</v>
      </c>
      <c r="C1999" s="6" t="s">
        <v>2508</v>
      </c>
      <c r="D1999" s="1">
        <v>45416</v>
      </c>
      <c r="E1999" s="4">
        <v>160.47</v>
      </c>
      <c r="F1999" s="3">
        <v>2</v>
      </c>
      <c r="G1999" s="6" t="s">
        <v>12</v>
      </c>
    </row>
    <row r="2000" spans="1:7" x14ac:dyDescent="0.3">
      <c r="A2000" s="2" t="s">
        <v>2519</v>
      </c>
      <c r="B2000" s="2" t="s">
        <v>2507</v>
      </c>
      <c r="C2000" s="6" t="s">
        <v>2508</v>
      </c>
      <c r="D2000" s="1">
        <v>45210</v>
      </c>
      <c r="E2000" s="4">
        <v>280.33999999999997</v>
      </c>
      <c r="F2000" s="3">
        <v>3</v>
      </c>
      <c r="G2000" s="6" t="s">
        <v>15</v>
      </c>
    </row>
    <row r="2001" spans="1:7" x14ac:dyDescent="0.3">
      <c r="A2001" s="2" t="s">
        <v>2520</v>
      </c>
      <c r="B2001" s="2" t="s">
        <v>2507</v>
      </c>
      <c r="C2001" s="6" t="s">
        <v>2508</v>
      </c>
      <c r="D2001" s="1">
        <v>45435</v>
      </c>
      <c r="E2001" s="4">
        <v>339.46</v>
      </c>
      <c r="F2001" s="3">
        <v>4</v>
      </c>
      <c r="G2001" s="6" t="s">
        <v>12</v>
      </c>
    </row>
    <row r="2002" spans="1:7" x14ac:dyDescent="0.3">
      <c r="A2002" s="2" t="s">
        <v>2521</v>
      </c>
      <c r="B2002" s="2" t="s">
        <v>2507</v>
      </c>
      <c r="C2002" s="6" t="s">
        <v>2508</v>
      </c>
      <c r="D2002" s="1">
        <v>45467</v>
      </c>
      <c r="E2002" s="4">
        <v>100.37</v>
      </c>
      <c r="F2002" s="3">
        <v>4</v>
      </c>
      <c r="G2002" s="6" t="s">
        <v>18</v>
      </c>
    </row>
    <row r="2003" spans="1:7" x14ac:dyDescent="0.3">
      <c r="A2003" s="2" t="s">
        <v>2522</v>
      </c>
      <c r="B2003" s="2" t="s">
        <v>2507</v>
      </c>
      <c r="C2003" s="6" t="s">
        <v>2508</v>
      </c>
      <c r="D2003" s="1">
        <v>45477</v>
      </c>
      <c r="E2003" s="4">
        <v>382.16</v>
      </c>
      <c r="F2003" s="3">
        <v>1</v>
      </c>
      <c r="G2003" s="6" t="s">
        <v>26</v>
      </c>
    </row>
    <row r="2004" spans="1:7" x14ac:dyDescent="0.3">
      <c r="A2004" s="2" t="s">
        <v>2523</v>
      </c>
      <c r="B2004" s="2" t="s">
        <v>2524</v>
      </c>
      <c r="C2004" s="6" t="s">
        <v>2525</v>
      </c>
      <c r="D2004" s="1">
        <v>45507</v>
      </c>
      <c r="E2004" s="4">
        <v>126.4</v>
      </c>
      <c r="F2004" s="3">
        <v>2</v>
      </c>
      <c r="G2004" s="6" t="s">
        <v>15</v>
      </c>
    </row>
    <row r="2005" spans="1:7" x14ac:dyDescent="0.3">
      <c r="A2005" s="2" t="s">
        <v>2526</v>
      </c>
      <c r="B2005" s="2" t="s">
        <v>2524</v>
      </c>
      <c r="C2005" s="6" t="s">
        <v>2525</v>
      </c>
      <c r="D2005" s="1">
        <v>45293</v>
      </c>
      <c r="E2005" s="4">
        <v>175.98</v>
      </c>
      <c r="F2005" s="3">
        <v>1</v>
      </c>
      <c r="G2005" s="6" t="s">
        <v>38</v>
      </c>
    </row>
    <row r="2006" spans="1:7" x14ac:dyDescent="0.3">
      <c r="A2006" s="2" t="s">
        <v>2527</v>
      </c>
      <c r="B2006" s="2" t="s">
        <v>2524</v>
      </c>
      <c r="C2006" s="6" t="s">
        <v>2525</v>
      </c>
      <c r="D2006" s="1">
        <v>45388</v>
      </c>
      <c r="E2006" s="4">
        <v>459.37</v>
      </c>
      <c r="F2006" s="3">
        <v>2</v>
      </c>
      <c r="G2006" s="6" t="s">
        <v>10</v>
      </c>
    </row>
    <row r="2007" spans="1:7" x14ac:dyDescent="0.3">
      <c r="A2007" s="2" t="s">
        <v>2528</v>
      </c>
      <c r="B2007" s="2" t="s">
        <v>2524</v>
      </c>
      <c r="C2007" s="6" t="s">
        <v>2525</v>
      </c>
      <c r="D2007" s="1">
        <v>45311</v>
      </c>
      <c r="E2007" s="4">
        <v>107.12</v>
      </c>
      <c r="F2007" s="3">
        <v>3</v>
      </c>
      <c r="G2007" s="6" t="s">
        <v>18</v>
      </c>
    </row>
    <row r="2008" spans="1:7" x14ac:dyDescent="0.3">
      <c r="A2008" s="2" t="s">
        <v>2529</v>
      </c>
      <c r="B2008" s="2" t="s">
        <v>2524</v>
      </c>
      <c r="C2008" s="6" t="s">
        <v>2525</v>
      </c>
      <c r="D2008" s="1">
        <v>45492</v>
      </c>
      <c r="E2008" s="4">
        <v>412.25</v>
      </c>
      <c r="F2008" s="3">
        <v>3</v>
      </c>
      <c r="G2008" s="6" t="s">
        <v>12</v>
      </c>
    </row>
    <row r="2009" spans="1:7" x14ac:dyDescent="0.3">
      <c r="A2009" s="2" t="s">
        <v>2530</v>
      </c>
      <c r="B2009" s="2" t="s">
        <v>2524</v>
      </c>
      <c r="C2009" s="6" t="s">
        <v>2525</v>
      </c>
      <c r="D2009" s="1">
        <v>45475</v>
      </c>
      <c r="E2009" s="4">
        <v>72.05</v>
      </c>
      <c r="F2009" s="3">
        <v>2</v>
      </c>
      <c r="G2009" s="6" t="s">
        <v>38</v>
      </c>
    </row>
    <row r="2010" spans="1:7" x14ac:dyDescent="0.3">
      <c r="A2010" s="2" t="s">
        <v>2531</v>
      </c>
      <c r="B2010" s="2" t="s">
        <v>2524</v>
      </c>
      <c r="C2010" s="6" t="s">
        <v>2525</v>
      </c>
      <c r="D2010" s="1">
        <v>45422</v>
      </c>
      <c r="E2010" s="4">
        <v>124.84</v>
      </c>
      <c r="F2010" s="3">
        <v>4</v>
      </c>
      <c r="G2010" s="6" t="s">
        <v>26</v>
      </c>
    </row>
    <row r="2011" spans="1:7" x14ac:dyDescent="0.3">
      <c r="A2011" s="2" t="s">
        <v>2532</v>
      </c>
      <c r="B2011" s="2" t="s">
        <v>2524</v>
      </c>
      <c r="C2011" s="6" t="s">
        <v>2525</v>
      </c>
      <c r="D2011" s="1">
        <v>45214</v>
      </c>
      <c r="E2011" s="4">
        <v>472.45</v>
      </c>
      <c r="F2011" s="3">
        <v>3</v>
      </c>
      <c r="G2011" s="6" t="s">
        <v>18</v>
      </c>
    </row>
    <row r="2012" spans="1:7" x14ac:dyDescent="0.3">
      <c r="A2012" s="2" t="s">
        <v>2533</v>
      </c>
      <c r="B2012" s="2" t="s">
        <v>2524</v>
      </c>
      <c r="C2012" s="6" t="s">
        <v>2525</v>
      </c>
      <c r="D2012" s="1">
        <v>45215</v>
      </c>
      <c r="E2012" s="4">
        <v>167.55</v>
      </c>
      <c r="F2012" s="3">
        <v>2</v>
      </c>
      <c r="G2012" s="6" t="s">
        <v>15</v>
      </c>
    </row>
    <row r="2013" spans="1:7" x14ac:dyDescent="0.3">
      <c r="A2013" s="2" t="s">
        <v>2534</v>
      </c>
      <c r="B2013" s="2" t="s">
        <v>2524</v>
      </c>
      <c r="C2013" s="6" t="s">
        <v>2525</v>
      </c>
      <c r="D2013" s="1">
        <v>45556</v>
      </c>
      <c r="E2013" s="4">
        <v>142.16999999999999</v>
      </c>
      <c r="F2013" s="3">
        <v>1</v>
      </c>
      <c r="G2013" s="6" t="s">
        <v>26</v>
      </c>
    </row>
    <row r="2014" spans="1:7" x14ac:dyDescent="0.3">
      <c r="A2014" s="2" t="s">
        <v>2535</v>
      </c>
      <c r="B2014" s="2" t="s">
        <v>2524</v>
      </c>
      <c r="C2014" s="6" t="s">
        <v>2525</v>
      </c>
      <c r="D2014" s="1">
        <v>45417</v>
      </c>
      <c r="E2014" s="4">
        <v>494.67</v>
      </c>
      <c r="F2014" s="3">
        <v>2</v>
      </c>
      <c r="G2014" s="6" t="s">
        <v>15</v>
      </c>
    </row>
    <row r="2015" spans="1:7" x14ac:dyDescent="0.3">
      <c r="A2015" s="2" t="s">
        <v>2536</v>
      </c>
      <c r="B2015" s="2" t="s">
        <v>2524</v>
      </c>
      <c r="C2015" s="6" t="s">
        <v>2525</v>
      </c>
      <c r="D2015" s="1">
        <v>45552</v>
      </c>
      <c r="E2015" s="4">
        <v>268.75</v>
      </c>
      <c r="F2015" s="3">
        <v>1</v>
      </c>
      <c r="G2015" s="6" t="s">
        <v>18</v>
      </c>
    </row>
    <row r="2016" spans="1:7" x14ac:dyDescent="0.3">
      <c r="A2016" s="2" t="s">
        <v>2537</v>
      </c>
      <c r="B2016" s="2" t="s">
        <v>2538</v>
      </c>
      <c r="C2016" s="6" t="s">
        <v>2539</v>
      </c>
      <c r="D2016" s="1">
        <v>45492</v>
      </c>
      <c r="E2016" s="4">
        <v>366.49</v>
      </c>
      <c r="F2016" s="3">
        <v>4</v>
      </c>
      <c r="G2016" s="6" t="s">
        <v>12</v>
      </c>
    </row>
    <row r="2017" spans="1:7" x14ac:dyDescent="0.3">
      <c r="A2017" s="2" t="s">
        <v>2540</v>
      </c>
      <c r="B2017" s="2" t="s">
        <v>2538</v>
      </c>
      <c r="C2017" s="6" t="s">
        <v>2539</v>
      </c>
      <c r="D2017" s="1">
        <v>45407</v>
      </c>
      <c r="E2017" s="4">
        <v>149.49</v>
      </c>
      <c r="F2017" s="3">
        <v>1</v>
      </c>
      <c r="G2017" s="6" t="s">
        <v>10</v>
      </c>
    </row>
    <row r="2018" spans="1:7" x14ac:dyDescent="0.3">
      <c r="A2018" s="2" t="s">
        <v>2541</v>
      </c>
      <c r="B2018" s="2" t="s">
        <v>2538</v>
      </c>
      <c r="C2018" s="6" t="s">
        <v>2539</v>
      </c>
      <c r="D2018" s="1">
        <v>45421</v>
      </c>
      <c r="E2018" s="4">
        <v>274.43</v>
      </c>
      <c r="F2018" s="3">
        <v>4</v>
      </c>
      <c r="G2018" s="6" t="s">
        <v>26</v>
      </c>
    </row>
    <row r="2019" spans="1:7" x14ac:dyDescent="0.3">
      <c r="A2019" s="2" t="s">
        <v>2542</v>
      </c>
      <c r="B2019" s="2" t="s">
        <v>2538</v>
      </c>
      <c r="C2019" s="6" t="s">
        <v>2539</v>
      </c>
      <c r="D2019" s="1">
        <v>45522</v>
      </c>
      <c r="E2019" s="4">
        <v>314.07</v>
      </c>
      <c r="F2019" s="3">
        <v>4</v>
      </c>
      <c r="G2019" s="6" t="s">
        <v>15</v>
      </c>
    </row>
    <row r="2020" spans="1:7" x14ac:dyDescent="0.3">
      <c r="A2020" s="2" t="s">
        <v>2543</v>
      </c>
      <c r="B2020" s="2" t="s">
        <v>2538</v>
      </c>
      <c r="C2020" s="6" t="s">
        <v>2539</v>
      </c>
      <c r="D2020" s="1">
        <v>45606</v>
      </c>
      <c r="E2020" s="4">
        <v>467.26</v>
      </c>
      <c r="F2020" s="3">
        <v>2</v>
      </c>
      <c r="G2020" s="6" t="s">
        <v>12</v>
      </c>
    </row>
    <row r="2021" spans="1:7" x14ac:dyDescent="0.3">
      <c r="A2021" s="2" t="s">
        <v>2544</v>
      </c>
      <c r="B2021" s="2" t="s">
        <v>2538</v>
      </c>
      <c r="C2021" s="6" t="s">
        <v>2539</v>
      </c>
      <c r="D2021" s="1">
        <v>45586</v>
      </c>
      <c r="E2021" s="4">
        <v>63.12</v>
      </c>
      <c r="F2021" s="3">
        <v>3</v>
      </c>
      <c r="G2021" s="6" t="s">
        <v>10</v>
      </c>
    </row>
    <row r="2022" spans="1:7" x14ac:dyDescent="0.3">
      <c r="A2022" s="2" t="s">
        <v>2545</v>
      </c>
      <c r="B2022" s="2" t="s">
        <v>2538</v>
      </c>
      <c r="C2022" s="6" t="s">
        <v>2539</v>
      </c>
      <c r="D2022" s="1">
        <v>45621</v>
      </c>
      <c r="E2022" s="4">
        <v>380.7</v>
      </c>
      <c r="F2022" s="3">
        <v>2</v>
      </c>
      <c r="G2022" s="6" t="s">
        <v>18</v>
      </c>
    </row>
    <row r="2023" spans="1:7" x14ac:dyDescent="0.3">
      <c r="A2023" s="2" t="s">
        <v>2546</v>
      </c>
      <c r="B2023" s="2" t="s">
        <v>2538</v>
      </c>
      <c r="C2023" s="6" t="s">
        <v>2539</v>
      </c>
      <c r="D2023" s="1">
        <v>45510</v>
      </c>
      <c r="E2023" s="4">
        <v>207.78</v>
      </c>
      <c r="F2023" s="3">
        <v>3</v>
      </c>
      <c r="G2023" s="6" t="s">
        <v>38</v>
      </c>
    </row>
    <row r="2024" spans="1:7" x14ac:dyDescent="0.3">
      <c r="A2024" s="2" t="s">
        <v>2547</v>
      </c>
      <c r="B2024" s="2" t="s">
        <v>2538</v>
      </c>
      <c r="C2024" s="6" t="s">
        <v>2539</v>
      </c>
      <c r="D2024" s="1">
        <v>45583</v>
      </c>
      <c r="E2024" s="4">
        <v>339.6</v>
      </c>
      <c r="F2024" s="3">
        <v>1</v>
      </c>
      <c r="G2024" s="6" t="s">
        <v>12</v>
      </c>
    </row>
    <row r="2025" spans="1:7" x14ac:dyDescent="0.3">
      <c r="A2025" s="2" t="s">
        <v>2548</v>
      </c>
      <c r="B2025" s="2" t="s">
        <v>2538</v>
      </c>
      <c r="C2025" s="6" t="s">
        <v>2539</v>
      </c>
      <c r="D2025" s="1">
        <v>45470</v>
      </c>
      <c r="E2025" s="4">
        <v>257.62</v>
      </c>
      <c r="F2025" s="3">
        <v>3</v>
      </c>
      <c r="G2025" s="6" t="s">
        <v>12</v>
      </c>
    </row>
    <row r="2026" spans="1:7" x14ac:dyDescent="0.3">
      <c r="A2026" s="2" t="s">
        <v>2549</v>
      </c>
      <c r="B2026" s="2" t="s">
        <v>2538</v>
      </c>
      <c r="C2026" s="6" t="s">
        <v>2539</v>
      </c>
      <c r="D2026" s="1">
        <v>45413</v>
      </c>
      <c r="E2026" s="4">
        <v>375.36</v>
      </c>
      <c r="F2026" s="3">
        <v>4</v>
      </c>
      <c r="G2026" s="6" t="s">
        <v>12</v>
      </c>
    </row>
    <row r="2027" spans="1:7" x14ac:dyDescent="0.3">
      <c r="A2027" s="2" t="s">
        <v>2550</v>
      </c>
      <c r="B2027" s="2" t="s">
        <v>2538</v>
      </c>
      <c r="C2027" s="6" t="s">
        <v>2539</v>
      </c>
      <c r="D2027" s="1">
        <v>45478</v>
      </c>
      <c r="E2027" s="4">
        <v>251.81</v>
      </c>
      <c r="F2027" s="3">
        <v>4</v>
      </c>
      <c r="G2027" s="6" t="s">
        <v>15</v>
      </c>
    </row>
    <row r="2028" spans="1:7" x14ac:dyDescent="0.3">
      <c r="A2028" s="2" t="s">
        <v>2551</v>
      </c>
      <c r="B2028" s="2" t="s">
        <v>2552</v>
      </c>
      <c r="C2028" s="6" t="s">
        <v>2553</v>
      </c>
      <c r="D2028" s="1">
        <v>45617</v>
      </c>
      <c r="E2028" s="4">
        <v>445.49</v>
      </c>
      <c r="F2028" s="3">
        <v>2</v>
      </c>
      <c r="G2028" s="6" t="s">
        <v>15</v>
      </c>
    </row>
    <row r="2029" spans="1:7" x14ac:dyDescent="0.3">
      <c r="A2029" s="2" t="s">
        <v>2554</v>
      </c>
      <c r="B2029" s="2" t="s">
        <v>2552</v>
      </c>
      <c r="C2029" s="6" t="s">
        <v>2553</v>
      </c>
      <c r="D2029" s="1">
        <v>45485</v>
      </c>
      <c r="E2029" s="4">
        <v>110.31</v>
      </c>
      <c r="F2029" s="3">
        <v>1</v>
      </c>
      <c r="G2029" s="6" t="s">
        <v>12</v>
      </c>
    </row>
    <row r="2030" spans="1:7" x14ac:dyDescent="0.3">
      <c r="A2030" s="2" t="s">
        <v>2555</v>
      </c>
      <c r="B2030" s="2" t="s">
        <v>2556</v>
      </c>
      <c r="C2030" s="6" t="s">
        <v>2557</v>
      </c>
      <c r="D2030" s="1">
        <v>45212</v>
      </c>
      <c r="E2030" s="4">
        <v>146.88</v>
      </c>
      <c r="F2030" s="3">
        <v>3</v>
      </c>
      <c r="G2030" s="6" t="s">
        <v>38</v>
      </c>
    </row>
    <row r="2031" spans="1:7" x14ac:dyDescent="0.3">
      <c r="A2031" s="2" t="s">
        <v>2558</v>
      </c>
      <c r="B2031" s="2" t="s">
        <v>2556</v>
      </c>
      <c r="C2031" s="6" t="s">
        <v>2557</v>
      </c>
      <c r="D2031" s="1">
        <v>45064</v>
      </c>
      <c r="E2031" s="4">
        <v>260.85000000000002</v>
      </c>
      <c r="F2031" s="3">
        <v>2</v>
      </c>
      <c r="G2031" s="6" t="s">
        <v>18</v>
      </c>
    </row>
    <row r="2032" spans="1:7" x14ac:dyDescent="0.3">
      <c r="A2032" s="2" t="s">
        <v>2559</v>
      </c>
      <c r="B2032" s="2" t="s">
        <v>2556</v>
      </c>
      <c r="C2032" s="6" t="s">
        <v>2557</v>
      </c>
      <c r="D2032" s="1">
        <v>45036</v>
      </c>
      <c r="E2032" s="4">
        <v>442.38</v>
      </c>
      <c r="F2032" s="3">
        <v>1</v>
      </c>
      <c r="G2032" s="6" t="s">
        <v>15</v>
      </c>
    </row>
    <row r="2033" spans="1:7" x14ac:dyDescent="0.3">
      <c r="A2033" s="2" t="s">
        <v>2560</v>
      </c>
      <c r="B2033" s="2" t="s">
        <v>2556</v>
      </c>
      <c r="C2033" s="6" t="s">
        <v>2557</v>
      </c>
      <c r="D2033" s="1">
        <v>45368</v>
      </c>
      <c r="E2033" s="4">
        <v>300.81</v>
      </c>
      <c r="F2033" s="3">
        <v>4</v>
      </c>
      <c r="G2033" s="6" t="s">
        <v>38</v>
      </c>
    </row>
    <row r="2034" spans="1:7" x14ac:dyDescent="0.3">
      <c r="A2034" s="2" t="s">
        <v>2561</v>
      </c>
      <c r="B2034" s="2" t="s">
        <v>2556</v>
      </c>
      <c r="C2034" s="6" t="s">
        <v>2557</v>
      </c>
      <c r="D2034" s="1">
        <v>45616</v>
      </c>
      <c r="E2034" s="4">
        <v>63.97</v>
      </c>
      <c r="F2034" s="3">
        <v>4</v>
      </c>
      <c r="G2034" s="6" t="s">
        <v>18</v>
      </c>
    </row>
    <row r="2035" spans="1:7" x14ac:dyDescent="0.3">
      <c r="A2035" s="2" t="s">
        <v>2562</v>
      </c>
      <c r="B2035" s="2" t="s">
        <v>2563</v>
      </c>
      <c r="C2035" s="6" t="s">
        <v>2564</v>
      </c>
      <c r="D2035" s="1">
        <v>45537</v>
      </c>
      <c r="E2035" s="4">
        <v>155.63</v>
      </c>
      <c r="F2035" s="3">
        <v>3</v>
      </c>
      <c r="G2035" s="6" t="s">
        <v>18</v>
      </c>
    </row>
    <row r="2036" spans="1:7" x14ac:dyDescent="0.3">
      <c r="A2036" s="2" t="s">
        <v>2565</v>
      </c>
      <c r="B2036" s="2" t="s">
        <v>2563</v>
      </c>
      <c r="C2036" s="6" t="s">
        <v>2564</v>
      </c>
      <c r="D2036" s="1">
        <v>45549</v>
      </c>
      <c r="E2036" s="4">
        <v>55.33</v>
      </c>
      <c r="F2036" s="3">
        <v>2</v>
      </c>
      <c r="G2036" s="6" t="s">
        <v>18</v>
      </c>
    </row>
    <row r="2037" spans="1:7" x14ac:dyDescent="0.3">
      <c r="A2037" s="2" t="s">
        <v>2566</v>
      </c>
      <c r="B2037" s="2" t="s">
        <v>2563</v>
      </c>
      <c r="C2037" s="6" t="s">
        <v>2564</v>
      </c>
      <c r="D2037" s="1">
        <v>45379</v>
      </c>
      <c r="E2037" s="4">
        <v>469.37</v>
      </c>
      <c r="F2037" s="3">
        <v>2</v>
      </c>
      <c r="G2037" s="6" t="s">
        <v>12</v>
      </c>
    </row>
    <row r="2038" spans="1:7" x14ac:dyDescent="0.3">
      <c r="A2038" s="2" t="s">
        <v>2567</v>
      </c>
      <c r="B2038" s="2" t="s">
        <v>2563</v>
      </c>
      <c r="C2038" s="6" t="s">
        <v>2564</v>
      </c>
      <c r="D2038" s="1">
        <v>45457</v>
      </c>
      <c r="E2038" s="4">
        <v>79.209999999999994</v>
      </c>
      <c r="F2038" s="3">
        <v>4</v>
      </c>
      <c r="G2038" s="6" t="s">
        <v>26</v>
      </c>
    </row>
    <row r="2039" spans="1:7" x14ac:dyDescent="0.3">
      <c r="A2039" s="2" t="s">
        <v>2568</v>
      </c>
      <c r="B2039" s="2" t="s">
        <v>2563</v>
      </c>
      <c r="C2039" s="6" t="s">
        <v>2564</v>
      </c>
      <c r="D2039" s="1">
        <v>45543</v>
      </c>
      <c r="E2039" s="4">
        <v>112.56</v>
      </c>
      <c r="F2039" s="3">
        <v>4</v>
      </c>
      <c r="G2039" s="6" t="s">
        <v>15</v>
      </c>
    </row>
    <row r="2040" spans="1:7" x14ac:dyDescent="0.3">
      <c r="A2040" s="2" t="s">
        <v>2569</v>
      </c>
      <c r="B2040" s="2" t="s">
        <v>2563</v>
      </c>
      <c r="C2040" s="6" t="s">
        <v>2564</v>
      </c>
      <c r="D2040" s="1">
        <v>45591</v>
      </c>
      <c r="E2040" s="4">
        <v>10.62</v>
      </c>
      <c r="F2040" s="3">
        <v>2</v>
      </c>
      <c r="G2040" s="6" t="s">
        <v>10</v>
      </c>
    </row>
    <row r="2041" spans="1:7" x14ac:dyDescent="0.3">
      <c r="A2041" s="2" t="s">
        <v>2570</v>
      </c>
      <c r="B2041" s="2" t="s">
        <v>2563</v>
      </c>
      <c r="C2041" s="6" t="s">
        <v>2564</v>
      </c>
      <c r="D2041" s="1">
        <v>45606</v>
      </c>
      <c r="E2041" s="4">
        <v>328.62</v>
      </c>
      <c r="F2041" s="3">
        <v>4</v>
      </c>
      <c r="G2041" s="6" t="s">
        <v>12</v>
      </c>
    </row>
    <row r="2042" spans="1:7" x14ac:dyDescent="0.3">
      <c r="A2042" s="2" t="s">
        <v>2571</v>
      </c>
      <c r="B2042" s="2" t="s">
        <v>2563</v>
      </c>
      <c r="C2042" s="6" t="s">
        <v>2564</v>
      </c>
      <c r="D2042" s="1">
        <v>45304</v>
      </c>
      <c r="E2042" s="4">
        <v>464.07</v>
      </c>
      <c r="F2042" s="3">
        <v>2</v>
      </c>
      <c r="G2042" s="6" t="s">
        <v>12</v>
      </c>
    </row>
    <row r="2043" spans="1:7" x14ac:dyDescent="0.3">
      <c r="A2043" s="2" t="s">
        <v>2572</v>
      </c>
      <c r="B2043" s="2" t="s">
        <v>2563</v>
      </c>
      <c r="C2043" s="6" t="s">
        <v>2564</v>
      </c>
      <c r="D2043" s="1">
        <v>45417</v>
      </c>
      <c r="E2043" s="4">
        <v>207.11</v>
      </c>
      <c r="F2043" s="3">
        <v>2</v>
      </c>
      <c r="G2043" s="6" t="s">
        <v>26</v>
      </c>
    </row>
    <row r="2044" spans="1:7" x14ac:dyDescent="0.3">
      <c r="A2044" s="2" t="s">
        <v>2573</v>
      </c>
      <c r="B2044" s="2" t="s">
        <v>2563</v>
      </c>
      <c r="C2044" s="6" t="s">
        <v>2564</v>
      </c>
      <c r="D2044" s="1">
        <v>45448</v>
      </c>
      <c r="E2044" s="4">
        <v>349.33</v>
      </c>
      <c r="F2044" s="3">
        <v>3</v>
      </c>
      <c r="G2044" s="6" t="s">
        <v>15</v>
      </c>
    </row>
    <row r="2045" spans="1:7" x14ac:dyDescent="0.3">
      <c r="A2045" s="2" t="s">
        <v>2574</v>
      </c>
      <c r="B2045" s="2" t="s">
        <v>2563</v>
      </c>
      <c r="C2045" s="6" t="s">
        <v>2564</v>
      </c>
      <c r="D2045" s="1">
        <v>45311</v>
      </c>
      <c r="E2045" s="4">
        <v>388.69</v>
      </c>
      <c r="F2045" s="3">
        <v>2</v>
      </c>
      <c r="G2045" s="6" t="s">
        <v>38</v>
      </c>
    </row>
    <row r="2046" spans="1:7" x14ac:dyDescent="0.3">
      <c r="A2046" s="2" t="s">
        <v>2575</v>
      </c>
      <c r="B2046" s="2" t="s">
        <v>2563</v>
      </c>
      <c r="C2046" s="6" t="s">
        <v>2564</v>
      </c>
      <c r="D2046" s="1">
        <v>45497</v>
      </c>
      <c r="E2046" s="4">
        <v>264.89999999999998</v>
      </c>
      <c r="F2046" s="3">
        <v>1</v>
      </c>
      <c r="G2046" s="6" t="s">
        <v>26</v>
      </c>
    </row>
    <row r="2047" spans="1:7" x14ac:dyDescent="0.3">
      <c r="A2047" s="2" t="s">
        <v>2576</v>
      </c>
      <c r="B2047" s="2" t="s">
        <v>2563</v>
      </c>
      <c r="C2047" s="6" t="s">
        <v>2564</v>
      </c>
      <c r="D2047" s="1">
        <v>45504</v>
      </c>
      <c r="E2047" s="4">
        <v>401.24</v>
      </c>
      <c r="F2047" s="3">
        <v>3</v>
      </c>
      <c r="G2047" s="6" t="s">
        <v>15</v>
      </c>
    </row>
    <row r="2048" spans="1:7" x14ac:dyDescent="0.3">
      <c r="A2048" s="2" t="s">
        <v>2577</v>
      </c>
      <c r="B2048" s="2" t="s">
        <v>2563</v>
      </c>
      <c r="C2048" s="6" t="s">
        <v>2564</v>
      </c>
      <c r="D2048" s="1">
        <v>45401</v>
      </c>
      <c r="E2048" s="4">
        <v>195.85</v>
      </c>
      <c r="F2048" s="3">
        <v>1</v>
      </c>
      <c r="G2048" s="6" t="s">
        <v>18</v>
      </c>
    </row>
    <row r="2049" spans="1:7" x14ac:dyDescent="0.3">
      <c r="A2049" s="2" t="s">
        <v>2578</v>
      </c>
      <c r="B2049" s="2" t="s">
        <v>2579</v>
      </c>
      <c r="C2049" s="6" t="s">
        <v>2580</v>
      </c>
      <c r="D2049" s="1">
        <v>45631</v>
      </c>
      <c r="E2049" s="4">
        <v>392.53</v>
      </c>
      <c r="F2049" s="3">
        <v>3</v>
      </c>
      <c r="G2049" s="6" t="s">
        <v>38</v>
      </c>
    </row>
    <row r="2050" spans="1:7" x14ac:dyDescent="0.3">
      <c r="A2050" s="2" t="s">
        <v>2581</v>
      </c>
      <c r="B2050" s="2" t="s">
        <v>2579</v>
      </c>
      <c r="C2050" s="6" t="s">
        <v>2580</v>
      </c>
      <c r="D2050" s="1">
        <v>45338</v>
      </c>
      <c r="E2050" s="4">
        <v>281.51</v>
      </c>
      <c r="F2050" s="3">
        <v>2</v>
      </c>
      <c r="G2050" s="6" t="s">
        <v>26</v>
      </c>
    </row>
    <row r="2051" spans="1:7" x14ac:dyDescent="0.3">
      <c r="A2051" s="2" t="s">
        <v>2582</v>
      </c>
      <c r="B2051" s="2" t="s">
        <v>2583</v>
      </c>
      <c r="C2051" s="6" t="s">
        <v>2584</v>
      </c>
      <c r="D2051" s="1">
        <v>45272</v>
      </c>
      <c r="E2051" s="4">
        <v>183.54</v>
      </c>
      <c r="F2051" s="3">
        <v>3</v>
      </c>
      <c r="G2051" s="6" t="s">
        <v>12</v>
      </c>
    </row>
    <row r="2052" spans="1:7" x14ac:dyDescent="0.3">
      <c r="A2052" s="2" t="s">
        <v>2585</v>
      </c>
      <c r="B2052" s="2" t="s">
        <v>2583</v>
      </c>
      <c r="C2052" s="6" t="s">
        <v>2584</v>
      </c>
      <c r="D2052" s="1">
        <v>45487</v>
      </c>
      <c r="E2052" s="4">
        <v>56.48</v>
      </c>
      <c r="F2052" s="3">
        <v>3</v>
      </c>
      <c r="G2052" s="6" t="s">
        <v>26</v>
      </c>
    </row>
    <row r="2053" spans="1:7" x14ac:dyDescent="0.3">
      <c r="A2053" s="2" t="s">
        <v>2586</v>
      </c>
      <c r="B2053" s="2" t="s">
        <v>2583</v>
      </c>
      <c r="C2053" s="6" t="s">
        <v>2584</v>
      </c>
      <c r="D2053" s="1">
        <v>45090</v>
      </c>
      <c r="E2053" s="4">
        <v>255.14</v>
      </c>
      <c r="F2053" s="3">
        <v>2</v>
      </c>
      <c r="G2053" s="6" t="s">
        <v>12</v>
      </c>
    </row>
    <row r="2054" spans="1:7" x14ac:dyDescent="0.3">
      <c r="A2054" s="2" t="s">
        <v>2587</v>
      </c>
      <c r="B2054" s="2" t="s">
        <v>2583</v>
      </c>
      <c r="C2054" s="6" t="s">
        <v>2584</v>
      </c>
      <c r="D2054" s="1">
        <v>45073</v>
      </c>
      <c r="E2054" s="4">
        <v>91.73</v>
      </c>
      <c r="F2054" s="3">
        <v>1</v>
      </c>
      <c r="G2054" s="6" t="s">
        <v>26</v>
      </c>
    </row>
    <row r="2055" spans="1:7" x14ac:dyDescent="0.3">
      <c r="A2055" s="2" t="s">
        <v>2588</v>
      </c>
      <c r="B2055" s="2" t="s">
        <v>2589</v>
      </c>
      <c r="C2055" s="6" t="s">
        <v>2590</v>
      </c>
      <c r="D2055" s="1">
        <v>45440</v>
      </c>
      <c r="E2055" s="4">
        <v>447.02</v>
      </c>
      <c r="F2055" s="3">
        <v>4</v>
      </c>
      <c r="G2055" s="6" t="s">
        <v>12</v>
      </c>
    </row>
    <row r="2056" spans="1:7" x14ac:dyDescent="0.3">
      <c r="A2056" s="2" t="s">
        <v>2591</v>
      </c>
      <c r="B2056" s="2" t="s">
        <v>2589</v>
      </c>
      <c r="C2056" s="6" t="s">
        <v>2590</v>
      </c>
      <c r="D2056" s="1">
        <v>45111</v>
      </c>
      <c r="E2056" s="4">
        <v>206.16</v>
      </c>
      <c r="F2056" s="3">
        <v>3</v>
      </c>
      <c r="G2056" s="6" t="s">
        <v>12</v>
      </c>
    </row>
    <row r="2057" spans="1:7" x14ac:dyDescent="0.3">
      <c r="A2057" s="2" t="s">
        <v>2592</v>
      </c>
      <c r="B2057" s="2" t="s">
        <v>2589</v>
      </c>
      <c r="C2057" s="6" t="s">
        <v>2590</v>
      </c>
      <c r="D2057" s="1">
        <v>45321</v>
      </c>
      <c r="E2057" s="4">
        <v>335.11</v>
      </c>
      <c r="F2057" s="3">
        <v>1</v>
      </c>
      <c r="G2057" s="6" t="s">
        <v>18</v>
      </c>
    </row>
    <row r="2058" spans="1:7" x14ac:dyDescent="0.3">
      <c r="A2058" s="2" t="s">
        <v>2593</v>
      </c>
      <c r="B2058" s="2" t="s">
        <v>2589</v>
      </c>
      <c r="C2058" s="6" t="s">
        <v>2590</v>
      </c>
      <c r="D2058" s="1">
        <v>45431</v>
      </c>
      <c r="E2058" s="4">
        <v>241.77</v>
      </c>
      <c r="F2058" s="3">
        <v>3</v>
      </c>
      <c r="G2058" s="6" t="s">
        <v>18</v>
      </c>
    </row>
    <row r="2059" spans="1:7" x14ac:dyDescent="0.3">
      <c r="A2059" s="2" t="s">
        <v>2594</v>
      </c>
      <c r="B2059" s="2" t="s">
        <v>2595</v>
      </c>
      <c r="C2059" s="6" t="s">
        <v>2596</v>
      </c>
      <c r="D2059" s="1">
        <v>45524</v>
      </c>
      <c r="E2059" s="4">
        <v>34.92</v>
      </c>
      <c r="F2059" s="3">
        <v>3</v>
      </c>
      <c r="G2059" s="6" t="s">
        <v>18</v>
      </c>
    </row>
    <row r="2060" spans="1:7" x14ac:dyDescent="0.3">
      <c r="A2060" s="2" t="s">
        <v>2597</v>
      </c>
      <c r="B2060" s="2" t="s">
        <v>2595</v>
      </c>
      <c r="C2060" s="6" t="s">
        <v>2596</v>
      </c>
      <c r="D2060" s="1">
        <v>45645</v>
      </c>
      <c r="E2060" s="4">
        <v>181.5</v>
      </c>
      <c r="F2060" s="3">
        <v>3</v>
      </c>
      <c r="G2060" s="6" t="s">
        <v>38</v>
      </c>
    </row>
    <row r="2061" spans="1:7" x14ac:dyDescent="0.3">
      <c r="A2061" s="2" t="s">
        <v>2598</v>
      </c>
      <c r="B2061" s="2" t="s">
        <v>2595</v>
      </c>
      <c r="C2061" s="6" t="s">
        <v>2596</v>
      </c>
      <c r="D2061" s="1">
        <v>45524</v>
      </c>
      <c r="E2061" s="4">
        <v>231.85</v>
      </c>
      <c r="F2061" s="3">
        <v>2</v>
      </c>
      <c r="G2061" s="6" t="s">
        <v>26</v>
      </c>
    </row>
    <row r="2062" spans="1:7" x14ac:dyDescent="0.3">
      <c r="A2062" s="2" t="s">
        <v>2599</v>
      </c>
      <c r="B2062" s="2" t="s">
        <v>2595</v>
      </c>
      <c r="C2062" s="6" t="s">
        <v>2596</v>
      </c>
      <c r="D2062" s="1">
        <v>45623</v>
      </c>
      <c r="E2062" s="4">
        <v>314.75</v>
      </c>
      <c r="F2062" s="3">
        <v>3</v>
      </c>
      <c r="G2062" s="6" t="s">
        <v>38</v>
      </c>
    </row>
    <row r="2063" spans="1:7" x14ac:dyDescent="0.3">
      <c r="A2063" s="2" t="s">
        <v>2600</v>
      </c>
      <c r="B2063" s="2" t="s">
        <v>2595</v>
      </c>
      <c r="C2063" s="6" t="s">
        <v>2596</v>
      </c>
      <c r="D2063" s="1">
        <v>45528</v>
      </c>
      <c r="E2063" s="4">
        <v>105.52</v>
      </c>
      <c r="F2063" s="3">
        <v>3</v>
      </c>
      <c r="G2063" s="6" t="s">
        <v>10</v>
      </c>
    </row>
    <row r="2064" spans="1:7" x14ac:dyDescent="0.3">
      <c r="A2064" s="2" t="s">
        <v>2601</v>
      </c>
      <c r="B2064" s="2" t="s">
        <v>2602</v>
      </c>
      <c r="C2064" s="6" t="s">
        <v>2603</v>
      </c>
      <c r="D2064" s="1">
        <v>45605</v>
      </c>
      <c r="E2064" s="4">
        <v>198.13</v>
      </c>
      <c r="F2064" s="3">
        <v>4</v>
      </c>
      <c r="G2064" s="6" t="s">
        <v>18</v>
      </c>
    </row>
    <row r="2065" spans="1:7" x14ac:dyDescent="0.3">
      <c r="A2065" s="2" t="s">
        <v>2604</v>
      </c>
      <c r="B2065" s="2" t="s">
        <v>2602</v>
      </c>
      <c r="C2065" s="6" t="s">
        <v>2603</v>
      </c>
      <c r="D2065" s="1">
        <v>45567</v>
      </c>
      <c r="E2065" s="4">
        <v>60.22</v>
      </c>
      <c r="F2065" s="3">
        <v>2</v>
      </c>
      <c r="G2065" s="6" t="s">
        <v>38</v>
      </c>
    </row>
    <row r="2066" spans="1:7" x14ac:dyDescent="0.3">
      <c r="A2066" s="2" t="s">
        <v>2605</v>
      </c>
      <c r="B2066" s="2" t="s">
        <v>2602</v>
      </c>
      <c r="C2066" s="6" t="s">
        <v>2603</v>
      </c>
      <c r="D2066" s="1">
        <v>45468</v>
      </c>
      <c r="E2066" s="4">
        <v>158.44</v>
      </c>
      <c r="F2066" s="3">
        <v>2</v>
      </c>
      <c r="G2066" s="6" t="s">
        <v>12</v>
      </c>
    </row>
    <row r="2067" spans="1:7" x14ac:dyDescent="0.3">
      <c r="A2067" s="2" t="s">
        <v>2606</v>
      </c>
      <c r="B2067" s="2" t="s">
        <v>2602</v>
      </c>
      <c r="C2067" s="6" t="s">
        <v>2603</v>
      </c>
      <c r="D2067" s="1">
        <v>45569</v>
      </c>
      <c r="E2067" s="4">
        <v>361.76</v>
      </c>
      <c r="F2067" s="3">
        <v>4</v>
      </c>
      <c r="G2067" s="6" t="s">
        <v>18</v>
      </c>
    </row>
    <row r="2068" spans="1:7" x14ac:dyDescent="0.3">
      <c r="A2068" s="2" t="s">
        <v>2607</v>
      </c>
      <c r="B2068" s="2" t="s">
        <v>2602</v>
      </c>
      <c r="C2068" s="6" t="s">
        <v>2603</v>
      </c>
      <c r="D2068" s="1">
        <v>45612</v>
      </c>
      <c r="E2068" s="4">
        <v>441.81</v>
      </c>
      <c r="F2068" s="3">
        <v>2</v>
      </c>
      <c r="G2068" s="6" t="s">
        <v>15</v>
      </c>
    </row>
    <row r="2069" spans="1:7" x14ac:dyDescent="0.3">
      <c r="A2069" s="2" t="s">
        <v>2608</v>
      </c>
      <c r="B2069" s="2" t="s">
        <v>2602</v>
      </c>
      <c r="C2069" s="6" t="s">
        <v>2603</v>
      </c>
      <c r="D2069" s="1">
        <v>45522</v>
      </c>
      <c r="E2069" s="4">
        <v>192.15</v>
      </c>
      <c r="F2069" s="3">
        <v>3</v>
      </c>
      <c r="G2069" s="6" t="s">
        <v>18</v>
      </c>
    </row>
    <row r="2070" spans="1:7" x14ac:dyDescent="0.3">
      <c r="A2070" s="2" t="s">
        <v>2609</v>
      </c>
      <c r="B2070" s="2" t="s">
        <v>2602</v>
      </c>
      <c r="C2070" s="6" t="s">
        <v>2603</v>
      </c>
      <c r="D2070" s="1">
        <v>45546</v>
      </c>
      <c r="E2070" s="4">
        <v>226.9</v>
      </c>
      <c r="F2070" s="3">
        <v>3</v>
      </c>
      <c r="G2070" s="6" t="s">
        <v>12</v>
      </c>
    </row>
    <row r="2071" spans="1:7" x14ac:dyDescent="0.3">
      <c r="A2071" s="2" t="s">
        <v>2610</v>
      </c>
      <c r="B2071" s="2" t="s">
        <v>2602</v>
      </c>
      <c r="C2071" s="6" t="s">
        <v>2603</v>
      </c>
      <c r="D2071" s="1">
        <v>45419</v>
      </c>
      <c r="E2071" s="4">
        <v>90.17</v>
      </c>
      <c r="F2071" s="3">
        <v>1</v>
      </c>
      <c r="G2071" s="6" t="s">
        <v>18</v>
      </c>
    </row>
    <row r="2072" spans="1:7" x14ac:dyDescent="0.3">
      <c r="A2072" s="2" t="s">
        <v>2611</v>
      </c>
      <c r="B2072" s="2" t="s">
        <v>2602</v>
      </c>
      <c r="C2072" s="6" t="s">
        <v>2603</v>
      </c>
      <c r="D2072" s="1">
        <v>45589</v>
      </c>
      <c r="E2072" s="4">
        <v>16.62</v>
      </c>
      <c r="F2072" s="3">
        <v>4</v>
      </c>
      <c r="G2072" s="6" t="s">
        <v>26</v>
      </c>
    </row>
    <row r="2073" spans="1:7" x14ac:dyDescent="0.3">
      <c r="A2073" s="2" t="s">
        <v>2612</v>
      </c>
      <c r="B2073" s="2" t="s">
        <v>2602</v>
      </c>
      <c r="C2073" s="6" t="s">
        <v>2603</v>
      </c>
      <c r="D2073" s="1">
        <v>45449</v>
      </c>
      <c r="E2073" s="4">
        <v>406.31</v>
      </c>
      <c r="F2073" s="3">
        <v>1</v>
      </c>
      <c r="G2073" s="6" t="s">
        <v>38</v>
      </c>
    </row>
    <row r="2074" spans="1:7" x14ac:dyDescent="0.3">
      <c r="A2074" s="2" t="s">
        <v>2613</v>
      </c>
      <c r="B2074" s="2" t="s">
        <v>2602</v>
      </c>
      <c r="C2074" s="6" t="s">
        <v>2603</v>
      </c>
      <c r="D2074" s="1">
        <v>45545</v>
      </c>
      <c r="E2074" s="4">
        <v>247.09</v>
      </c>
      <c r="F2074" s="3">
        <v>4</v>
      </c>
      <c r="G2074" s="6" t="s">
        <v>18</v>
      </c>
    </row>
    <row r="2075" spans="1:7" x14ac:dyDescent="0.3">
      <c r="A2075" s="2" t="s">
        <v>2614</v>
      </c>
      <c r="B2075" s="2" t="s">
        <v>2615</v>
      </c>
      <c r="C2075" s="6" t="s">
        <v>2616</v>
      </c>
      <c r="D2075" s="1">
        <v>45651</v>
      </c>
      <c r="E2075" s="4">
        <v>467.37</v>
      </c>
      <c r="F2075" s="3">
        <v>1</v>
      </c>
      <c r="G2075" s="6" t="s">
        <v>10</v>
      </c>
    </row>
    <row r="2076" spans="1:7" x14ac:dyDescent="0.3">
      <c r="A2076" s="2" t="s">
        <v>2617</v>
      </c>
      <c r="B2076" s="2" t="s">
        <v>2615</v>
      </c>
      <c r="C2076" s="6" t="s">
        <v>2616</v>
      </c>
      <c r="D2076" s="1">
        <v>45639</v>
      </c>
      <c r="E2076" s="4">
        <v>164.14</v>
      </c>
      <c r="F2076" s="3">
        <v>2</v>
      </c>
      <c r="G2076" s="6" t="s">
        <v>10</v>
      </c>
    </row>
    <row r="2077" spans="1:7" x14ac:dyDescent="0.3">
      <c r="A2077" s="2" t="s">
        <v>2618</v>
      </c>
      <c r="B2077" s="2" t="s">
        <v>2615</v>
      </c>
      <c r="C2077" s="6" t="s">
        <v>2616</v>
      </c>
      <c r="D2077" s="1">
        <v>45624</v>
      </c>
      <c r="E2077" s="4">
        <v>312.87</v>
      </c>
      <c r="F2077" s="3">
        <v>1</v>
      </c>
      <c r="G2077" s="6" t="s">
        <v>38</v>
      </c>
    </row>
    <row r="2078" spans="1:7" x14ac:dyDescent="0.3">
      <c r="A2078" s="2" t="s">
        <v>2619</v>
      </c>
      <c r="B2078" s="2" t="s">
        <v>2615</v>
      </c>
      <c r="C2078" s="6" t="s">
        <v>2616</v>
      </c>
      <c r="D2078" s="1">
        <v>45619</v>
      </c>
      <c r="E2078" s="4">
        <v>47.59</v>
      </c>
      <c r="F2078" s="3">
        <v>4</v>
      </c>
      <c r="G2078" s="6" t="s">
        <v>18</v>
      </c>
    </row>
    <row r="2079" spans="1:7" x14ac:dyDescent="0.3">
      <c r="A2079" s="2" t="s">
        <v>2620</v>
      </c>
      <c r="B2079" s="2" t="s">
        <v>2615</v>
      </c>
      <c r="C2079" s="6" t="s">
        <v>2616</v>
      </c>
      <c r="D2079" s="1">
        <v>45628</v>
      </c>
      <c r="E2079" s="4">
        <v>337.65</v>
      </c>
      <c r="F2079" s="3">
        <v>3</v>
      </c>
      <c r="G2079" s="6" t="s">
        <v>38</v>
      </c>
    </row>
    <row r="2080" spans="1:7" x14ac:dyDescent="0.3">
      <c r="A2080" s="2" t="s">
        <v>2621</v>
      </c>
      <c r="B2080" s="2" t="s">
        <v>2615</v>
      </c>
      <c r="C2080" s="6" t="s">
        <v>2616</v>
      </c>
      <c r="D2080" s="1">
        <v>45629</v>
      </c>
      <c r="E2080" s="4">
        <v>238.67</v>
      </c>
      <c r="F2080" s="3">
        <v>1</v>
      </c>
      <c r="G2080" s="6" t="s">
        <v>38</v>
      </c>
    </row>
    <row r="2081" spans="1:7" x14ac:dyDescent="0.3">
      <c r="A2081" s="2" t="s">
        <v>2622</v>
      </c>
      <c r="B2081" s="2" t="s">
        <v>2615</v>
      </c>
      <c r="C2081" s="6" t="s">
        <v>2616</v>
      </c>
      <c r="D2081" s="1">
        <v>45643</v>
      </c>
      <c r="E2081" s="4">
        <v>361.42</v>
      </c>
      <c r="F2081" s="3">
        <v>4</v>
      </c>
      <c r="G2081" s="6" t="s">
        <v>18</v>
      </c>
    </row>
    <row r="2082" spans="1:7" x14ac:dyDescent="0.3">
      <c r="A2082" s="2" t="s">
        <v>2623</v>
      </c>
      <c r="B2082" s="2" t="s">
        <v>2615</v>
      </c>
      <c r="C2082" s="6" t="s">
        <v>2616</v>
      </c>
      <c r="D2082" s="1">
        <v>45644</v>
      </c>
      <c r="E2082" s="4">
        <v>56.25</v>
      </c>
      <c r="F2082" s="3">
        <v>4</v>
      </c>
      <c r="G2082" s="6" t="s">
        <v>38</v>
      </c>
    </row>
    <row r="2083" spans="1:7" x14ac:dyDescent="0.3">
      <c r="A2083" s="2" t="s">
        <v>2624</v>
      </c>
      <c r="B2083" s="2" t="s">
        <v>2615</v>
      </c>
      <c r="C2083" s="6" t="s">
        <v>2616</v>
      </c>
      <c r="D2083" s="1">
        <v>45622</v>
      </c>
      <c r="E2083" s="4">
        <v>451.15</v>
      </c>
      <c r="F2083" s="3">
        <v>4</v>
      </c>
      <c r="G2083" s="6" t="s">
        <v>15</v>
      </c>
    </row>
    <row r="2084" spans="1:7" x14ac:dyDescent="0.3">
      <c r="A2084" s="2" t="s">
        <v>2625</v>
      </c>
      <c r="B2084" s="2" t="s">
        <v>2615</v>
      </c>
      <c r="C2084" s="6" t="s">
        <v>2616</v>
      </c>
      <c r="D2084" s="1">
        <v>45653</v>
      </c>
      <c r="E2084" s="4">
        <v>326.17</v>
      </c>
      <c r="F2084" s="3">
        <v>3</v>
      </c>
      <c r="G2084" s="6" t="s">
        <v>18</v>
      </c>
    </row>
    <row r="2085" spans="1:7" x14ac:dyDescent="0.3">
      <c r="A2085" s="2" t="s">
        <v>2626</v>
      </c>
      <c r="B2085" s="2" t="s">
        <v>2615</v>
      </c>
      <c r="C2085" s="6" t="s">
        <v>2616</v>
      </c>
      <c r="D2085" s="1">
        <v>45641</v>
      </c>
      <c r="E2085" s="4">
        <v>214.68</v>
      </c>
      <c r="F2085" s="3">
        <v>1</v>
      </c>
      <c r="G2085" s="6" t="s">
        <v>18</v>
      </c>
    </row>
    <row r="2086" spans="1:7" x14ac:dyDescent="0.3">
      <c r="A2086" s="2" t="s">
        <v>2627</v>
      </c>
      <c r="B2086" s="2" t="s">
        <v>2615</v>
      </c>
      <c r="C2086" s="6" t="s">
        <v>2616</v>
      </c>
      <c r="D2086" s="1">
        <v>45629</v>
      </c>
      <c r="E2086" s="4">
        <v>351.95</v>
      </c>
      <c r="F2086" s="3">
        <v>1</v>
      </c>
      <c r="G2086" s="6" t="s">
        <v>26</v>
      </c>
    </row>
    <row r="2087" spans="1:7" x14ac:dyDescent="0.3">
      <c r="A2087" s="2" t="s">
        <v>2628</v>
      </c>
      <c r="B2087" s="2" t="s">
        <v>2615</v>
      </c>
      <c r="C2087" s="6" t="s">
        <v>2616</v>
      </c>
      <c r="D2087" s="1">
        <v>45630</v>
      </c>
      <c r="E2087" s="4">
        <v>14.96</v>
      </c>
      <c r="F2087" s="3">
        <v>3</v>
      </c>
      <c r="G2087" s="6" t="s">
        <v>12</v>
      </c>
    </row>
    <row r="2088" spans="1:7" x14ac:dyDescent="0.3">
      <c r="A2088" s="2" t="s">
        <v>2629</v>
      </c>
      <c r="B2088" s="2" t="s">
        <v>2630</v>
      </c>
      <c r="C2088" s="6" t="s">
        <v>2631</v>
      </c>
      <c r="D2088" s="1">
        <v>45293</v>
      </c>
      <c r="E2088" s="4">
        <v>229.28</v>
      </c>
      <c r="F2088" s="3">
        <v>1</v>
      </c>
      <c r="G2088" s="6" t="s">
        <v>38</v>
      </c>
    </row>
    <row r="2089" spans="1:7" x14ac:dyDescent="0.3">
      <c r="A2089" s="2" t="s">
        <v>2632</v>
      </c>
      <c r="B2089" s="2" t="s">
        <v>2630</v>
      </c>
      <c r="C2089" s="6" t="s">
        <v>2631</v>
      </c>
      <c r="D2089" s="1">
        <v>45407</v>
      </c>
      <c r="E2089" s="4">
        <v>473.06</v>
      </c>
      <c r="F2089" s="3">
        <v>1</v>
      </c>
      <c r="G2089" s="6" t="s">
        <v>15</v>
      </c>
    </row>
    <row r="2090" spans="1:7" x14ac:dyDescent="0.3">
      <c r="A2090" s="2" t="s">
        <v>2633</v>
      </c>
      <c r="B2090" s="2" t="s">
        <v>2630</v>
      </c>
      <c r="C2090" s="6" t="s">
        <v>2631</v>
      </c>
      <c r="D2090" s="1">
        <v>45481</v>
      </c>
      <c r="E2090" s="4">
        <v>127.72</v>
      </c>
      <c r="F2090" s="3">
        <v>3</v>
      </c>
      <c r="G2090" s="6" t="s">
        <v>10</v>
      </c>
    </row>
    <row r="2091" spans="1:7" x14ac:dyDescent="0.3">
      <c r="A2091" s="2" t="s">
        <v>2634</v>
      </c>
      <c r="B2091" s="2" t="s">
        <v>2630</v>
      </c>
      <c r="C2091" s="6" t="s">
        <v>2631</v>
      </c>
      <c r="D2091" s="1">
        <v>45146</v>
      </c>
      <c r="E2091" s="4">
        <v>135.88999999999999</v>
      </c>
      <c r="F2091" s="3">
        <v>3</v>
      </c>
      <c r="G2091" s="6" t="s">
        <v>15</v>
      </c>
    </row>
    <row r="2092" spans="1:7" x14ac:dyDescent="0.3">
      <c r="A2092" s="2" t="s">
        <v>2635</v>
      </c>
      <c r="B2092" s="2" t="s">
        <v>2630</v>
      </c>
      <c r="C2092" s="6" t="s">
        <v>2631</v>
      </c>
      <c r="D2092" s="1">
        <v>45276</v>
      </c>
      <c r="E2092" s="4">
        <v>256.72000000000003</v>
      </c>
      <c r="F2092" s="3">
        <v>4</v>
      </c>
      <c r="G2092" s="6" t="s">
        <v>38</v>
      </c>
    </row>
    <row r="2093" spans="1:7" x14ac:dyDescent="0.3">
      <c r="A2093" s="2" t="s">
        <v>2636</v>
      </c>
      <c r="B2093" s="2" t="s">
        <v>2630</v>
      </c>
      <c r="C2093" s="6" t="s">
        <v>2631</v>
      </c>
      <c r="D2093" s="1">
        <v>45193</v>
      </c>
      <c r="E2093" s="4">
        <v>311.57</v>
      </c>
      <c r="F2093" s="3">
        <v>3</v>
      </c>
      <c r="G2093" s="6" t="s">
        <v>18</v>
      </c>
    </row>
    <row r="2094" spans="1:7" x14ac:dyDescent="0.3">
      <c r="A2094" s="2" t="s">
        <v>2637</v>
      </c>
      <c r="B2094" s="2" t="s">
        <v>2630</v>
      </c>
      <c r="C2094" s="6" t="s">
        <v>2631</v>
      </c>
      <c r="D2094" s="1">
        <v>45386</v>
      </c>
      <c r="E2094" s="4">
        <v>361.87</v>
      </c>
      <c r="F2094" s="3">
        <v>3</v>
      </c>
      <c r="G2094" s="6" t="s">
        <v>10</v>
      </c>
    </row>
    <row r="2095" spans="1:7" x14ac:dyDescent="0.3">
      <c r="A2095" s="2" t="s">
        <v>2638</v>
      </c>
      <c r="B2095" s="2" t="s">
        <v>2639</v>
      </c>
      <c r="C2095" s="6" t="s">
        <v>2640</v>
      </c>
      <c r="D2095" s="1">
        <v>45528</v>
      </c>
      <c r="E2095" s="4">
        <v>269.73</v>
      </c>
      <c r="F2095" s="3">
        <v>3</v>
      </c>
      <c r="G2095" s="6" t="s">
        <v>38</v>
      </c>
    </row>
    <row r="2096" spans="1:7" x14ac:dyDescent="0.3">
      <c r="A2096" s="2" t="s">
        <v>2641</v>
      </c>
      <c r="B2096" s="2" t="s">
        <v>2639</v>
      </c>
      <c r="C2096" s="6" t="s">
        <v>2640</v>
      </c>
      <c r="D2096" s="1">
        <v>45486</v>
      </c>
      <c r="E2096" s="4">
        <v>447.11</v>
      </c>
      <c r="F2096" s="3">
        <v>4</v>
      </c>
      <c r="G2096" s="6" t="s">
        <v>18</v>
      </c>
    </row>
    <row r="2097" spans="1:7" x14ac:dyDescent="0.3">
      <c r="A2097" s="2" t="s">
        <v>2642</v>
      </c>
      <c r="B2097" s="2" t="s">
        <v>2639</v>
      </c>
      <c r="C2097" s="6" t="s">
        <v>2640</v>
      </c>
      <c r="D2097" s="1">
        <v>45454</v>
      </c>
      <c r="E2097" s="4">
        <v>496</v>
      </c>
      <c r="F2097" s="3">
        <v>3</v>
      </c>
      <c r="G2097" s="6" t="s">
        <v>10</v>
      </c>
    </row>
    <row r="2098" spans="1:7" x14ac:dyDescent="0.3">
      <c r="A2098" s="2" t="s">
        <v>2643</v>
      </c>
      <c r="B2098" s="2" t="s">
        <v>2639</v>
      </c>
      <c r="C2098" s="6" t="s">
        <v>2640</v>
      </c>
      <c r="D2098" s="1">
        <v>45473</v>
      </c>
      <c r="E2098" s="4">
        <v>53.19</v>
      </c>
      <c r="F2098" s="3">
        <v>4</v>
      </c>
      <c r="G2098" s="6" t="s">
        <v>38</v>
      </c>
    </row>
    <row r="2099" spans="1:7" x14ac:dyDescent="0.3">
      <c r="A2099" s="2" t="s">
        <v>2644</v>
      </c>
      <c r="B2099" s="2" t="s">
        <v>2639</v>
      </c>
      <c r="C2099" s="6" t="s">
        <v>2640</v>
      </c>
      <c r="D2099" s="1">
        <v>45478</v>
      </c>
      <c r="E2099" s="4">
        <v>320.54000000000002</v>
      </c>
      <c r="F2099" s="3">
        <v>2</v>
      </c>
      <c r="G2099" s="6" t="s">
        <v>38</v>
      </c>
    </row>
    <row r="2100" spans="1:7" x14ac:dyDescent="0.3">
      <c r="A2100" s="2" t="s">
        <v>2645</v>
      </c>
      <c r="B2100" s="2" t="s">
        <v>2646</v>
      </c>
      <c r="C2100" s="6" t="s">
        <v>2647</v>
      </c>
      <c r="D2100" s="1">
        <v>45544</v>
      </c>
      <c r="E2100" s="4">
        <v>171.47</v>
      </c>
      <c r="F2100" s="3">
        <v>2</v>
      </c>
      <c r="G2100" s="6" t="s">
        <v>15</v>
      </c>
    </row>
    <row r="2101" spans="1:7" x14ac:dyDescent="0.3">
      <c r="A2101" s="2" t="s">
        <v>2648</v>
      </c>
      <c r="B2101" s="2" t="s">
        <v>2646</v>
      </c>
      <c r="C2101" s="6" t="s">
        <v>2647</v>
      </c>
      <c r="D2101" s="1">
        <v>45453</v>
      </c>
      <c r="E2101" s="4">
        <v>442.4</v>
      </c>
      <c r="F2101" s="3">
        <v>2</v>
      </c>
      <c r="G2101" s="6" t="s">
        <v>10</v>
      </c>
    </row>
    <row r="2102" spans="1:7" x14ac:dyDescent="0.3">
      <c r="A2102" s="2" t="s">
        <v>2649</v>
      </c>
      <c r="B2102" s="2" t="s">
        <v>2646</v>
      </c>
      <c r="C2102" s="6" t="s">
        <v>2647</v>
      </c>
      <c r="D2102" s="1">
        <v>45409</v>
      </c>
      <c r="E2102" s="4">
        <v>480.51</v>
      </c>
      <c r="F2102" s="3">
        <v>4</v>
      </c>
      <c r="G2102" s="6" t="s">
        <v>12</v>
      </c>
    </row>
    <row r="2103" spans="1:7" x14ac:dyDescent="0.3">
      <c r="A2103" s="2" t="s">
        <v>2650</v>
      </c>
      <c r="B2103" s="2" t="s">
        <v>2646</v>
      </c>
      <c r="C2103" s="6" t="s">
        <v>2647</v>
      </c>
      <c r="D2103" s="1">
        <v>45555</v>
      </c>
      <c r="E2103" s="4">
        <v>212.73</v>
      </c>
      <c r="F2103" s="3">
        <v>1</v>
      </c>
      <c r="G2103" s="6" t="s">
        <v>10</v>
      </c>
    </row>
    <row r="2104" spans="1:7" x14ac:dyDescent="0.3">
      <c r="A2104" s="2" t="s">
        <v>2651</v>
      </c>
      <c r="B2104" s="2" t="s">
        <v>2646</v>
      </c>
      <c r="C2104" s="6" t="s">
        <v>2647</v>
      </c>
      <c r="D2104" s="1">
        <v>45489</v>
      </c>
      <c r="E2104" s="4">
        <v>33.409999999999997</v>
      </c>
      <c r="F2104" s="3">
        <v>4</v>
      </c>
      <c r="G2104" s="6" t="s">
        <v>15</v>
      </c>
    </row>
    <row r="2105" spans="1:7" x14ac:dyDescent="0.3">
      <c r="A2105" s="2" t="s">
        <v>2652</v>
      </c>
      <c r="B2105" s="2" t="s">
        <v>2646</v>
      </c>
      <c r="C2105" s="6" t="s">
        <v>2647</v>
      </c>
      <c r="D2105" s="1">
        <v>45468</v>
      </c>
      <c r="E2105" s="4">
        <v>107.59</v>
      </c>
      <c r="F2105" s="3">
        <v>4</v>
      </c>
      <c r="G2105" s="6" t="s">
        <v>26</v>
      </c>
    </row>
    <row r="2106" spans="1:7" x14ac:dyDescent="0.3">
      <c r="A2106" s="2" t="s">
        <v>2653</v>
      </c>
      <c r="B2106" s="2" t="s">
        <v>2646</v>
      </c>
      <c r="C2106" s="6" t="s">
        <v>2647</v>
      </c>
      <c r="D2106" s="1">
        <v>45485</v>
      </c>
      <c r="E2106" s="4">
        <v>458.55</v>
      </c>
      <c r="F2106" s="3">
        <v>3</v>
      </c>
      <c r="G2106" s="6" t="s">
        <v>26</v>
      </c>
    </row>
    <row r="2107" spans="1:7" x14ac:dyDescent="0.3">
      <c r="A2107" s="2" t="s">
        <v>2654</v>
      </c>
      <c r="B2107" s="2" t="s">
        <v>2646</v>
      </c>
      <c r="C2107" s="6" t="s">
        <v>2647</v>
      </c>
      <c r="D2107" s="1">
        <v>45613</v>
      </c>
      <c r="E2107" s="4">
        <v>142.01</v>
      </c>
      <c r="F2107" s="3">
        <v>3</v>
      </c>
      <c r="G2107" s="6" t="s">
        <v>15</v>
      </c>
    </row>
    <row r="2108" spans="1:7" x14ac:dyDescent="0.3">
      <c r="A2108" s="2" t="s">
        <v>2655</v>
      </c>
      <c r="B2108" s="2" t="s">
        <v>2646</v>
      </c>
      <c r="C2108" s="6" t="s">
        <v>2647</v>
      </c>
      <c r="D2108" s="1">
        <v>45505</v>
      </c>
      <c r="E2108" s="4">
        <v>38.54</v>
      </c>
      <c r="F2108" s="3">
        <v>4</v>
      </c>
      <c r="G2108" s="6" t="s">
        <v>18</v>
      </c>
    </row>
    <row r="2109" spans="1:7" x14ac:dyDescent="0.3">
      <c r="A2109" s="2" t="s">
        <v>2656</v>
      </c>
      <c r="B2109" s="2" t="s">
        <v>2646</v>
      </c>
      <c r="C2109" s="6" t="s">
        <v>2647</v>
      </c>
      <c r="D2109" s="1">
        <v>45571</v>
      </c>
      <c r="E2109" s="4">
        <v>60.42</v>
      </c>
      <c r="F2109" s="3">
        <v>2</v>
      </c>
      <c r="G2109" s="6" t="s">
        <v>10</v>
      </c>
    </row>
    <row r="2110" spans="1:7" x14ac:dyDescent="0.3">
      <c r="A2110" s="2" t="s">
        <v>2657</v>
      </c>
      <c r="B2110" s="2" t="s">
        <v>2646</v>
      </c>
      <c r="C2110" s="6" t="s">
        <v>2647</v>
      </c>
      <c r="D2110" s="1">
        <v>45533</v>
      </c>
      <c r="E2110" s="4">
        <v>385.76</v>
      </c>
      <c r="F2110" s="3">
        <v>2</v>
      </c>
      <c r="G2110" s="6" t="s">
        <v>18</v>
      </c>
    </row>
    <row r="2111" spans="1:7" x14ac:dyDescent="0.3">
      <c r="A2111" s="2" t="s">
        <v>2658</v>
      </c>
      <c r="B2111" s="2" t="s">
        <v>2646</v>
      </c>
      <c r="C2111" s="6" t="s">
        <v>2647</v>
      </c>
      <c r="D2111" s="1">
        <v>45633</v>
      </c>
      <c r="E2111" s="4">
        <v>363.51</v>
      </c>
      <c r="F2111" s="3">
        <v>2</v>
      </c>
      <c r="G2111" s="6" t="s">
        <v>12</v>
      </c>
    </row>
    <row r="2112" spans="1:7" x14ac:dyDescent="0.3">
      <c r="A2112" s="2" t="s">
        <v>2659</v>
      </c>
      <c r="B2112" s="2" t="s">
        <v>2660</v>
      </c>
      <c r="C2112" s="6" t="s">
        <v>2661</v>
      </c>
      <c r="D2112" s="1">
        <v>45495</v>
      </c>
      <c r="E2112" s="4">
        <v>389.58</v>
      </c>
      <c r="F2112" s="3">
        <v>4</v>
      </c>
      <c r="G2112" s="6" t="s">
        <v>12</v>
      </c>
    </row>
    <row r="2113" spans="1:7" x14ac:dyDescent="0.3">
      <c r="A2113" s="2" t="s">
        <v>2662</v>
      </c>
      <c r="B2113" s="2" t="s">
        <v>2660</v>
      </c>
      <c r="C2113" s="6" t="s">
        <v>2661</v>
      </c>
      <c r="D2113" s="1">
        <v>45127</v>
      </c>
      <c r="E2113" s="4">
        <v>195.55</v>
      </c>
      <c r="F2113" s="3">
        <v>3</v>
      </c>
      <c r="G2113" s="6" t="s">
        <v>26</v>
      </c>
    </row>
    <row r="2114" spans="1:7" x14ac:dyDescent="0.3">
      <c r="A2114" s="2" t="s">
        <v>2663</v>
      </c>
      <c r="B2114" s="2" t="s">
        <v>2660</v>
      </c>
      <c r="C2114" s="6" t="s">
        <v>2661</v>
      </c>
      <c r="D2114" s="1">
        <v>45215</v>
      </c>
      <c r="E2114" s="4">
        <v>269.47000000000003</v>
      </c>
      <c r="F2114" s="3">
        <v>2</v>
      </c>
      <c r="G2114" s="6" t="s">
        <v>18</v>
      </c>
    </row>
    <row r="2115" spans="1:7" x14ac:dyDescent="0.3">
      <c r="A2115" s="2" t="s">
        <v>2664</v>
      </c>
      <c r="B2115" s="2" t="s">
        <v>2660</v>
      </c>
      <c r="C2115" s="6" t="s">
        <v>2661</v>
      </c>
      <c r="D2115" s="1">
        <v>45186</v>
      </c>
      <c r="E2115" s="4">
        <v>133.68</v>
      </c>
      <c r="F2115" s="3">
        <v>3</v>
      </c>
      <c r="G2115" s="6" t="s">
        <v>15</v>
      </c>
    </row>
    <row r="2116" spans="1:7" x14ac:dyDescent="0.3">
      <c r="A2116" s="2" t="s">
        <v>2665</v>
      </c>
      <c r="B2116" s="2" t="s">
        <v>2660</v>
      </c>
      <c r="C2116" s="6" t="s">
        <v>2661</v>
      </c>
      <c r="D2116" s="1">
        <v>45328</v>
      </c>
      <c r="E2116" s="4">
        <v>301.69</v>
      </c>
      <c r="F2116" s="3">
        <v>2</v>
      </c>
      <c r="G2116" s="6" t="s">
        <v>26</v>
      </c>
    </row>
    <row r="2117" spans="1:7" x14ac:dyDescent="0.3">
      <c r="A2117" s="2" t="s">
        <v>2666</v>
      </c>
      <c r="B2117" s="2" t="s">
        <v>2660</v>
      </c>
      <c r="C2117" s="6" t="s">
        <v>2661</v>
      </c>
      <c r="D2117" s="1">
        <v>45325</v>
      </c>
      <c r="E2117" s="4">
        <v>314.95999999999998</v>
      </c>
      <c r="F2117" s="3">
        <v>3</v>
      </c>
      <c r="G2117" s="6" t="s">
        <v>38</v>
      </c>
    </row>
    <row r="2118" spans="1:7" x14ac:dyDescent="0.3">
      <c r="A2118" s="2" t="s">
        <v>2667</v>
      </c>
      <c r="B2118" s="2" t="s">
        <v>2660</v>
      </c>
      <c r="C2118" s="6" t="s">
        <v>2661</v>
      </c>
      <c r="D2118" s="1">
        <v>45629</v>
      </c>
      <c r="E2118" s="4">
        <v>280.33</v>
      </c>
      <c r="F2118" s="3">
        <v>2</v>
      </c>
      <c r="G2118" s="6" t="s">
        <v>26</v>
      </c>
    </row>
    <row r="2119" spans="1:7" x14ac:dyDescent="0.3">
      <c r="A2119" s="2" t="s">
        <v>2668</v>
      </c>
      <c r="B2119" s="2" t="s">
        <v>2660</v>
      </c>
      <c r="C2119" s="6" t="s">
        <v>2661</v>
      </c>
      <c r="D2119" s="1">
        <v>45107</v>
      </c>
      <c r="E2119" s="4">
        <v>26.1</v>
      </c>
      <c r="F2119" s="3">
        <v>4</v>
      </c>
      <c r="G2119" s="6" t="s">
        <v>18</v>
      </c>
    </row>
    <row r="2120" spans="1:7" x14ac:dyDescent="0.3">
      <c r="A2120" s="2" t="s">
        <v>2669</v>
      </c>
      <c r="B2120" s="2" t="s">
        <v>2670</v>
      </c>
      <c r="C2120" s="6" t="s">
        <v>2671</v>
      </c>
      <c r="D2120" s="1">
        <v>45640</v>
      </c>
      <c r="E2120" s="4">
        <v>122.89</v>
      </c>
      <c r="F2120" s="3">
        <v>2</v>
      </c>
      <c r="G2120" s="6" t="s">
        <v>15</v>
      </c>
    </row>
    <row r="2121" spans="1:7" x14ac:dyDescent="0.3">
      <c r="A2121" s="2" t="s">
        <v>2672</v>
      </c>
      <c r="B2121" s="2" t="s">
        <v>2670</v>
      </c>
      <c r="C2121" s="6" t="s">
        <v>2671</v>
      </c>
      <c r="D2121" s="1">
        <v>45622</v>
      </c>
      <c r="E2121" s="4">
        <v>139.96</v>
      </c>
      <c r="F2121" s="3">
        <v>2</v>
      </c>
      <c r="G2121" s="6" t="s">
        <v>15</v>
      </c>
    </row>
    <row r="2122" spans="1:7" x14ac:dyDescent="0.3">
      <c r="A2122" s="2" t="s">
        <v>2673</v>
      </c>
      <c r="B2122" s="2" t="s">
        <v>2670</v>
      </c>
      <c r="C2122" s="6" t="s">
        <v>2671</v>
      </c>
      <c r="D2122" s="1">
        <v>45526</v>
      </c>
      <c r="E2122" s="4">
        <v>474.62</v>
      </c>
      <c r="F2122" s="3">
        <v>4</v>
      </c>
      <c r="G2122" s="6" t="s">
        <v>12</v>
      </c>
    </row>
    <row r="2123" spans="1:7" x14ac:dyDescent="0.3">
      <c r="A2123" s="2" t="s">
        <v>2674</v>
      </c>
      <c r="B2123" s="2" t="s">
        <v>2670</v>
      </c>
      <c r="C2123" s="6" t="s">
        <v>2671</v>
      </c>
      <c r="D2123" s="1">
        <v>45655</v>
      </c>
      <c r="E2123" s="4">
        <v>427.46</v>
      </c>
      <c r="F2123" s="3">
        <v>3</v>
      </c>
      <c r="G2123" s="6" t="s">
        <v>12</v>
      </c>
    </row>
    <row r="2124" spans="1:7" x14ac:dyDescent="0.3">
      <c r="A2124" s="2" t="s">
        <v>2675</v>
      </c>
      <c r="B2124" s="2" t="s">
        <v>2670</v>
      </c>
      <c r="C2124" s="6" t="s">
        <v>2671</v>
      </c>
      <c r="D2124" s="1">
        <v>45571</v>
      </c>
      <c r="E2124" s="4">
        <v>467.68</v>
      </c>
      <c r="F2124" s="3">
        <v>3</v>
      </c>
      <c r="G2124" s="6" t="s">
        <v>15</v>
      </c>
    </row>
    <row r="2125" spans="1:7" x14ac:dyDescent="0.3">
      <c r="A2125" s="2" t="s">
        <v>2676</v>
      </c>
      <c r="B2125" s="2" t="s">
        <v>2670</v>
      </c>
      <c r="C2125" s="6" t="s">
        <v>2671</v>
      </c>
      <c r="D2125" s="1">
        <v>45647</v>
      </c>
      <c r="E2125" s="4">
        <v>230.05</v>
      </c>
      <c r="F2125" s="3">
        <v>3</v>
      </c>
      <c r="G2125" s="6" t="s">
        <v>18</v>
      </c>
    </row>
    <row r="2126" spans="1:7" x14ac:dyDescent="0.3">
      <c r="A2126" s="2" t="s">
        <v>2677</v>
      </c>
      <c r="B2126" s="2" t="s">
        <v>2670</v>
      </c>
      <c r="C2126" s="6" t="s">
        <v>2671</v>
      </c>
      <c r="D2126" s="1">
        <v>45543</v>
      </c>
      <c r="E2126" s="4">
        <v>379.35</v>
      </c>
      <c r="F2126" s="3">
        <v>4</v>
      </c>
      <c r="G2126" s="6" t="s">
        <v>38</v>
      </c>
    </row>
    <row r="2127" spans="1:7" x14ac:dyDescent="0.3">
      <c r="A2127" s="2" t="s">
        <v>2678</v>
      </c>
      <c r="B2127" s="2" t="s">
        <v>2679</v>
      </c>
      <c r="C2127" s="6" t="s">
        <v>2680</v>
      </c>
      <c r="D2127" s="1">
        <v>45636</v>
      </c>
      <c r="E2127" s="4">
        <v>366.51</v>
      </c>
      <c r="F2127" s="3">
        <v>2</v>
      </c>
      <c r="G2127" s="6" t="s">
        <v>12</v>
      </c>
    </row>
    <row r="2128" spans="1:7" x14ac:dyDescent="0.3">
      <c r="A2128" s="2" t="s">
        <v>2681</v>
      </c>
      <c r="B2128" s="2" t="s">
        <v>2679</v>
      </c>
      <c r="C2128" s="6" t="s">
        <v>2680</v>
      </c>
      <c r="D2128" s="1">
        <v>45604</v>
      </c>
      <c r="E2128" s="4">
        <v>315.06</v>
      </c>
      <c r="F2128" s="3">
        <v>3</v>
      </c>
      <c r="G2128" s="6" t="s">
        <v>12</v>
      </c>
    </row>
    <row r="2129" spans="1:7" x14ac:dyDescent="0.3">
      <c r="A2129" s="2" t="s">
        <v>2682</v>
      </c>
      <c r="B2129" s="2" t="s">
        <v>2679</v>
      </c>
      <c r="C2129" s="6" t="s">
        <v>2680</v>
      </c>
      <c r="D2129" s="1">
        <v>45429</v>
      </c>
      <c r="E2129" s="4">
        <v>65.069999999999993</v>
      </c>
      <c r="F2129" s="3">
        <v>4</v>
      </c>
      <c r="G2129" s="6" t="s">
        <v>26</v>
      </c>
    </row>
    <row r="2130" spans="1:7" x14ac:dyDescent="0.3">
      <c r="A2130" s="2" t="s">
        <v>2683</v>
      </c>
      <c r="B2130" s="2" t="s">
        <v>2679</v>
      </c>
      <c r="C2130" s="6" t="s">
        <v>2680</v>
      </c>
      <c r="D2130" s="1">
        <v>45599</v>
      </c>
      <c r="E2130" s="4">
        <v>420</v>
      </c>
      <c r="F2130" s="3">
        <v>1</v>
      </c>
      <c r="G2130" s="6" t="s">
        <v>38</v>
      </c>
    </row>
    <row r="2131" spans="1:7" x14ac:dyDescent="0.3">
      <c r="A2131" s="2" t="s">
        <v>2684</v>
      </c>
      <c r="B2131" s="2" t="s">
        <v>2679</v>
      </c>
      <c r="C2131" s="6" t="s">
        <v>2680</v>
      </c>
      <c r="D2131" s="1">
        <v>45563</v>
      </c>
      <c r="E2131" s="4">
        <v>42.24</v>
      </c>
      <c r="F2131" s="3">
        <v>3</v>
      </c>
      <c r="G2131" s="6" t="s">
        <v>18</v>
      </c>
    </row>
    <row r="2132" spans="1:7" x14ac:dyDescent="0.3">
      <c r="A2132" s="2" t="s">
        <v>2685</v>
      </c>
      <c r="B2132" s="2" t="s">
        <v>2679</v>
      </c>
      <c r="C2132" s="6" t="s">
        <v>2680</v>
      </c>
      <c r="D2132" s="1">
        <v>45552</v>
      </c>
      <c r="E2132" s="4">
        <v>200.45</v>
      </c>
      <c r="F2132" s="3">
        <v>1</v>
      </c>
      <c r="G2132" s="6" t="s">
        <v>10</v>
      </c>
    </row>
    <row r="2133" spans="1:7" x14ac:dyDescent="0.3">
      <c r="A2133" s="2" t="s">
        <v>2686</v>
      </c>
      <c r="B2133" s="2" t="s">
        <v>2679</v>
      </c>
      <c r="C2133" s="6" t="s">
        <v>2680</v>
      </c>
      <c r="D2133" s="1">
        <v>45539</v>
      </c>
      <c r="E2133" s="4">
        <v>192.2</v>
      </c>
      <c r="F2133" s="3">
        <v>3</v>
      </c>
      <c r="G2133" s="6" t="s">
        <v>38</v>
      </c>
    </row>
    <row r="2134" spans="1:7" x14ac:dyDescent="0.3">
      <c r="A2134" s="2" t="s">
        <v>2687</v>
      </c>
      <c r="B2134" s="2" t="s">
        <v>2679</v>
      </c>
      <c r="C2134" s="6" t="s">
        <v>2680</v>
      </c>
      <c r="D2134" s="1">
        <v>45550</v>
      </c>
      <c r="E2134" s="4">
        <v>266.91000000000003</v>
      </c>
      <c r="F2134" s="3">
        <v>2</v>
      </c>
      <c r="G2134" s="6" t="s">
        <v>10</v>
      </c>
    </row>
    <row r="2135" spans="1:7" x14ac:dyDescent="0.3">
      <c r="A2135" s="2" t="s">
        <v>2688</v>
      </c>
      <c r="B2135" s="2" t="s">
        <v>2689</v>
      </c>
      <c r="C2135" s="6" t="s">
        <v>2690</v>
      </c>
      <c r="D2135" s="1">
        <v>45601</v>
      </c>
      <c r="E2135" s="4">
        <v>242.48</v>
      </c>
      <c r="F2135" s="3">
        <v>1</v>
      </c>
      <c r="G2135" s="6" t="s">
        <v>12</v>
      </c>
    </row>
    <row r="2136" spans="1:7" x14ac:dyDescent="0.3">
      <c r="A2136" s="2" t="s">
        <v>2691</v>
      </c>
      <c r="B2136" s="2" t="s">
        <v>2689</v>
      </c>
      <c r="C2136" s="6" t="s">
        <v>2690</v>
      </c>
      <c r="D2136" s="1">
        <v>45414</v>
      </c>
      <c r="E2136" s="4">
        <v>332.62</v>
      </c>
      <c r="F2136" s="3">
        <v>4</v>
      </c>
      <c r="G2136" s="6" t="s">
        <v>15</v>
      </c>
    </row>
    <row r="2137" spans="1:7" x14ac:dyDescent="0.3">
      <c r="A2137" s="2" t="s">
        <v>2692</v>
      </c>
      <c r="B2137" s="2" t="s">
        <v>2689</v>
      </c>
      <c r="C2137" s="6" t="s">
        <v>2690</v>
      </c>
      <c r="D2137" s="1">
        <v>45622</v>
      </c>
      <c r="E2137" s="4">
        <v>458.42</v>
      </c>
      <c r="F2137" s="3">
        <v>2</v>
      </c>
      <c r="G2137" s="6" t="s">
        <v>12</v>
      </c>
    </row>
    <row r="2138" spans="1:7" x14ac:dyDescent="0.3">
      <c r="A2138" s="2" t="s">
        <v>2693</v>
      </c>
      <c r="B2138" s="2" t="s">
        <v>2689</v>
      </c>
      <c r="C2138" s="6" t="s">
        <v>2690</v>
      </c>
      <c r="D2138" s="1">
        <v>45631</v>
      </c>
      <c r="E2138" s="4">
        <v>35.64</v>
      </c>
      <c r="F2138" s="3">
        <v>4</v>
      </c>
      <c r="G2138" s="6" t="s">
        <v>38</v>
      </c>
    </row>
    <row r="2139" spans="1:7" x14ac:dyDescent="0.3">
      <c r="A2139" s="2" t="s">
        <v>2694</v>
      </c>
      <c r="B2139" s="2" t="s">
        <v>2689</v>
      </c>
      <c r="C2139" s="6" t="s">
        <v>2690</v>
      </c>
      <c r="D2139" s="1">
        <v>45436</v>
      </c>
      <c r="E2139" s="4">
        <v>401.55</v>
      </c>
      <c r="F2139" s="3">
        <v>4</v>
      </c>
      <c r="G2139" s="6" t="s">
        <v>10</v>
      </c>
    </row>
    <row r="2140" spans="1:7" x14ac:dyDescent="0.3">
      <c r="A2140" s="2" t="s">
        <v>2695</v>
      </c>
      <c r="B2140" s="2" t="s">
        <v>2689</v>
      </c>
      <c r="C2140" s="6" t="s">
        <v>2690</v>
      </c>
      <c r="D2140" s="1">
        <v>45592</v>
      </c>
      <c r="E2140" s="4">
        <v>424.21</v>
      </c>
      <c r="F2140" s="3">
        <v>3</v>
      </c>
      <c r="G2140" s="6" t="s">
        <v>26</v>
      </c>
    </row>
    <row r="2141" spans="1:7" x14ac:dyDescent="0.3">
      <c r="A2141" s="2" t="s">
        <v>2696</v>
      </c>
      <c r="B2141" s="2" t="s">
        <v>2689</v>
      </c>
      <c r="C2141" s="6" t="s">
        <v>2690</v>
      </c>
      <c r="D2141" s="1">
        <v>45417</v>
      </c>
      <c r="E2141" s="4">
        <v>273.17</v>
      </c>
      <c r="F2141" s="3">
        <v>3</v>
      </c>
      <c r="G2141" s="6" t="s">
        <v>26</v>
      </c>
    </row>
    <row r="2142" spans="1:7" x14ac:dyDescent="0.3">
      <c r="A2142" s="2" t="s">
        <v>2697</v>
      </c>
      <c r="B2142" s="2" t="s">
        <v>2698</v>
      </c>
      <c r="C2142" s="6" t="s">
        <v>2699</v>
      </c>
      <c r="D2142" s="1">
        <v>45600</v>
      </c>
      <c r="E2142" s="4">
        <v>480.29</v>
      </c>
      <c r="F2142" s="3">
        <v>1</v>
      </c>
      <c r="G2142" s="6" t="s">
        <v>10</v>
      </c>
    </row>
    <row r="2143" spans="1:7" x14ac:dyDescent="0.3">
      <c r="A2143" s="2" t="s">
        <v>2700</v>
      </c>
      <c r="B2143" s="2" t="s">
        <v>2698</v>
      </c>
      <c r="C2143" s="6" t="s">
        <v>2699</v>
      </c>
      <c r="D2143" s="1">
        <v>45615</v>
      </c>
      <c r="E2143" s="4">
        <v>367.59</v>
      </c>
      <c r="F2143" s="3">
        <v>3</v>
      </c>
      <c r="G2143" s="6" t="s">
        <v>15</v>
      </c>
    </row>
    <row r="2144" spans="1:7" x14ac:dyDescent="0.3">
      <c r="A2144" s="2" t="s">
        <v>2701</v>
      </c>
      <c r="B2144" s="2" t="s">
        <v>2698</v>
      </c>
      <c r="C2144" s="6" t="s">
        <v>2699</v>
      </c>
      <c r="D2144" s="1">
        <v>45605</v>
      </c>
      <c r="E2144" s="4">
        <v>189.03</v>
      </c>
      <c r="F2144" s="3">
        <v>1</v>
      </c>
      <c r="G2144" s="6" t="s">
        <v>10</v>
      </c>
    </row>
    <row r="2145" spans="1:7" x14ac:dyDescent="0.3">
      <c r="A2145" s="2" t="s">
        <v>2702</v>
      </c>
      <c r="B2145" s="2" t="s">
        <v>2698</v>
      </c>
      <c r="C2145" s="6" t="s">
        <v>2699</v>
      </c>
      <c r="D2145" s="1">
        <v>45600</v>
      </c>
      <c r="E2145" s="4">
        <v>123.98</v>
      </c>
      <c r="F2145" s="3">
        <v>4</v>
      </c>
      <c r="G2145" s="6" t="s">
        <v>12</v>
      </c>
    </row>
    <row r="2146" spans="1:7" x14ac:dyDescent="0.3">
      <c r="A2146" s="2" t="s">
        <v>2703</v>
      </c>
      <c r="B2146" s="2" t="s">
        <v>2704</v>
      </c>
      <c r="C2146" s="6" t="s">
        <v>2705</v>
      </c>
      <c r="D2146" s="1">
        <v>45592</v>
      </c>
      <c r="E2146" s="4">
        <v>46.95</v>
      </c>
      <c r="F2146" s="3">
        <v>2</v>
      </c>
      <c r="G2146" s="6" t="s">
        <v>12</v>
      </c>
    </row>
    <row r="2147" spans="1:7" x14ac:dyDescent="0.3">
      <c r="A2147" s="2" t="s">
        <v>2706</v>
      </c>
      <c r="B2147" s="2" t="s">
        <v>2704</v>
      </c>
      <c r="C2147" s="6" t="s">
        <v>2705</v>
      </c>
      <c r="D2147" s="1">
        <v>45417</v>
      </c>
      <c r="E2147" s="4">
        <v>445.25</v>
      </c>
      <c r="F2147" s="3">
        <v>3</v>
      </c>
      <c r="G2147" s="6" t="s">
        <v>26</v>
      </c>
    </row>
    <row r="2148" spans="1:7" x14ac:dyDescent="0.3">
      <c r="A2148" s="2" t="s">
        <v>2707</v>
      </c>
      <c r="B2148" s="2" t="s">
        <v>2704</v>
      </c>
      <c r="C2148" s="6" t="s">
        <v>2705</v>
      </c>
      <c r="D2148" s="1">
        <v>45378</v>
      </c>
      <c r="E2148" s="4">
        <v>102.36</v>
      </c>
      <c r="F2148" s="3">
        <v>1</v>
      </c>
      <c r="G2148" s="6" t="s">
        <v>38</v>
      </c>
    </row>
    <row r="2149" spans="1:7" x14ac:dyDescent="0.3">
      <c r="A2149" s="2" t="s">
        <v>2708</v>
      </c>
      <c r="B2149" s="2" t="s">
        <v>2704</v>
      </c>
      <c r="C2149" s="6" t="s">
        <v>2705</v>
      </c>
      <c r="D2149" s="1">
        <v>45219</v>
      </c>
      <c r="E2149" s="4">
        <v>174.83</v>
      </c>
      <c r="F2149" s="3">
        <v>3</v>
      </c>
      <c r="G2149" s="6" t="s">
        <v>18</v>
      </c>
    </row>
    <row r="2150" spans="1:7" x14ac:dyDescent="0.3">
      <c r="A2150" s="2" t="s">
        <v>2709</v>
      </c>
      <c r="B2150" s="2" t="s">
        <v>2704</v>
      </c>
      <c r="C2150" s="6" t="s">
        <v>2705</v>
      </c>
      <c r="D2150" s="1">
        <v>45207</v>
      </c>
      <c r="E2150" s="4">
        <v>351.22</v>
      </c>
      <c r="F2150" s="3">
        <v>3</v>
      </c>
      <c r="G2150" s="6" t="s">
        <v>38</v>
      </c>
    </row>
    <row r="2151" spans="1:7" x14ac:dyDescent="0.3">
      <c r="A2151" s="2" t="s">
        <v>2710</v>
      </c>
      <c r="B2151" s="2" t="s">
        <v>2704</v>
      </c>
      <c r="C2151" s="6" t="s">
        <v>2705</v>
      </c>
      <c r="D2151" s="1">
        <v>45584</v>
      </c>
      <c r="E2151" s="4">
        <v>374.37</v>
      </c>
      <c r="F2151" s="3">
        <v>1</v>
      </c>
      <c r="G2151" s="6" t="s">
        <v>12</v>
      </c>
    </row>
    <row r="2152" spans="1:7" x14ac:dyDescent="0.3">
      <c r="A2152" s="2" t="s">
        <v>2711</v>
      </c>
      <c r="B2152" s="2" t="s">
        <v>2712</v>
      </c>
      <c r="C2152" s="6" t="s">
        <v>2713</v>
      </c>
      <c r="D2152" s="1">
        <v>45651</v>
      </c>
      <c r="E2152" s="4">
        <v>296.97000000000003</v>
      </c>
      <c r="F2152" s="3">
        <v>3</v>
      </c>
      <c r="G2152" s="6" t="s">
        <v>15</v>
      </c>
    </row>
    <row r="2153" spans="1:7" x14ac:dyDescent="0.3">
      <c r="A2153" s="2" t="s">
        <v>2714</v>
      </c>
      <c r="B2153" s="2" t="s">
        <v>2715</v>
      </c>
      <c r="C2153" s="6" t="s">
        <v>2716</v>
      </c>
      <c r="D2153" s="1">
        <v>45553</v>
      </c>
      <c r="E2153" s="4">
        <v>35.94</v>
      </c>
      <c r="F2153" s="3">
        <v>4</v>
      </c>
      <c r="G2153" s="6" t="s">
        <v>10</v>
      </c>
    </row>
    <row r="2154" spans="1:7" x14ac:dyDescent="0.3">
      <c r="A2154" s="2" t="s">
        <v>2717</v>
      </c>
      <c r="B2154" s="2" t="s">
        <v>2715</v>
      </c>
      <c r="C2154" s="6" t="s">
        <v>2716</v>
      </c>
      <c r="D2154" s="1">
        <v>45637</v>
      </c>
      <c r="E2154" s="4">
        <v>441.89</v>
      </c>
      <c r="F2154" s="3">
        <v>2</v>
      </c>
      <c r="G2154" s="6" t="s">
        <v>38</v>
      </c>
    </row>
    <row r="2155" spans="1:7" x14ac:dyDescent="0.3">
      <c r="A2155" s="2" t="s">
        <v>2718</v>
      </c>
      <c r="B2155" s="2" t="s">
        <v>2719</v>
      </c>
      <c r="C2155" s="6" t="s">
        <v>2720</v>
      </c>
      <c r="D2155" s="1">
        <v>45476</v>
      </c>
      <c r="E2155" s="4">
        <v>292.7</v>
      </c>
      <c r="F2155" s="3">
        <v>4</v>
      </c>
      <c r="G2155" s="6" t="s">
        <v>10</v>
      </c>
    </row>
    <row r="2156" spans="1:7" x14ac:dyDescent="0.3">
      <c r="A2156" s="2" t="s">
        <v>2721</v>
      </c>
      <c r="B2156" s="2" t="s">
        <v>2719</v>
      </c>
      <c r="C2156" s="6" t="s">
        <v>2720</v>
      </c>
      <c r="D2156" s="1">
        <v>45638</v>
      </c>
      <c r="E2156" s="4">
        <v>411.19</v>
      </c>
      <c r="F2156" s="3">
        <v>1</v>
      </c>
      <c r="G2156" s="6" t="s">
        <v>10</v>
      </c>
    </row>
    <row r="2157" spans="1:7" x14ac:dyDescent="0.3">
      <c r="A2157" s="2" t="s">
        <v>2722</v>
      </c>
      <c r="B2157" s="2" t="s">
        <v>2719</v>
      </c>
      <c r="C2157" s="6" t="s">
        <v>2720</v>
      </c>
      <c r="D2157" s="1">
        <v>45592</v>
      </c>
      <c r="E2157" s="4">
        <v>199.37</v>
      </c>
      <c r="F2157" s="3">
        <v>2</v>
      </c>
      <c r="G2157" s="6" t="s">
        <v>38</v>
      </c>
    </row>
    <row r="2158" spans="1:7" x14ac:dyDescent="0.3">
      <c r="A2158" s="2" t="s">
        <v>2723</v>
      </c>
      <c r="B2158" s="2" t="s">
        <v>2719</v>
      </c>
      <c r="C2158" s="6" t="s">
        <v>2720</v>
      </c>
      <c r="D2158" s="1">
        <v>45641</v>
      </c>
      <c r="E2158" s="4">
        <v>12.87</v>
      </c>
      <c r="F2158" s="3">
        <v>4</v>
      </c>
      <c r="G2158" s="6" t="s">
        <v>18</v>
      </c>
    </row>
    <row r="2159" spans="1:7" x14ac:dyDescent="0.3">
      <c r="A2159" s="2" t="s">
        <v>2724</v>
      </c>
      <c r="B2159" s="2" t="s">
        <v>2719</v>
      </c>
      <c r="C2159" s="6" t="s">
        <v>2720</v>
      </c>
      <c r="D2159" s="1">
        <v>45555</v>
      </c>
      <c r="E2159" s="4">
        <v>48.16</v>
      </c>
      <c r="F2159" s="3">
        <v>4</v>
      </c>
      <c r="G2159" s="6" t="s">
        <v>18</v>
      </c>
    </row>
    <row r="2160" spans="1:7" x14ac:dyDescent="0.3">
      <c r="A2160" s="2" t="s">
        <v>2725</v>
      </c>
      <c r="B2160" s="2" t="s">
        <v>2719</v>
      </c>
      <c r="C2160" s="6" t="s">
        <v>2720</v>
      </c>
      <c r="D2160" s="1">
        <v>45594</v>
      </c>
      <c r="E2160" s="4">
        <v>142.63</v>
      </c>
      <c r="F2160" s="3">
        <v>4</v>
      </c>
      <c r="G2160" s="6" t="s">
        <v>15</v>
      </c>
    </row>
    <row r="2161" spans="1:7" x14ac:dyDescent="0.3">
      <c r="A2161" s="2" t="s">
        <v>2726</v>
      </c>
      <c r="B2161" s="2" t="s">
        <v>2719</v>
      </c>
      <c r="C2161" s="6" t="s">
        <v>2720</v>
      </c>
      <c r="D2161" s="1">
        <v>45562</v>
      </c>
      <c r="E2161" s="4">
        <v>256.49</v>
      </c>
      <c r="F2161" s="3">
        <v>1</v>
      </c>
      <c r="G2161" s="6" t="s">
        <v>12</v>
      </c>
    </row>
    <row r="2162" spans="1:7" x14ac:dyDescent="0.3">
      <c r="A2162" s="2" t="s">
        <v>2727</v>
      </c>
      <c r="B2162" s="2" t="s">
        <v>2719</v>
      </c>
      <c r="C2162" s="6" t="s">
        <v>2720</v>
      </c>
      <c r="D2162" s="1">
        <v>45540</v>
      </c>
      <c r="E2162" s="4">
        <v>372.39</v>
      </c>
      <c r="F2162" s="3">
        <v>2</v>
      </c>
      <c r="G2162" s="6" t="s">
        <v>15</v>
      </c>
    </row>
    <row r="2163" spans="1:7" x14ac:dyDescent="0.3">
      <c r="A2163" s="2" t="s">
        <v>2728</v>
      </c>
      <c r="B2163" s="2" t="s">
        <v>2719</v>
      </c>
      <c r="C2163" s="6" t="s">
        <v>2720</v>
      </c>
      <c r="D2163" s="1">
        <v>45624</v>
      </c>
      <c r="E2163" s="4">
        <v>211.05</v>
      </c>
      <c r="F2163" s="3">
        <v>1</v>
      </c>
      <c r="G2163" s="6" t="s">
        <v>12</v>
      </c>
    </row>
    <row r="2164" spans="1:7" x14ac:dyDescent="0.3">
      <c r="A2164" s="2" t="s">
        <v>2729</v>
      </c>
      <c r="B2164" s="2" t="s">
        <v>2719</v>
      </c>
      <c r="C2164" s="6" t="s">
        <v>2720</v>
      </c>
      <c r="D2164" s="1">
        <v>45507</v>
      </c>
      <c r="E2164" s="4">
        <v>150.62</v>
      </c>
      <c r="F2164" s="3">
        <v>3</v>
      </c>
      <c r="G2164" s="6" t="s">
        <v>10</v>
      </c>
    </row>
    <row r="2165" spans="1:7" x14ac:dyDescent="0.3">
      <c r="A2165" s="2" t="s">
        <v>2730</v>
      </c>
      <c r="B2165" s="2" t="s">
        <v>2719</v>
      </c>
      <c r="C2165" s="6" t="s">
        <v>2720</v>
      </c>
      <c r="D2165" s="1">
        <v>45595</v>
      </c>
      <c r="E2165" s="4">
        <v>232.44</v>
      </c>
      <c r="F2165" s="3">
        <v>3</v>
      </c>
      <c r="G2165" s="6" t="s">
        <v>12</v>
      </c>
    </row>
    <row r="2166" spans="1:7" x14ac:dyDescent="0.3">
      <c r="A2166" s="2" t="s">
        <v>2731</v>
      </c>
      <c r="B2166" s="2" t="s">
        <v>2719</v>
      </c>
      <c r="C2166" s="6" t="s">
        <v>2720</v>
      </c>
      <c r="D2166" s="1">
        <v>45589</v>
      </c>
      <c r="E2166" s="4">
        <v>428.66</v>
      </c>
      <c r="F2166" s="3">
        <v>3</v>
      </c>
      <c r="G2166" s="6" t="s">
        <v>18</v>
      </c>
    </row>
    <row r="2167" spans="1:7" x14ac:dyDescent="0.3">
      <c r="A2167" s="2" t="s">
        <v>2732</v>
      </c>
      <c r="B2167" s="2" t="s">
        <v>2719</v>
      </c>
      <c r="C2167" s="6" t="s">
        <v>2720</v>
      </c>
      <c r="D2167" s="1">
        <v>45522</v>
      </c>
      <c r="E2167" s="4">
        <v>455.44</v>
      </c>
      <c r="F2167" s="3">
        <v>4</v>
      </c>
      <c r="G2167" s="6" t="s">
        <v>15</v>
      </c>
    </row>
    <row r="2168" spans="1:7" x14ac:dyDescent="0.3">
      <c r="A2168" s="2" t="s">
        <v>2733</v>
      </c>
      <c r="B2168" s="2" t="s">
        <v>2734</v>
      </c>
      <c r="C2168" s="6" t="s">
        <v>2735</v>
      </c>
      <c r="D2168" s="1">
        <v>45577</v>
      </c>
      <c r="E2168" s="4">
        <v>294.98</v>
      </c>
      <c r="F2168" s="3">
        <v>1</v>
      </c>
      <c r="G2168" s="6" t="s">
        <v>38</v>
      </c>
    </row>
    <row r="2169" spans="1:7" x14ac:dyDescent="0.3">
      <c r="A2169" s="2" t="s">
        <v>2736</v>
      </c>
      <c r="B2169" s="2" t="s">
        <v>2734</v>
      </c>
      <c r="C2169" s="6" t="s">
        <v>2735</v>
      </c>
      <c r="D2169" s="1">
        <v>45207</v>
      </c>
      <c r="E2169" s="4">
        <v>472.79</v>
      </c>
      <c r="F2169" s="3">
        <v>1</v>
      </c>
      <c r="G2169" s="6" t="s">
        <v>12</v>
      </c>
    </row>
    <row r="2170" spans="1:7" x14ac:dyDescent="0.3">
      <c r="A2170" s="2" t="s">
        <v>2737</v>
      </c>
      <c r="B2170" s="2" t="s">
        <v>2734</v>
      </c>
      <c r="C2170" s="6" t="s">
        <v>2735</v>
      </c>
      <c r="D2170" s="1">
        <v>45271</v>
      </c>
      <c r="E2170" s="4">
        <v>242.61</v>
      </c>
      <c r="F2170" s="3">
        <v>3</v>
      </c>
      <c r="G2170" s="6" t="s">
        <v>26</v>
      </c>
    </row>
    <row r="2171" spans="1:7" x14ac:dyDescent="0.3">
      <c r="A2171" s="2" t="s">
        <v>2738</v>
      </c>
      <c r="B2171" s="2" t="s">
        <v>2734</v>
      </c>
      <c r="C2171" s="6" t="s">
        <v>2735</v>
      </c>
      <c r="D2171" s="1">
        <v>45530</v>
      </c>
      <c r="E2171" s="4">
        <v>273.06</v>
      </c>
      <c r="F2171" s="3">
        <v>3</v>
      </c>
      <c r="G2171" s="6" t="s">
        <v>15</v>
      </c>
    </row>
    <row r="2172" spans="1:7" x14ac:dyDescent="0.3">
      <c r="A2172" s="2" t="s">
        <v>2739</v>
      </c>
      <c r="B2172" s="2" t="s">
        <v>2734</v>
      </c>
      <c r="C2172" s="6" t="s">
        <v>2735</v>
      </c>
      <c r="D2172" s="1">
        <v>45525</v>
      </c>
      <c r="E2172" s="4">
        <v>436.08</v>
      </c>
      <c r="F2172" s="3">
        <v>1</v>
      </c>
      <c r="G2172" s="6" t="s">
        <v>26</v>
      </c>
    </row>
    <row r="2173" spans="1:7" x14ac:dyDescent="0.3">
      <c r="A2173" s="2" t="s">
        <v>2740</v>
      </c>
      <c r="B2173" s="2" t="s">
        <v>2734</v>
      </c>
      <c r="C2173" s="6" t="s">
        <v>2735</v>
      </c>
      <c r="D2173" s="1">
        <v>45387</v>
      </c>
      <c r="E2173" s="4">
        <v>37.979999999999997</v>
      </c>
      <c r="F2173" s="3">
        <v>2</v>
      </c>
      <c r="G2173" s="6" t="s">
        <v>38</v>
      </c>
    </row>
    <row r="2174" spans="1:7" x14ac:dyDescent="0.3">
      <c r="A2174" s="2" t="s">
        <v>2741</v>
      </c>
      <c r="B2174" s="2" t="s">
        <v>2734</v>
      </c>
      <c r="C2174" s="6" t="s">
        <v>2735</v>
      </c>
      <c r="D2174" s="1">
        <v>45584</v>
      </c>
      <c r="E2174" s="4">
        <v>366.96</v>
      </c>
      <c r="F2174" s="3">
        <v>1</v>
      </c>
      <c r="G2174" s="6" t="s">
        <v>38</v>
      </c>
    </row>
    <row r="2175" spans="1:7" x14ac:dyDescent="0.3">
      <c r="A2175" s="2" t="s">
        <v>2742</v>
      </c>
      <c r="B2175" s="2" t="s">
        <v>2734</v>
      </c>
      <c r="C2175" s="6" t="s">
        <v>2735</v>
      </c>
      <c r="D2175" s="1">
        <v>45229</v>
      </c>
      <c r="E2175" s="4">
        <v>255.83</v>
      </c>
      <c r="F2175" s="3">
        <v>4</v>
      </c>
      <c r="G2175" s="6" t="s">
        <v>12</v>
      </c>
    </row>
    <row r="2176" spans="1:7" x14ac:dyDescent="0.3">
      <c r="A2176" s="2" t="s">
        <v>2743</v>
      </c>
      <c r="B2176" s="2" t="s">
        <v>2734</v>
      </c>
      <c r="C2176" s="6" t="s">
        <v>2735</v>
      </c>
      <c r="D2176" s="1">
        <v>45326</v>
      </c>
      <c r="E2176" s="4">
        <v>267.01</v>
      </c>
      <c r="F2176" s="3">
        <v>2</v>
      </c>
      <c r="G2176" s="6" t="s">
        <v>18</v>
      </c>
    </row>
    <row r="2177" spans="1:7" x14ac:dyDescent="0.3">
      <c r="A2177" s="2" t="s">
        <v>2744</v>
      </c>
      <c r="B2177" s="2" t="s">
        <v>2734</v>
      </c>
      <c r="C2177" s="6" t="s">
        <v>2735</v>
      </c>
      <c r="D2177" s="1">
        <v>45377</v>
      </c>
      <c r="E2177" s="4">
        <v>275.01</v>
      </c>
      <c r="F2177" s="3">
        <v>2</v>
      </c>
      <c r="G2177" s="6" t="s">
        <v>15</v>
      </c>
    </row>
    <row r="2178" spans="1:7" x14ac:dyDescent="0.3">
      <c r="A2178" s="2" t="s">
        <v>2745</v>
      </c>
      <c r="B2178" s="2" t="s">
        <v>2734</v>
      </c>
      <c r="C2178" s="6" t="s">
        <v>2735</v>
      </c>
      <c r="D2178" s="1">
        <v>45186</v>
      </c>
      <c r="E2178" s="4">
        <v>150.06</v>
      </c>
      <c r="F2178" s="3">
        <v>3</v>
      </c>
      <c r="G2178" s="6" t="s">
        <v>18</v>
      </c>
    </row>
    <row r="2179" spans="1:7" x14ac:dyDescent="0.3">
      <c r="A2179" s="2" t="s">
        <v>2746</v>
      </c>
      <c r="B2179" s="2" t="s">
        <v>2734</v>
      </c>
      <c r="C2179" s="6" t="s">
        <v>2735</v>
      </c>
      <c r="D2179" s="1">
        <v>45418</v>
      </c>
      <c r="E2179" s="4">
        <v>282.38</v>
      </c>
      <c r="F2179" s="3">
        <v>4</v>
      </c>
      <c r="G2179" s="6" t="s">
        <v>12</v>
      </c>
    </row>
    <row r="2180" spans="1:7" x14ac:dyDescent="0.3">
      <c r="A2180" s="2" t="s">
        <v>2747</v>
      </c>
      <c r="B2180" s="2" t="s">
        <v>2748</v>
      </c>
      <c r="C2180" s="6" t="s">
        <v>2749</v>
      </c>
      <c r="D2180" s="1">
        <v>45632</v>
      </c>
      <c r="E2180" s="4">
        <v>474.45</v>
      </c>
      <c r="F2180" s="3">
        <v>4</v>
      </c>
      <c r="G2180" s="6" t="s">
        <v>38</v>
      </c>
    </row>
    <row r="2181" spans="1:7" x14ac:dyDescent="0.3">
      <c r="A2181" s="2" t="s">
        <v>2750</v>
      </c>
      <c r="B2181" s="2" t="s">
        <v>2748</v>
      </c>
      <c r="C2181" s="6" t="s">
        <v>2749</v>
      </c>
      <c r="D2181" s="1">
        <v>45517</v>
      </c>
      <c r="E2181" s="4">
        <v>297.81</v>
      </c>
      <c r="F2181" s="3">
        <v>2</v>
      </c>
      <c r="G2181" s="6" t="s">
        <v>38</v>
      </c>
    </row>
    <row r="2182" spans="1:7" x14ac:dyDescent="0.3">
      <c r="A2182" s="2" t="s">
        <v>2751</v>
      </c>
      <c r="B2182" s="2" t="s">
        <v>2748</v>
      </c>
      <c r="C2182" s="6" t="s">
        <v>2749</v>
      </c>
      <c r="D2182" s="1">
        <v>45616</v>
      </c>
      <c r="E2182" s="4">
        <v>380.61</v>
      </c>
      <c r="F2182" s="3">
        <v>3</v>
      </c>
      <c r="G2182" s="6" t="s">
        <v>12</v>
      </c>
    </row>
    <row r="2183" spans="1:7" x14ac:dyDescent="0.3">
      <c r="A2183" s="2" t="s">
        <v>2752</v>
      </c>
      <c r="B2183" s="2" t="s">
        <v>2748</v>
      </c>
      <c r="C2183" s="6" t="s">
        <v>2749</v>
      </c>
      <c r="D2183" s="1">
        <v>45645</v>
      </c>
      <c r="E2183" s="4">
        <v>351.75</v>
      </c>
      <c r="F2183" s="3">
        <v>3</v>
      </c>
      <c r="G2183" s="6" t="s">
        <v>12</v>
      </c>
    </row>
    <row r="2184" spans="1:7" x14ac:dyDescent="0.3">
      <c r="A2184" s="2" t="s">
        <v>2753</v>
      </c>
      <c r="B2184" s="2" t="s">
        <v>2754</v>
      </c>
      <c r="C2184" s="6" t="s">
        <v>2755</v>
      </c>
      <c r="D2184" s="1">
        <v>45603</v>
      </c>
      <c r="E2184" s="4">
        <v>449.17</v>
      </c>
      <c r="F2184" s="3">
        <v>2</v>
      </c>
      <c r="G2184" s="6" t="s">
        <v>38</v>
      </c>
    </row>
    <row r="2185" spans="1:7" x14ac:dyDescent="0.3">
      <c r="A2185" s="2" t="s">
        <v>2756</v>
      </c>
      <c r="B2185" s="2" t="s">
        <v>2754</v>
      </c>
      <c r="C2185" s="6" t="s">
        <v>2755</v>
      </c>
      <c r="D2185" s="1">
        <v>45070</v>
      </c>
      <c r="E2185" s="4">
        <v>107.02</v>
      </c>
      <c r="F2185" s="3">
        <v>4</v>
      </c>
      <c r="G2185" s="6" t="s">
        <v>26</v>
      </c>
    </row>
    <row r="2186" spans="1:7" x14ac:dyDescent="0.3">
      <c r="A2186" s="2" t="s">
        <v>2757</v>
      </c>
      <c r="B2186" s="2" t="s">
        <v>2754</v>
      </c>
      <c r="C2186" s="6" t="s">
        <v>2755</v>
      </c>
      <c r="D2186" s="1">
        <v>45616</v>
      </c>
      <c r="E2186" s="4">
        <v>97.38</v>
      </c>
      <c r="F2186" s="3">
        <v>2</v>
      </c>
      <c r="G2186" s="6" t="s">
        <v>15</v>
      </c>
    </row>
    <row r="2187" spans="1:7" x14ac:dyDescent="0.3">
      <c r="A2187" s="2" t="s">
        <v>2758</v>
      </c>
      <c r="B2187" s="2" t="s">
        <v>2754</v>
      </c>
      <c r="C2187" s="6" t="s">
        <v>2755</v>
      </c>
      <c r="D2187" s="1">
        <v>45042</v>
      </c>
      <c r="E2187" s="4">
        <v>133.08000000000001</v>
      </c>
      <c r="F2187" s="3">
        <v>2</v>
      </c>
      <c r="G2187" s="6" t="s">
        <v>18</v>
      </c>
    </row>
    <row r="2188" spans="1:7" x14ac:dyDescent="0.3">
      <c r="A2188" s="2" t="s">
        <v>2759</v>
      </c>
      <c r="B2188" s="2" t="s">
        <v>2754</v>
      </c>
      <c r="C2188" s="6" t="s">
        <v>2755</v>
      </c>
      <c r="D2188" s="1">
        <v>45132</v>
      </c>
      <c r="E2188" s="4">
        <v>155.13</v>
      </c>
      <c r="F2188" s="3">
        <v>4</v>
      </c>
      <c r="G2188" s="6" t="s">
        <v>26</v>
      </c>
    </row>
    <row r="2189" spans="1:7" x14ac:dyDescent="0.3">
      <c r="A2189" s="2" t="s">
        <v>2760</v>
      </c>
      <c r="B2189" s="2" t="s">
        <v>2754</v>
      </c>
      <c r="C2189" s="6" t="s">
        <v>2755</v>
      </c>
      <c r="D2189" s="1">
        <v>45466</v>
      </c>
      <c r="E2189" s="4">
        <v>179.89</v>
      </c>
      <c r="F2189" s="3">
        <v>1</v>
      </c>
      <c r="G2189" s="6" t="s">
        <v>15</v>
      </c>
    </row>
    <row r="2190" spans="1:7" x14ac:dyDescent="0.3">
      <c r="A2190" s="2" t="s">
        <v>2761</v>
      </c>
      <c r="B2190" s="2" t="s">
        <v>2754</v>
      </c>
      <c r="C2190" s="6" t="s">
        <v>2755</v>
      </c>
      <c r="D2190" s="1">
        <v>45470</v>
      </c>
      <c r="E2190" s="4">
        <v>159.82</v>
      </c>
      <c r="F2190" s="3">
        <v>3</v>
      </c>
      <c r="G2190" s="6" t="s">
        <v>15</v>
      </c>
    </row>
    <row r="2191" spans="1:7" x14ac:dyDescent="0.3">
      <c r="A2191" s="2" t="s">
        <v>2762</v>
      </c>
      <c r="B2191" s="2" t="s">
        <v>2754</v>
      </c>
      <c r="C2191" s="6" t="s">
        <v>2755</v>
      </c>
      <c r="D2191" s="1">
        <v>45395</v>
      </c>
      <c r="E2191" s="4">
        <v>374.78</v>
      </c>
      <c r="F2191" s="3">
        <v>1</v>
      </c>
      <c r="G2191" s="6" t="s">
        <v>26</v>
      </c>
    </row>
    <row r="2192" spans="1:7" x14ac:dyDescent="0.3">
      <c r="A2192" s="2" t="s">
        <v>2763</v>
      </c>
      <c r="B2192" s="2" t="s">
        <v>2754</v>
      </c>
      <c r="C2192" s="6" t="s">
        <v>2755</v>
      </c>
      <c r="D2192" s="1">
        <v>45285</v>
      </c>
      <c r="E2192" s="4">
        <v>146.78</v>
      </c>
      <c r="F2192" s="3">
        <v>4</v>
      </c>
      <c r="G2192" s="6" t="s">
        <v>18</v>
      </c>
    </row>
    <row r="2193" spans="1:7" x14ac:dyDescent="0.3">
      <c r="A2193" s="2" t="s">
        <v>2764</v>
      </c>
      <c r="B2193" s="2" t="s">
        <v>2754</v>
      </c>
      <c r="C2193" s="6" t="s">
        <v>2755</v>
      </c>
      <c r="D2193" s="1">
        <v>45452</v>
      </c>
      <c r="E2193" s="4">
        <v>30.41</v>
      </c>
      <c r="F2193" s="3">
        <v>3</v>
      </c>
      <c r="G2193" s="6" t="s">
        <v>15</v>
      </c>
    </row>
    <row r="2194" spans="1:7" x14ac:dyDescent="0.3">
      <c r="A2194" s="2" t="s">
        <v>2765</v>
      </c>
      <c r="B2194" s="2" t="s">
        <v>2754</v>
      </c>
      <c r="C2194" s="6" t="s">
        <v>2755</v>
      </c>
      <c r="D2194" s="1">
        <v>45310</v>
      </c>
      <c r="E2194" s="4">
        <v>430.79</v>
      </c>
      <c r="F2194" s="3">
        <v>4</v>
      </c>
      <c r="G2194" s="6" t="s">
        <v>10</v>
      </c>
    </row>
    <row r="2195" spans="1:7" x14ac:dyDescent="0.3">
      <c r="A2195" s="2" t="s">
        <v>2766</v>
      </c>
      <c r="B2195" s="2" t="s">
        <v>2754</v>
      </c>
      <c r="C2195" s="6" t="s">
        <v>2755</v>
      </c>
      <c r="D2195" s="1">
        <v>45437</v>
      </c>
      <c r="E2195" s="4">
        <v>282.08999999999997</v>
      </c>
      <c r="F2195" s="3">
        <v>2</v>
      </c>
      <c r="G2195" s="6" t="s">
        <v>18</v>
      </c>
    </row>
    <row r="2196" spans="1:7" x14ac:dyDescent="0.3">
      <c r="A2196" s="2" t="s">
        <v>2767</v>
      </c>
      <c r="B2196" s="2" t="s">
        <v>2754</v>
      </c>
      <c r="C2196" s="6" t="s">
        <v>2755</v>
      </c>
      <c r="D2196" s="1">
        <v>45320</v>
      </c>
      <c r="E2196" s="4">
        <v>124.26</v>
      </c>
      <c r="F2196" s="3">
        <v>3</v>
      </c>
      <c r="G2196" s="6" t="s">
        <v>12</v>
      </c>
    </row>
    <row r="2197" spans="1:7" x14ac:dyDescent="0.3">
      <c r="A2197" s="2" t="s">
        <v>2768</v>
      </c>
      <c r="B2197" s="2" t="s">
        <v>2769</v>
      </c>
      <c r="C2197" s="6" t="s">
        <v>2770</v>
      </c>
      <c r="D2197" s="1">
        <v>45251</v>
      </c>
      <c r="E2197" s="4">
        <v>269.49</v>
      </c>
      <c r="F2197" s="3">
        <v>3</v>
      </c>
      <c r="G2197" s="6" t="s">
        <v>18</v>
      </c>
    </row>
    <row r="2198" spans="1:7" x14ac:dyDescent="0.3">
      <c r="A2198" s="2" t="s">
        <v>2771</v>
      </c>
      <c r="B2198" s="2" t="s">
        <v>2769</v>
      </c>
      <c r="C2198" s="6" t="s">
        <v>2770</v>
      </c>
      <c r="D2198" s="1">
        <v>45128</v>
      </c>
      <c r="E2198" s="4">
        <v>182.34</v>
      </c>
      <c r="F2198" s="3">
        <v>3</v>
      </c>
      <c r="G2198" s="6" t="s">
        <v>12</v>
      </c>
    </row>
    <row r="2199" spans="1:7" x14ac:dyDescent="0.3">
      <c r="A2199" s="2" t="s">
        <v>2772</v>
      </c>
      <c r="B2199" s="2" t="s">
        <v>2769</v>
      </c>
      <c r="C2199" s="6" t="s">
        <v>2770</v>
      </c>
      <c r="D2199" s="1">
        <v>45224</v>
      </c>
      <c r="E2199" s="4">
        <v>397.16</v>
      </c>
      <c r="F2199" s="3">
        <v>4</v>
      </c>
      <c r="G2199" s="6" t="s">
        <v>18</v>
      </c>
    </row>
    <row r="2200" spans="1:7" x14ac:dyDescent="0.3">
      <c r="A2200" s="2" t="s">
        <v>2773</v>
      </c>
      <c r="B2200" s="2" t="s">
        <v>2769</v>
      </c>
      <c r="C2200" s="6" t="s">
        <v>2770</v>
      </c>
      <c r="D2200" s="1">
        <v>45517</v>
      </c>
      <c r="E2200" s="4">
        <v>148.94</v>
      </c>
      <c r="F2200" s="3">
        <v>4</v>
      </c>
      <c r="G2200" s="6" t="s">
        <v>26</v>
      </c>
    </row>
    <row r="2201" spans="1:7" x14ac:dyDescent="0.3">
      <c r="A2201" s="2" t="s">
        <v>2774</v>
      </c>
      <c r="B2201" s="2" t="s">
        <v>2769</v>
      </c>
      <c r="C2201" s="6" t="s">
        <v>2770</v>
      </c>
      <c r="D2201" s="1">
        <v>45112</v>
      </c>
      <c r="E2201" s="4">
        <v>334.31</v>
      </c>
      <c r="F2201" s="3">
        <v>2</v>
      </c>
      <c r="G2201" s="6" t="s">
        <v>10</v>
      </c>
    </row>
    <row r="2202" spans="1:7" x14ac:dyDescent="0.3">
      <c r="A2202" s="2" t="s">
        <v>2775</v>
      </c>
      <c r="B2202" s="2" t="s">
        <v>2769</v>
      </c>
      <c r="C2202" s="6" t="s">
        <v>2770</v>
      </c>
      <c r="D2202" s="1">
        <v>45192</v>
      </c>
      <c r="E2202" s="4">
        <v>154.4</v>
      </c>
      <c r="F2202" s="3">
        <v>4</v>
      </c>
      <c r="G2202" s="6" t="s">
        <v>18</v>
      </c>
    </row>
    <row r="2203" spans="1:7" x14ac:dyDescent="0.3">
      <c r="A2203" s="2" t="s">
        <v>2776</v>
      </c>
      <c r="B2203" s="2" t="s">
        <v>2769</v>
      </c>
      <c r="C2203" s="6" t="s">
        <v>2770</v>
      </c>
      <c r="D2203" s="1">
        <v>45394</v>
      </c>
      <c r="E2203" s="4">
        <v>121.33</v>
      </c>
      <c r="F2203" s="3">
        <v>2</v>
      </c>
      <c r="G2203" s="6" t="s">
        <v>18</v>
      </c>
    </row>
    <row r="2204" spans="1:7" x14ac:dyDescent="0.3">
      <c r="A2204" s="2" t="s">
        <v>2777</v>
      </c>
      <c r="B2204" s="2" t="s">
        <v>2769</v>
      </c>
      <c r="C2204" s="6" t="s">
        <v>2770</v>
      </c>
      <c r="D2204" s="1">
        <v>45196</v>
      </c>
      <c r="E2204" s="4">
        <v>410.8</v>
      </c>
      <c r="F2204" s="3">
        <v>4</v>
      </c>
      <c r="G2204" s="6" t="s">
        <v>38</v>
      </c>
    </row>
    <row r="2205" spans="1:7" x14ac:dyDescent="0.3">
      <c r="A2205" s="2" t="s">
        <v>2778</v>
      </c>
      <c r="B2205" s="2" t="s">
        <v>2769</v>
      </c>
      <c r="C2205" s="6" t="s">
        <v>2770</v>
      </c>
      <c r="D2205" s="1">
        <v>45651</v>
      </c>
      <c r="E2205" s="4">
        <v>129.82</v>
      </c>
      <c r="F2205" s="3">
        <v>4</v>
      </c>
      <c r="G2205" s="6" t="s">
        <v>15</v>
      </c>
    </row>
    <row r="2206" spans="1:7" x14ac:dyDescent="0.3">
      <c r="A2206" s="2" t="s">
        <v>2779</v>
      </c>
      <c r="B2206" s="2" t="s">
        <v>2769</v>
      </c>
      <c r="C2206" s="6" t="s">
        <v>2770</v>
      </c>
      <c r="D2206" s="1">
        <v>45643</v>
      </c>
      <c r="E2206" s="4">
        <v>58.29</v>
      </c>
      <c r="F2206" s="3">
        <v>4</v>
      </c>
      <c r="G2206" s="6" t="s">
        <v>38</v>
      </c>
    </row>
    <row r="2207" spans="1:7" x14ac:dyDescent="0.3">
      <c r="A2207" s="2" t="s">
        <v>2780</v>
      </c>
      <c r="B2207" s="2" t="s">
        <v>2769</v>
      </c>
      <c r="C2207" s="6" t="s">
        <v>2770</v>
      </c>
      <c r="D2207" s="1">
        <v>45236</v>
      </c>
      <c r="E2207" s="4">
        <v>116.95</v>
      </c>
      <c r="F2207" s="3">
        <v>3</v>
      </c>
      <c r="G2207" s="6" t="s">
        <v>26</v>
      </c>
    </row>
    <row r="2208" spans="1:7" x14ac:dyDescent="0.3">
      <c r="A2208" s="2" t="s">
        <v>2781</v>
      </c>
      <c r="B2208" s="2" t="s">
        <v>2782</v>
      </c>
      <c r="C2208" s="6" t="s">
        <v>2783</v>
      </c>
      <c r="D2208" s="1">
        <v>45029</v>
      </c>
      <c r="E2208" s="4">
        <v>224.51</v>
      </c>
      <c r="F2208" s="3">
        <v>4</v>
      </c>
      <c r="G2208" s="6" t="s">
        <v>10</v>
      </c>
    </row>
    <row r="2209" spans="1:7" x14ac:dyDescent="0.3">
      <c r="A2209" s="2" t="s">
        <v>2784</v>
      </c>
      <c r="B2209" s="2" t="s">
        <v>2782</v>
      </c>
      <c r="C2209" s="6" t="s">
        <v>2783</v>
      </c>
      <c r="D2209" s="1">
        <v>45352</v>
      </c>
      <c r="E2209" s="4">
        <v>47.01</v>
      </c>
      <c r="F2209" s="3">
        <v>2</v>
      </c>
      <c r="G2209" s="6" t="s">
        <v>12</v>
      </c>
    </row>
    <row r="2210" spans="1:7" x14ac:dyDescent="0.3">
      <c r="A2210" s="2" t="s">
        <v>2785</v>
      </c>
      <c r="B2210" s="2" t="s">
        <v>2782</v>
      </c>
      <c r="C2210" s="6" t="s">
        <v>2783</v>
      </c>
      <c r="D2210" s="1">
        <v>45146</v>
      </c>
      <c r="E2210" s="4">
        <v>27.23</v>
      </c>
      <c r="F2210" s="3">
        <v>2</v>
      </c>
      <c r="G2210" s="6" t="s">
        <v>26</v>
      </c>
    </row>
    <row r="2211" spans="1:7" x14ac:dyDescent="0.3">
      <c r="A2211" s="2" t="s">
        <v>2786</v>
      </c>
      <c r="B2211" s="2" t="s">
        <v>2782</v>
      </c>
      <c r="C2211" s="6" t="s">
        <v>2783</v>
      </c>
      <c r="D2211" s="1">
        <v>45555</v>
      </c>
      <c r="E2211" s="4">
        <v>18.47</v>
      </c>
      <c r="F2211" s="3">
        <v>1</v>
      </c>
      <c r="G2211" s="6" t="s">
        <v>10</v>
      </c>
    </row>
    <row r="2212" spans="1:7" x14ac:dyDescent="0.3">
      <c r="A2212" s="2" t="s">
        <v>2787</v>
      </c>
      <c r="B2212" s="2" t="s">
        <v>2782</v>
      </c>
      <c r="C2212" s="6" t="s">
        <v>2783</v>
      </c>
      <c r="D2212" s="1">
        <v>45559</v>
      </c>
      <c r="E2212" s="4">
        <v>405.56</v>
      </c>
      <c r="F2212" s="3">
        <v>4</v>
      </c>
      <c r="G2212" s="6" t="s">
        <v>15</v>
      </c>
    </row>
    <row r="2213" spans="1:7" x14ac:dyDescent="0.3">
      <c r="A2213" s="2" t="s">
        <v>2788</v>
      </c>
      <c r="B2213" s="2" t="s">
        <v>2782</v>
      </c>
      <c r="C2213" s="6" t="s">
        <v>2783</v>
      </c>
      <c r="D2213" s="1">
        <v>45063</v>
      </c>
      <c r="E2213" s="4">
        <v>15.4</v>
      </c>
      <c r="F2213" s="3">
        <v>4</v>
      </c>
      <c r="G2213" s="6" t="s">
        <v>26</v>
      </c>
    </row>
    <row r="2214" spans="1:7" x14ac:dyDescent="0.3">
      <c r="A2214" s="2" t="s">
        <v>2789</v>
      </c>
      <c r="B2214" s="2" t="s">
        <v>2782</v>
      </c>
      <c r="C2214" s="6" t="s">
        <v>2783</v>
      </c>
      <c r="D2214" s="1">
        <v>45485</v>
      </c>
      <c r="E2214" s="4">
        <v>88.88</v>
      </c>
      <c r="F2214" s="3">
        <v>1</v>
      </c>
      <c r="G2214" s="6" t="s">
        <v>15</v>
      </c>
    </row>
    <row r="2215" spans="1:7" x14ac:dyDescent="0.3">
      <c r="A2215" s="2" t="s">
        <v>2790</v>
      </c>
      <c r="B2215" s="2" t="s">
        <v>2791</v>
      </c>
      <c r="C2215" s="6" t="s">
        <v>2792</v>
      </c>
      <c r="D2215" s="1">
        <v>45478</v>
      </c>
      <c r="E2215" s="4">
        <v>126.68</v>
      </c>
      <c r="F2215" s="3">
        <v>4</v>
      </c>
      <c r="G2215" s="6" t="s">
        <v>26</v>
      </c>
    </row>
    <row r="2216" spans="1:7" x14ac:dyDescent="0.3">
      <c r="A2216" s="2" t="s">
        <v>2793</v>
      </c>
      <c r="B2216" s="2" t="s">
        <v>2791</v>
      </c>
      <c r="C2216" s="6" t="s">
        <v>2792</v>
      </c>
      <c r="D2216" s="1">
        <v>45258</v>
      </c>
      <c r="E2216" s="4">
        <v>384.48</v>
      </c>
      <c r="F2216" s="3">
        <v>4</v>
      </c>
      <c r="G2216" s="6" t="s">
        <v>38</v>
      </c>
    </row>
    <row r="2217" spans="1:7" x14ac:dyDescent="0.3">
      <c r="A2217" s="2" t="s">
        <v>2794</v>
      </c>
      <c r="B2217" s="2" t="s">
        <v>2791</v>
      </c>
      <c r="C2217" s="6" t="s">
        <v>2792</v>
      </c>
      <c r="D2217" s="1">
        <v>45260</v>
      </c>
      <c r="E2217" s="4">
        <v>432.3</v>
      </c>
      <c r="F2217" s="3">
        <v>2</v>
      </c>
      <c r="G2217" s="6" t="s">
        <v>10</v>
      </c>
    </row>
    <row r="2218" spans="1:7" x14ac:dyDescent="0.3">
      <c r="A2218" s="2" t="s">
        <v>2795</v>
      </c>
      <c r="B2218" s="2" t="s">
        <v>2791</v>
      </c>
      <c r="C2218" s="6" t="s">
        <v>2792</v>
      </c>
      <c r="D2218" s="1">
        <v>45546</v>
      </c>
      <c r="E2218" s="4">
        <v>442.28</v>
      </c>
      <c r="F2218" s="3">
        <v>4</v>
      </c>
      <c r="G2218" s="6" t="s">
        <v>38</v>
      </c>
    </row>
    <row r="2219" spans="1:7" x14ac:dyDescent="0.3">
      <c r="A2219" s="2" t="s">
        <v>2796</v>
      </c>
      <c r="B2219" s="2" t="s">
        <v>2791</v>
      </c>
      <c r="C2219" s="6" t="s">
        <v>2792</v>
      </c>
      <c r="D2219" s="1">
        <v>45336</v>
      </c>
      <c r="E2219" s="4">
        <v>496.49</v>
      </c>
      <c r="F2219" s="3">
        <v>1</v>
      </c>
      <c r="G2219" s="6" t="s">
        <v>38</v>
      </c>
    </row>
    <row r="2220" spans="1:7" x14ac:dyDescent="0.3">
      <c r="A2220" s="2" t="s">
        <v>2797</v>
      </c>
      <c r="B2220" s="2" t="s">
        <v>2791</v>
      </c>
      <c r="C2220" s="6" t="s">
        <v>2792</v>
      </c>
      <c r="D2220" s="1">
        <v>45330</v>
      </c>
      <c r="E2220" s="4">
        <v>65.95</v>
      </c>
      <c r="F2220" s="3">
        <v>3</v>
      </c>
      <c r="G2220" s="6" t="s">
        <v>38</v>
      </c>
    </row>
    <row r="2221" spans="1:7" x14ac:dyDescent="0.3">
      <c r="A2221" s="2" t="s">
        <v>2798</v>
      </c>
      <c r="B2221" s="2" t="s">
        <v>2791</v>
      </c>
      <c r="C2221" s="6" t="s">
        <v>2792</v>
      </c>
      <c r="D2221" s="1">
        <v>45296</v>
      </c>
      <c r="E2221" s="4">
        <v>95.36</v>
      </c>
      <c r="F2221" s="3">
        <v>1</v>
      </c>
      <c r="G2221" s="6" t="s">
        <v>15</v>
      </c>
    </row>
    <row r="2222" spans="1:7" x14ac:dyDescent="0.3">
      <c r="A2222" s="2" t="s">
        <v>2799</v>
      </c>
      <c r="B2222" s="2" t="s">
        <v>2791</v>
      </c>
      <c r="C2222" s="6" t="s">
        <v>2792</v>
      </c>
      <c r="D2222" s="1">
        <v>45330</v>
      </c>
      <c r="E2222" s="4">
        <v>97</v>
      </c>
      <c r="F2222" s="3">
        <v>3</v>
      </c>
      <c r="G2222" s="6" t="s">
        <v>26</v>
      </c>
    </row>
    <row r="2223" spans="1:7" x14ac:dyDescent="0.3">
      <c r="A2223" s="2" t="s">
        <v>2800</v>
      </c>
      <c r="B2223" s="2" t="s">
        <v>2791</v>
      </c>
      <c r="C2223" s="6" t="s">
        <v>2792</v>
      </c>
      <c r="D2223" s="1">
        <v>45234</v>
      </c>
      <c r="E2223" s="4">
        <v>150.55000000000001</v>
      </c>
      <c r="F2223" s="3">
        <v>1</v>
      </c>
      <c r="G2223" s="6" t="s">
        <v>38</v>
      </c>
    </row>
    <row r="2224" spans="1:7" x14ac:dyDescent="0.3">
      <c r="A2224" s="2" t="s">
        <v>2801</v>
      </c>
      <c r="B2224" s="2" t="s">
        <v>2802</v>
      </c>
      <c r="C2224" s="6" t="s">
        <v>2803</v>
      </c>
      <c r="D2224" s="1">
        <v>45509</v>
      </c>
      <c r="E2224" s="4">
        <v>41.61</v>
      </c>
      <c r="F2224" s="3">
        <v>1</v>
      </c>
      <c r="G2224" s="6" t="s">
        <v>26</v>
      </c>
    </row>
    <row r="2225" spans="1:7" x14ac:dyDescent="0.3">
      <c r="A2225" s="2" t="s">
        <v>2804</v>
      </c>
      <c r="B2225" s="2" t="s">
        <v>2802</v>
      </c>
      <c r="C2225" s="6" t="s">
        <v>2803</v>
      </c>
      <c r="D2225" s="1">
        <v>44989</v>
      </c>
      <c r="E2225" s="4">
        <v>453.82</v>
      </c>
      <c r="F2225" s="3">
        <v>4</v>
      </c>
      <c r="G2225" s="6" t="s">
        <v>18</v>
      </c>
    </row>
    <row r="2226" spans="1:7" x14ac:dyDescent="0.3">
      <c r="A2226" s="2" t="s">
        <v>2805</v>
      </c>
      <c r="B2226" s="2" t="s">
        <v>2802</v>
      </c>
      <c r="C2226" s="6" t="s">
        <v>2803</v>
      </c>
      <c r="D2226" s="1">
        <v>45347</v>
      </c>
      <c r="E2226" s="4">
        <v>309.26</v>
      </c>
      <c r="F2226" s="3">
        <v>4</v>
      </c>
      <c r="G2226" s="6" t="s">
        <v>26</v>
      </c>
    </row>
    <row r="2227" spans="1:7" x14ac:dyDescent="0.3">
      <c r="A2227" s="2" t="s">
        <v>2806</v>
      </c>
      <c r="B2227" s="2" t="s">
        <v>2807</v>
      </c>
      <c r="C2227" s="6" t="s">
        <v>2808</v>
      </c>
      <c r="D2227" s="1">
        <v>45603</v>
      </c>
      <c r="E2227" s="4">
        <v>321.69</v>
      </c>
      <c r="F2227" s="3">
        <v>4</v>
      </c>
      <c r="G2227" s="6" t="s">
        <v>18</v>
      </c>
    </row>
    <row r="2228" spans="1:7" x14ac:dyDescent="0.3">
      <c r="A2228" s="2" t="s">
        <v>2809</v>
      </c>
      <c r="B2228" s="2" t="s">
        <v>2807</v>
      </c>
      <c r="C2228" s="6" t="s">
        <v>2808</v>
      </c>
      <c r="D2228" s="1">
        <v>45615</v>
      </c>
      <c r="E2228" s="4">
        <v>405.32</v>
      </c>
      <c r="F2228" s="3">
        <v>2</v>
      </c>
      <c r="G2228" s="6" t="s">
        <v>18</v>
      </c>
    </row>
    <row r="2229" spans="1:7" x14ac:dyDescent="0.3">
      <c r="A2229" s="2" t="s">
        <v>2810</v>
      </c>
      <c r="B2229" s="2" t="s">
        <v>2807</v>
      </c>
      <c r="C2229" s="6" t="s">
        <v>2808</v>
      </c>
      <c r="D2229" s="1">
        <v>45636</v>
      </c>
      <c r="E2229" s="4">
        <v>232.17</v>
      </c>
      <c r="F2229" s="3">
        <v>2</v>
      </c>
      <c r="G2229" s="6" t="s">
        <v>26</v>
      </c>
    </row>
    <row r="2230" spans="1:7" x14ac:dyDescent="0.3">
      <c r="A2230" s="2" t="s">
        <v>2811</v>
      </c>
      <c r="B2230" s="2" t="s">
        <v>2807</v>
      </c>
      <c r="C2230" s="6" t="s">
        <v>2808</v>
      </c>
      <c r="D2230" s="1">
        <v>45641</v>
      </c>
      <c r="E2230" s="4">
        <v>77.760000000000005</v>
      </c>
      <c r="F2230" s="3">
        <v>3</v>
      </c>
      <c r="G2230" s="6" t="s">
        <v>38</v>
      </c>
    </row>
    <row r="2231" spans="1:7" x14ac:dyDescent="0.3">
      <c r="A2231" s="2" t="s">
        <v>2812</v>
      </c>
      <c r="B2231" s="2" t="s">
        <v>2807</v>
      </c>
      <c r="C2231" s="6" t="s">
        <v>2808</v>
      </c>
      <c r="D2231" s="1">
        <v>45620</v>
      </c>
      <c r="E2231" s="4">
        <v>256.54000000000002</v>
      </c>
      <c r="F2231" s="3">
        <v>4</v>
      </c>
      <c r="G2231" s="6" t="s">
        <v>15</v>
      </c>
    </row>
    <row r="2232" spans="1:7" x14ac:dyDescent="0.3">
      <c r="A2232" s="2" t="s">
        <v>2813</v>
      </c>
      <c r="B2232" s="2" t="s">
        <v>2814</v>
      </c>
      <c r="C2232" s="6" t="s">
        <v>2815</v>
      </c>
      <c r="D2232" s="1">
        <v>45576</v>
      </c>
      <c r="E2232" s="4">
        <v>469.97</v>
      </c>
      <c r="F2232" s="3">
        <v>2</v>
      </c>
      <c r="G2232" s="6" t="s">
        <v>15</v>
      </c>
    </row>
    <row r="2233" spans="1:7" x14ac:dyDescent="0.3">
      <c r="A2233" s="2" t="s">
        <v>2816</v>
      </c>
      <c r="B2233" s="2" t="s">
        <v>2814</v>
      </c>
      <c r="C2233" s="6" t="s">
        <v>2815</v>
      </c>
      <c r="D2233" s="1">
        <v>45522</v>
      </c>
      <c r="E2233" s="4">
        <v>279.77</v>
      </c>
      <c r="F2233" s="3">
        <v>2</v>
      </c>
      <c r="G2233" s="6" t="s">
        <v>10</v>
      </c>
    </row>
    <row r="2234" spans="1:7" x14ac:dyDescent="0.3">
      <c r="A2234" s="2" t="s">
        <v>2817</v>
      </c>
      <c r="B2234" s="2" t="s">
        <v>2814</v>
      </c>
      <c r="C2234" s="6" t="s">
        <v>2815</v>
      </c>
      <c r="D2234" s="1">
        <v>45573</v>
      </c>
      <c r="E2234" s="4">
        <v>205.25</v>
      </c>
      <c r="F2234" s="3">
        <v>1</v>
      </c>
      <c r="G2234" s="6" t="s">
        <v>38</v>
      </c>
    </row>
    <row r="2235" spans="1:7" x14ac:dyDescent="0.3">
      <c r="A2235" s="2" t="s">
        <v>2818</v>
      </c>
      <c r="B2235" s="2" t="s">
        <v>2814</v>
      </c>
      <c r="C2235" s="6" t="s">
        <v>2815</v>
      </c>
      <c r="D2235" s="1">
        <v>45569</v>
      </c>
      <c r="E2235" s="4">
        <v>137.30000000000001</v>
      </c>
      <c r="F2235" s="3">
        <v>3</v>
      </c>
      <c r="G2235" s="6" t="s">
        <v>15</v>
      </c>
    </row>
    <row r="2236" spans="1:7" x14ac:dyDescent="0.3">
      <c r="A2236" s="2" t="s">
        <v>2819</v>
      </c>
      <c r="B2236" s="2" t="s">
        <v>2814</v>
      </c>
      <c r="C2236" s="6" t="s">
        <v>2815</v>
      </c>
      <c r="D2236" s="1">
        <v>45512</v>
      </c>
      <c r="E2236" s="4">
        <v>163.29</v>
      </c>
      <c r="F2236" s="3">
        <v>1</v>
      </c>
      <c r="G2236" s="6" t="s">
        <v>12</v>
      </c>
    </row>
    <row r="2237" spans="1:7" x14ac:dyDescent="0.3">
      <c r="A2237" s="2" t="s">
        <v>2820</v>
      </c>
      <c r="B2237" s="2" t="s">
        <v>2814</v>
      </c>
      <c r="C2237" s="6" t="s">
        <v>2815</v>
      </c>
      <c r="D2237" s="1">
        <v>45602</v>
      </c>
      <c r="E2237" s="4">
        <v>58.36</v>
      </c>
      <c r="F2237" s="3">
        <v>3</v>
      </c>
      <c r="G2237" s="6" t="s">
        <v>18</v>
      </c>
    </row>
    <row r="2238" spans="1:7" x14ac:dyDescent="0.3">
      <c r="A2238" s="2" t="s">
        <v>2821</v>
      </c>
      <c r="B2238" s="2" t="s">
        <v>2814</v>
      </c>
      <c r="C2238" s="6" t="s">
        <v>2815</v>
      </c>
      <c r="D2238" s="1">
        <v>45517</v>
      </c>
      <c r="E2238" s="4">
        <v>117.5</v>
      </c>
      <c r="F2238" s="3">
        <v>1</v>
      </c>
      <c r="G2238" s="6" t="s">
        <v>12</v>
      </c>
    </row>
    <row r="2239" spans="1:7" x14ac:dyDescent="0.3">
      <c r="A2239" s="2" t="s">
        <v>2822</v>
      </c>
      <c r="B2239" s="2" t="s">
        <v>2814</v>
      </c>
      <c r="C2239" s="6" t="s">
        <v>2815</v>
      </c>
      <c r="D2239" s="1">
        <v>45612</v>
      </c>
      <c r="E2239" s="4">
        <v>396.32</v>
      </c>
      <c r="F2239" s="3">
        <v>3</v>
      </c>
      <c r="G2239" s="6" t="s">
        <v>38</v>
      </c>
    </row>
    <row r="2240" spans="1:7" x14ac:dyDescent="0.3">
      <c r="A2240" s="2" t="s">
        <v>2823</v>
      </c>
      <c r="B2240" s="2" t="s">
        <v>2814</v>
      </c>
      <c r="C2240" s="6" t="s">
        <v>2815</v>
      </c>
      <c r="D2240" s="1">
        <v>45499</v>
      </c>
      <c r="E2240" s="4">
        <v>413.89</v>
      </c>
      <c r="F2240" s="3">
        <v>3</v>
      </c>
      <c r="G2240" s="6" t="s">
        <v>10</v>
      </c>
    </row>
    <row r="2241" spans="1:7" x14ac:dyDescent="0.3">
      <c r="A2241" s="2" t="s">
        <v>2824</v>
      </c>
      <c r="B2241" s="2" t="s">
        <v>2814</v>
      </c>
      <c r="C2241" s="6" t="s">
        <v>2815</v>
      </c>
      <c r="D2241" s="1">
        <v>45519</v>
      </c>
      <c r="E2241" s="4">
        <v>36.71</v>
      </c>
      <c r="F2241" s="3">
        <v>4</v>
      </c>
      <c r="G2241" s="6" t="s">
        <v>12</v>
      </c>
    </row>
    <row r="2242" spans="1:7" x14ac:dyDescent="0.3">
      <c r="A2242" s="2" t="s">
        <v>2825</v>
      </c>
      <c r="B2242" s="2" t="s">
        <v>2814</v>
      </c>
      <c r="C2242" s="6" t="s">
        <v>2815</v>
      </c>
      <c r="D2242" s="1">
        <v>45537</v>
      </c>
      <c r="E2242" s="4">
        <v>243.8</v>
      </c>
      <c r="F2242" s="3">
        <v>1</v>
      </c>
      <c r="G2242" s="6" t="s">
        <v>10</v>
      </c>
    </row>
    <row r="2243" spans="1:7" x14ac:dyDescent="0.3">
      <c r="A2243" s="2" t="s">
        <v>2826</v>
      </c>
      <c r="B2243" s="2" t="s">
        <v>2814</v>
      </c>
      <c r="C2243" s="6" t="s">
        <v>2815</v>
      </c>
      <c r="D2243" s="1">
        <v>45621</v>
      </c>
      <c r="E2243" s="4">
        <v>272.38</v>
      </c>
      <c r="F2243" s="3">
        <v>1</v>
      </c>
      <c r="G2243" s="6" t="s">
        <v>26</v>
      </c>
    </row>
    <row r="2244" spans="1:7" x14ac:dyDescent="0.3">
      <c r="A2244" s="2" t="s">
        <v>2827</v>
      </c>
      <c r="B2244" s="2" t="s">
        <v>2814</v>
      </c>
      <c r="C2244" s="6" t="s">
        <v>2815</v>
      </c>
      <c r="D2244" s="1">
        <v>45620</v>
      </c>
      <c r="E2244" s="4">
        <v>357.79</v>
      </c>
      <c r="F2244" s="3">
        <v>2</v>
      </c>
      <c r="G2244" s="6" t="s">
        <v>15</v>
      </c>
    </row>
    <row r="2245" spans="1:7" x14ac:dyDescent="0.3">
      <c r="A2245" s="2" t="s">
        <v>2828</v>
      </c>
      <c r="B2245" s="2" t="s">
        <v>2829</v>
      </c>
      <c r="C2245" s="6" t="s">
        <v>2830</v>
      </c>
      <c r="D2245" s="1">
        <v>45606</v>
      </c>
      <c r="E2245" s="4">
        <v>115.48</v>
      </c>
      <c r="F2245" s="3">
        <v>2</v>
      </c>
      <c r="G2245" s="6" t="s">
        <v>26</v>
      </c>
    </row>
    <row r="2246" spans="1:7" x14ac:dyDescent="0.3">
      <c r="A2246" s="2" t="s">
        <v>2831</v>
      </c>
      <c r="B2246" s="2" t="s">
        <v>2829</v>
      </c>
      <c r="C2246" s="6" t="s">
        <v>2830</v>
      </c>
      <c r="D2246" s="1">
        <v>45650</v>
      </c>
      <c r="E2246" s="4">
        <v>263.62</v>
      </c>
      <c r="F2246" s="3">
        <v>1</v>
      </c>
      <c r="G2246" s="6" t="s">
        <v>15</v>
      </c>
    </row>
    <row r="2247" spans="1:7" x14ac:dyDescent="0.3">
      <c r="A2247" s="2" t="s">
        <v>2832</v>
      </c>
      <c r="B2247" s="2" t="s">
        <v>2833</v>
      </c>
      <c r="C2247" s="6" t="s">
        <v>2834</v>
      </c>
      <c r="D2247" s="1">
        <v>45475</v>
      </c>
      <c r="E2247" s="4">
        <v>427.94</v>
      </c>
      <c r="F2247" s="3">
        <v>4</v>
      </c>
      <c r="G2247" s="6" t="s">
        <v>10</v>
      </c>
    </row>
    <row r="2248" spans="1:7" x14ac:dyDescent="0.3">
      <c r="A2248" s="2" t="s">
        <v>2835</v>
      </c>
      <c r="B2248" s="2" t="s">
        <v>2833</v>
      </c>
      <c r="C2248" s="6" t="s">
        <v>2834</v>
      </c>
      <c r="D2248" s="1">
        <v>45563</v>
      </c>
      <c r="E2248" s="4">
        <v>468.23</v>
      </c>
      <c r="F2248" s="3">
        <v>2</v>
      </c>
      <c r="G2248" s="6" t="s">
        <v>10</v>
      </c>
    </row>
    <row r="2249" spans="1:7" x14ac:dyDescent="0.3">
      <c r="A2249" s="2" t="s">
        <v>2836</v>
      </c>
      <c r="B2249" s="2" t="s">
        <v>2833</v>
      </c>
      <c r="C2249" s="6" t="s">
        <v>2834</v>
      </c>
      <c r="D2249" s="1">
        <v>45190</v>
      </c>
      <c r="E2249" s="4">
        <v>189.65</v>
      </c>
      <c r="F2249" s="3">
        <v>3</v>
      </c>
      <c r="G2249" s="6" t="s">
        <v>12</v>
      </c>
    </row>
    <row r="2250" spans="1:7" x14ac:dyDescent="0.3">
      <c r="A2250" s="2" t="s">
        <v>2837</v>
      </c>
      <c r="B2250" s="2" t="s">
        <v>2833</v>
      </c>
      <c r="C2250" s="6" t="s">
        <v>2834</v>
      </c>
      <c r="D2250" s="1">
        <v>45342</v>
      </c>
      <c r="E2250" s="4">
        <v>484.33</v>
      </c>
      <c r="F2250" s="3">
        <v>2</v>
      </c>
      <c r="G2250" s="6" t="s">
        <v>10</v>
      </c>
    </row>
    <row r="2251" spans="1:7" x14ac:dyDescent="0.3">
      <c r="A2251" s="2" t="s">
        <v>2838</v>
      </c>
      <c r="B2251" s="2" t="s">
        <v>2833</v>
      </c>
      <c r="C2251" s="6" t="s">
        <v>2834</v>
      </c>
      <c r="D2251" s="1">
        <v>45221</v>
      </c>
      <c r="E2251" s="4">
        <v>69.37</v>
      </c>
      <c r="F2251" s="3">
        <v>2</v>
      </c>
      <c r="G2251" s="6" t="s">
        <v>26</v>
      </c>
    </row>
    <row r="2252" spans="1:7" x14ac:dyDescent="0.3">
      <c r="A2252" s="2" t="s">
        <v>2839</v>
      </c>
      <c r="B2252" s="2" t="s">
        <v>2840</v>
      </c>
      <c r="C2252" s="6" t="s">
        <v>2841</v>
      </c>
      <c r="D2252" s="1">
        <v>45554</v>
      </c>
      <c r="E2252" s="4">
        <v>161.83000000000001</v>
      </c>
      <c r="F2252" s="3">
        <v>1</v>
      </c>
      <c r="G2252" s="6" t="s">
        <v>10</v>
      </c>
    </row>
    <row r="2253" spans="1:7" x14ac:dyDescent="0.3">
      <c r="A2253" s="2" t="s">
        <v>2842</v>
      </c>
      <c r="B2253" s="2" t="s">
        <v>2840</v>
      </c>
      <c r="C2253" s="6" t="s">
        <v>2841</v>
      </c>
      <c r="D2253" s="1">
        <v>45582</v>
      </c>
      <c r="E2253" s="4">
        <v>45.15</v>
      </c>
      <c r="F2253" s="3">
        <v>3</v>
      </c>
      <c r="G2253" s="6" t="s">
        <v>26</v>
      </c>
    </row>
    <row r="2254" spans="1:7" x14ac:dyDescent="0.3">
      <c r="A2254" s="2" t="s">
        <v>2843</v>
      </c>
      <c r="B2254" s="2" t="s">
        <v>2840</v>
      </c>
      <c r="C2254" s="6" t="s">
        <v>2841</v>
      </c>
      <c r="D2254" s="1">
        <v>45624</v>
      </c>
      <c r="E2254" s="4">
        <v>199.19</v>
      </c>
      <c r="F2254" s="3">
        <v>1</v>
      </c>
      <c r="G2254" s="6" t="s">
        <v>12</v>
      </c>
    </row>
    <row r="2255" spans="1:7" x14ac:dyDescent="0.3">
      <c r="A2255" s="2" t="s">
        <v>2844</v>
      </c>
      <c r="B2255" s="2" t="s">
        <v>2840</v>
      </c>
      <c r="C2255" s="6" t="s">
        <v>2841</v>
      </c>
      <c r="D2255" s="1">
        <v>45582</v>
      </c>
      <c r="E2255" s="4">
        <v>170.23</v>
      </c>
      <c r="F2255" s="3">
        <v>4</v>
      </c>
      <c r="G2255" s="6" t="s">
        <v>12</v>
      </c>
    </row>
    <row r="2256" spans="1:7" x14ac:dyDescent="0.3">
      <c r="A2256" s="2" t="s">
        <v>2845</v>
      </c>
      <c r="B2256" s="2" t="s">
        <v>2840</v>
      </c>
      <c r="C2256" s="6" t="s">
        <v>2841</v>
      </c>
      <c r="D2256" s="1">
        <v>45616</v>
      </c>
      <c r="E2256" s="4">
        <v>318.27999999999997</v>
      </c>
      <c r="F2256" s="3">
        <v>4</v>
      </c>
      <c r="G2256" s="6" t="s">
        <v>26</v>
      </c>
    </row>
    <row r="2257" spans="1:7" x14ac:dyDescent="0.3">
      <c r="A2257" s="2" t="s">
        <v>2846</v>
      </c>
      <c r="B2257" s="2" t="s">
        <v>2840</v>
      </c>
      <c r="C2257" s="6" t="s">
        <v>2841</v>
      </c>
      <c r="D2257" s="1">
        <v>45534</v>
      </c>
      <c r="E2257" s="4">
        <v>437.69</v>
      </c>
      <c r="F2257" s="3">
        <v>2</v>
      </c>
      <c r="G2257" s="6" t="s">
        <v>26</v>
      </c>
    </row>
    <row r="2258" spans="1:7" x14ac:dyDescent="0.3">
      <c r="A2258" s="2" t="s">
        <v>2847</v>
      </c>
      <c r="B2258" s="2" t="s">
        <v>2840</v>
      </c>
      <c r="C2258" s="6" t="s">
        <v>2841</v>
      </c>
      <c r="D2258" s="1">
        <v>45535</v>
      </c>
      <c r="E2258" s="4">
        <v>360.42</v>
      </c>
      <c r="F2258" s="3">
        <v>2</v>
      </c>
      <c r="G2258" s="6" t="s">
        <v>38</v>
      </c>
    </row>
    <row r="2259" spans="1:7" x14ac:dyDescent="0.3">
      <c r="A2259" s="2" t="s">
        <v>2848</v>
      </c>
      <c r="B2259" s="2" t="s">
        <v>2840</v>
      </c>
      <c r="C2259" s="6" t="s">
        <v>2841</v>
      </c>
      <c r="D2259" s="1">
        <v>45656</v>
      </c>
      <c r="E2259" s="4">
        <v>84.62</v>
      </c>
      <c r="F2259" s="3">
        <v>3</v>
      </c>
      <c r="G2259" s="6" t="s">
        <v>10</v>
      </c>
    </row>
    <row r="2260" spans="1:7" x14ac:dyDescent="0.3">
      <c r="A2260" s="2" t="s">
        <v>2849</v>
      </c>
      <c r="B2260" s="2" t="s">
        <v>2840</v>
      </c>
      <c r="C2260" s="6" t="s">
        <v>2841</v>
      </c>
      <c r="D2260" s="1">
        <v>45543</v>
      </c>
      <c r="E2260" s="4">
        <v>313.8</v>
      </c>
      <c r="F2260" s="3">
        <v>2</v>
      </c>
      <c r="G2260" s="6" t="s">
        <v>18</v>
      </c>
    </row>
    <row r="2261" spans="1:7" x14ac:dyDescent="0.3">
      <c r="A2261" s="2" t="s">
        <v>2850</v>
      </c>
      <c r="B2261" s="2" t="s">
        <v>2851</v>
      </c>
      <c r="C2261" s="6" t="s">
        <v>2852</v>
      </c>
      <c r="D2261" s="1">
        <v>45442</v>
      </c>
      <c r="E2261" s="4">
        <v>104.49</v>
      </c>
      <c r="F2261" s="3">
        <v>4</v>
      </c>
      <c r="G2261" s="6" t="s">
        <v>18</v>
      </c>
    </row>
    <row r="2262" spans="1:7" x14ac:dyDescent="0.3">
      <c r="A2262" s="2" t="s">
        <v>2853</v>
      </c>
      <c r="B2262" s="2" t="s">
        <v>2851</v>
      </c>
      <c r="C2262" s="6" t="s">
        <v>2852</v>
      </c>
      <c r="D2262" s="1">
        <v>45486</v>
      </c>
      <c r="E2262" s="4">
        <v>24.6</v>
      </c>
      <c r="F2262" s="3">
        <v>1</v>
      </c>
      <c r="G2262" s="6" t="s">
        <v>38</v>
      </c>
    </row>
    <row r="2263" spans="1:7" x14ac:dyDescent="0.3">
      <c r="A2263" s="2" t="s">
        <v>2854</v>
      </c>
      <c r="B2263" s="2" t="s">
        <v>2851</v>
      </c>
      <c r="C2263" s="6" t="s">
        <v>2852</v>
      </c>
      <c r="D2263" s="1">
        <v>45462</v>
      </c>
      <c r="E2263" s="4">
        <v>238.09</v>
      </c>
      <c r="F2263" s="3">
        <v>3</v>
      </c>
      <c r="G2263" s="6" t="s">
        <v>26</v>
      </c>
    </row>
    <row r="2264" spans="1:7" x14ac:dyDescent="0.3">
      <c r="A2264" s="2" t="s">
        <v>2855</v>
      </c>
      <c r="B2264" s="2" t="s">
        <v>2851</v>
      </c>
      <c r="C2264" s="6" t="s">
        <v>2852</v>
      </c>
      <c r="D2264" s="1">
        <v>45600</v>
      </c>
      <c r="E2264" s="4">
        <v>111.37</v>
      </c>
      <c r="F2264" s="3">
        <v>1</v>
      </c>
      <c r="G2264" s="6" t="s">
        <v>10</v>
      </c>
    </row>
    <row r="2265" spans="1:7" x14ac:dyDescent="0.3">
      <c r="A2265" s="2" t="s">
        <v>2856</v>
      </c>
      <c r="B2265" s="2" t="s">
        <v>2851</v>
      </c>
      <c r="C2265" s="6" t="s">
        <v>2852</v>
      </c>
      <c r="D2265" s="1">
        <v>45493</v>
      </c>
      <c r="E2265" s="4">
        <v>259.89</v>
      </c>
      <c r="F2265" s="3">
        <v>1</v>
      </c>
      <c r="G2265" s="6" t="s">
        <v>10</v>
      </c>
    </row>
    <row r="2266" spans="1:7" x14ac:dyDescent="0.3">
      <c r="A2266" s="2" t="s">
        <v>2857</v>
      </c>
      <c r="B2266" s="2" t="s">
        <v>2851</v>
      </c>
      <c r="C2266" s="6" t="s">
        <v>2852</v>
      </c>
      <c r="D2266" s="1">
        <v>45615</v>
      </c>
      <c r="E2266" s="4">
        <v>465.7</v>
      </c>
      <c r="F2266" s="3">
        <v>2</v>
      </c>
      <c r="G2266" s="6" t="s">
        <v>18</v>
      </c>
    </row>
    <row r="2267" spans="1:7" x14ac:dyDescent="0.3">
      <c r="A2267" s="2" t="s">
        <v>2858</v>
      </c>
      <c r="B2267" s="2" t="s">
        <v>2851</v>
      </c>
      <c r="C2267" s="6" t="s">
        <v>2852</v>
      </c>
      <c r="D2267" s="1">
        <v>45640</v>
      </c>
      <c r="E2267" s="4">
        <v>64.7</v>
      </c>
      <c r="F2267" s="3">
        <v>2</v>
      </c>
      <c r="G2267" s="6" t="s">
        <v>26</v>
      </c>
    </row>
    <row r="2268" spans="1:7" x14ac:dyDescent="0.3">
      <c r="A2268" s="2" t="s">
        <v>2859</v>
      </c>
      <c r="B2268" s="2" t="s">
        <v>2851</v>
      </c>
      <c r="C2268" s="6" t="s">
        <v>2852</v>
      </c>
      <c r="D2268" s="1">
        <v>45458</v>
      </c>
      <c r="E2268" s="4">
        <v>269.39999999999998</v>
      </c>
      <c r="F2268" s="3">
        <v>3</v>
      </c>
      <c r="G2268" s="6" t="s">
        <v>38</v>
      </c>
    </row>
    <row r="2269" spans="1:7" x14ac:dyDescent="0.3">
      <c r="A2269" s="2" t="s">
        <v>2860</v>
      </c>
      <c r="B2269" s="2" t="s">
        <v>2861</v>
      </c>
      <c r="C2269" s="6" t="s">
        <v>2862</v>
      </c>
      <c r="D2269" s="1">
        <v>45616</v>
      </c>
      <c r="E2269" s="4">
        <v>28.51</v>
      </c>
      <c r="F2269" s="3">
        <v>3</v>
      </c>
      <c r="G2269" s="6" t="s">
        <v>12</v>
      </c>
    </row>
    <row r="2270" spans="1:7" x14ac:dyDescent="0.3">
      <c r="A2270" s="2" t="s">
        <v>2863</v>
      </c>
      <c r="B2270" s="2" t="s">
        <v>2861</v>
      </c>
      <c r="C2270" s="6" t="s">
        <v>2862</v>
      </c>
      <c r="D2270" s="1">
        <v>45652</v>
      </c>
      <c r="E2270" s="4">
        <v>35.65</v>
      </c>
      <c r="F2270" s="3">
        <v>4</v>
      </c>
      <c r="G2270" s="6" t="s">
        <v>38</v>
      </c>
    </row>
    <row r="2271" spans="1:7" x14ac:dyDescent="0.3">
      <c r="A2271" s="2" t="s">
        <v>2864</v>
      </c>
      <c r="B2271" s="2" t="s">
        <v>2861</v>
      </c>
      <c r="C2271" s="6" t="s">
        <v>2862</v>
      </c>
      <c r="D2271" s="1">
        <v>45625</v>
      </c>
      <c r="E2271" s="4">
        <v>402.57</v>
      </c>
      <c r="F2271" s="3">
        <v>2</v>
      </c>
      <c r="G2271" s="6" t="s">
        <v>38</v>
      </c>
    </row>
    <row r="2272" spans="1:7" x14ac:dyDescent="0.3">
      <c r="A2272" s="2" t="s">
        <v>2865</v>
      </c>
      <c r="B2272" s="2" t="s">
        <v>2861</v>
      </c>
      <c r="C2272" s="6" t="s">
        <v>2862</v>
      </c>
      <c r="D2272" s="1">
        <v>45638</v>
      </c>
      <c r="E2272" s="4">
        <v>213.87</v>
      </c>
      <c r="F2272" s="3">
        <v>4</v>
      </c>
      <c r="G2272" s="6" t="s">
        <v>10</v>
      </c>
    </row>
    <row r="2273" spans="1:7" x14ac:dyDescent="0.3">
      <c r="A2273" s="2" t="s">
        <v>2866</v>
      </c>
      <c r="B2273" s="2" t="s">
        <v>2861</v>
      </c>
      <c r="C2273" s="6" t="s">
        <v>2862</v>
      </c>
      <c r="D2273" s="1">
        <v>45619</v>
      </c>
      <c r="E2273" s="4">
        <v>464.23</v>
      </c>
      <c r="F2273" s="3">
        <v>3</v>
      </c>
      <c r="G2273" s="6" t="s">
        <v>10</v>
      </c>
    </row>
    <row r="2274" spans="1:7" x14ac:dyDescent="0.3">
      <c r="A2274" s="2" t="s">
        <v>2867</v>
      </c>
      <c r="B2274" s="2" t="s">
        <v>2861</v>
      </c>
      <c r="C2274" s="6" t="s">
        <v>2862</v>
      </c>
      <c r="D2274" s="1">
        <v>45654</v>
      </c>
      <c r="E2274" s="4">
        <v>94.65</v>
      </c>
      <c r="F2274" s="3">
        <v>3</v>
      </c>
      <c r="G2274" s="6" t="s">
        <v>15</v>
      </c>
    </row>
    <row r="2275" spans="1:7" x14ac:dyDescent="0.3">
      <c r="A2275" s="2" t="s">
        <v>2868</v>
      </c>
      <c r="B2275" s="2" t="s">
        <v>2861</v>
      </c>
      <c r="C2275" s="6" t="s">
        <v>2862</v>
      </c>
      <c r="D2275" s="1">
        <v>45652</v>
      </c>
      <c r="E2275" s="4">
        <v>311.52</v>
      </c>
      <c r="F2275" s="3">
        <v>4</v>
      </c>
      <c r="G2275" s="6" t="s">
        <v>18</v>
      </c>
    </row>
    <row r="2276" spans="1:7" x14ac:dyDescent="0.3">
      <c r="A2276" s="2" t="s">
        <v>2869</v>
      </c>
      <c r="B2276" s="2" t="s">
        <v>2861</v>
      </c>
      <c r="C2276" s="6" t="s">
        <v>2862</v>
      </c>
      <c r="D2276" s="1">
        <v>45656</v>
      </c>
      <c r="E2276" s="4">
        <v>33.75</v>
      </c>
      <c r="F2276" s="3">
        <v>4</v>
      </c>
      <c r="G2276" s="6" t="s">
        <v>10</v>
      </c>
    </row>
    <row r="2277" spans="1:7" x14ac:dyDescent="0.3">
      <c r="A2277" s="2" t="s">
        <v>2870</v>
      </c>
      <c r="B2277" s="2" t="s">
        <v>2861</v>
      </c>
      <c r="C2277" s="6" t="s">
        <v>2862</v>
      </c>
      <c r="D2277" s="1">
        <v>45628</v>
      </c>
      <c r="E2277" s="4">
        <v>440.15</v>
      </c>
      <c r="F2277" s="3">
        <v>1</v>
      </c>
      <c r="G2277" s="6" t="s">
        <v>12</v>
      </c>
    </row>
    <row r="2278" spans="1:7" x14ac:dyDescent="0.3">
      <c r="A2278" s="2" t="s">
        <v>2871</v>
      </c>
      <c r="B2278" s="2" t="s">
        <v>2861</v>
      </c>
      <c r="C2278" s="6" t="s">
        <v>2862</v>
      </c>
      <c r="D2278" s="1">
        <v>45617</v>
      </c>
      <c r="E2278" s="4">
        <v>197.3</v>
      </c>
      <c r="F2278" s="3">
        <v>1</v>
      </c>
      <c r="G2278" s="6" t="s">
        <v>38</v>
      </c>
    </row>
    <row r="2279" spans="1:7" x14ac:dyDescent="0.3">
      <c r="A2279" s="2" t="s">
        <v>2872</v>
      </c>
      <c r="B2279" s="2" t="s">
        <v>2861</v>
      </c>
      <c r="C2279" s="6" t="s">
        <v>2862</v>
      </c>
      <c r="D2279" s="1">
        <v>45656</v>
      </c>
      <c r="E2279" s="4">
        <v>322.69</v>
      </c>
      <c r="F2279" s="3">
        <v>2</v>
      </c>
      <c r="G2279" s="6" t="s">
        <v>18</v>
      </c>
    </row>
    <row r="2280" spans="1:7" x14ac:dyDescent="0.3">
      <c r="A2280" s="2" t="s">
        <v>2873</v>
      </c>
      <c r="B2280" s="2" t="s">
        <v>2861</v>
      </c>
      <c r="C2280" s="6" t="s">
        <v>2862</v>
      </c>
      <c r="D2280" s="1">
        <v>45621</v>
      </c>
      <c r="E2280" s="4">
        <v>260.68</v>
      </c>
      <c r="F2280" s="3">
        <v>3</v>
      </c>
      <c r="G2280" s="6" t="s">
        <v>26</v>
      </c>
    </row>
    <row r="2281" spans="1:7" x14ac:dyDescent="0.3">
      <c r="A2281" s="2" t="s">
        <v>2874</v>
      </c>
      <c r="B2281" s="2" t="s">
        <v>2861</v>
      </c>
      <c r="C2281" s="6" t="s">
        <v>2862</v>
      </c>
      <c r="D2281" s="1">
        <v>45632</v>
      </c>
      <c r="E2281" s="4">
        <v>474.34</v>
      </c>
      <c r="F2281" s="3">
        <v>1</v>
      </c>
      <c r="G2281" s="6" t="s">
        <v>10</v>
      </c>
    </row>
    <row r="2282" spans="1:7" x14ac:dyDescent="0.3">
      <c r="A2282" s="2" t="s">
        <v>2875</v>
      </c>
      <c r="B2282" s="2" t="s">
        <v>2876</v>
      </c>
      <c r="C2282" s="6" t="s">
        <v>2877</v>
      </c>
      <c r="D2282" s="1">
        <v>45332</v>
      </c>
      <c r="E2282" s="4">
        <v>197.54</v>
      </c>
      <c r="F2282" s="3">
        <v>2</v>
      </c>
      <c r="G2282" s="6" t="s">
        <v>18</v>
      </c>
    </row>
    <row r="2283" spans="1:7" x14ac:dyDescent="0.3">
      <c r="A2283" s="2" t="s">
        <v>2878</v>
      </c>
      <c r="B2283" s="2" t="s">
        <v>2876</v>
      </c>
      <c r="C2283" s="6" t="s">
        <v>2877</v>
      </c>
      <c r="D2283" s="1">
        <v>45229</v>
      </c>
      <c r="E2283" s="4">
        <v>339.77</v>
      </c>
      <c r="F2283" s="3">
        <v>3</v>
      </c>
      <c r="G2283" s="6" t="s">
        <v>15</v>
      </c>
    </row>
    <row r="2284" spans="1:7" x14ac:dyDescent="0.3">
      <c r="A2284" s="2" t="s">
        <v>2879</v>
      </c>
      <c r="B2284" s="2" t="s">
        <v>2876</v>
      </c>
      <c r="C2284" s="6" t="s">
        <v>2877</v>
      </c>
      <c r="D2284" s="1">
        <v>45439</v>
      </c>
      <c r="E2284" s="4">
        <v>152.28</v>
      </c>
      <c r="F2284" s="3">
        <v>2</v>
      </c>
      <c r="G2284" s="6" t="s">
        <v>18</v>
      </c>
    </row>
    <row r="2285" spans="1:7" x14ac:dyDescent="0.3">
      <c r="A2285" s="2" t="s">
        <v>2880</v>
      </c>
      <c r="B2285" s="2" t="s">
        <v>2876</v>
      </c>
      <c r="C2285" s="6" t="s">
        <v>2877</v>
      </c>
      <c r="D2285" s="1">
        <v>45390</v>
      </c>
      <c r="E2285" s="4">
        <v>19.86</v>
      </c>
      <c r="F2285" s="3">
        <v>1</v>
      </c>
      <c r="G2285" s="6" t="s">
        <v>26</v>
      </c>
    </row>
    <row r="2286" spans="1:7" x14ac:dyDescent="0.3">
      <c r="A2286" s="2" t="s">
        <v>2881</v>
      </c>
      <c r="B2286" s="2" t="s">
        <v>2876</v>
      </c>
      <c r="C2286" s="6" t="s">
        <v>2877</v>
      </c>
      <c r="D2286" s="1">
        <v>45311</v>
      </c>
      <c r="E2286" s="4">
        <v>455.1</v>
      </c>
      <c r="F2286" s="3">
        <v>3</v>
      </c>
      <c r="G2286" s="6" t="s">
        <v>15</v>
      </c>
    </row>
    <row r="2287" spans="1:7" x14ac:dyDescent="0.3">
      <c r="A2287" s="2" t="s">
        <v>2882</v>
      </c>
      <c r="B2287" s="2" t="s">
        <v>2876</v>
      </c>
      <c r="C2287" s="6" t="s">
        <v>2877</v>
      </c>
      <c r="D2287" s="1">
        <v>45355</v>
      </c>
      <c r="E2287" s="4">
        <v>444.9</v>
      </c>
      <c r="F2287" s="3">
        <v>4</v>
      </c>
      <c r="G2287" s="6" t="s">
        <v>18</v>
      </c>
    </row>
    <row r="2288" spans="1:7" x14ac:dyDescent="0.3">
      <c r="A2288" s="2" t="s">
        <v>2883</v>
      </c>
      <c r="B2288" s="2" t="s">
        <v>2876</v>
      </c>
      <c r="C2288" s="6" t="s">
        <v>2877</v>
      </c>
      <c r="D2288" s="1">
        <v>45146</v>
      </c>
      <c r="E2288" s="4">
        <v>341.88</v>
      </c>
      <c r="F2288" s="3">
        <v>3</v>
      </c>
      <c r="G2288" s="6" t="s">
        <v>18</v>
      </c>
    </row>
    <row r="2289" spans="1:7" x14ac:dyDescent="0.3">
      <c r="A2289" s="2" t="s">
        <v>2884</v>
      </c>
      <c r="B2289" s="2" t="s">
        <v>2876</v>
      </c>
      <c r="C2289" s="6" t="s">
        <v>2877</v>
      </c>
      <c r="D2289" s="1">
        <v>45648</v>
      </c>
      <c r="E2289" s="4">
        <v>270.36</v>
      </c>
      <c r="F2289" s="3">
        <v>2</v>
      </c>
      <c r="G2289" s="6" t="s">
        <v>38</v>
      </c>
    </row>
    <row r="2290" spans="1:7" x14ac:dyDescent="0.3">
      <c r="A2290" s="2" t="s">
        <v>2885</v>
      </c>
      <c r="B2290" s="2" t="s">
        <v>2876</v>
      </c>
      <c r="C2290" s="6" t="s">
        <v>2877</v>
      </c>
      <c r="D2290" s="1">
        <v>45419</v>
      </c>
      <c r="E2290" s="4">
        <v>324.63</v>
      </c>
      <c r="F2290" s="3">
        <v>2</v>
      </c>
      <c r="G2290" s="6" t="s">
        <v>15</v>
      </c>
    </row>
    <row r="2291" spans="1:7" x14ac:dyDescent="0.3">
      <c r="A2291" s="2" t="s">
        <v>2886</v>
      </c>
      <c r="B2291" s="2" t="s">
        <v>2876</v>
      </c>
      <c r="C2291" s="6" t="s">
        <v>2877</v>
      </c>
      <c r="D2291" s="1">
        <v>45550</v>
      </c>
      <c r="E2291" s="4">
        <v>240.7</v>
      </c>
      <c r="F2291" s="3">
        <v>2</v>
      </c>
      <c r="G2291" s="6" t="s">
        <v>15</v>
      </c>
    </row>
    <row r="2292" spans="1:7" x14ac:dyDescent="0.3">
      <c r="A2292" s="2" t="s">
        <v>2887</v>
      </c>
      <c r="B2292" s="2" t="s">
        <v>2888</v>
      </c>
      <c r="C2292" s="6" t="s">
        <v>2889</v>
      </c>
      <c r="D2292" s="1">
        <v>45609</v>
      </c>
      <c r="E2292" s="4">
        <v>212.54</v>
      </c>
      <c r="F2292" s="3">
        <v>4</v>
      </c>
      <c r="G2292" s="6" t="s">
        <v>18</v>
      </c>
    </row>
    <row r="2293" spans="1:7" x14ac:dyDescent="0.3">
      <c r="A2293" s="2" t="s">
        <v>2890</v>
      </c>
      <c r="B2293" s="2" t="s">
        <v>2888</v>
      </c>
      <c r="C2293" s="6" t="s">
        <v>2889</v>
      </c>
      <c r="D2293" s="1">
        <v>45638</v>
      </c>
      <c r="E2293" s="4">
        <v>92.06</v>
      </c>
      <c r="F2293" s="3">
        <v>1</v>
      </c>
      <c r="G2293" s="6" t="s">
        <v>18</v>
      </c>
    </row>
    <row r="2294" spans="1:7" x14ac:dyDescent="0.3">
      <c r="A2294" s="2" t="s">
        <v>2891</v>
      </c>
      <c r="B2294" s="2" t="s">
        <v>2888</v>
      </c>
      <c r="C2294" s="6" t="s">
        <v>2889</v>
      </c>
      <c r="D2294" s="1">
        <v>45615</v>
      </c>
      <c r="E2294" s="4">
        <v>387.91</v>
      </c>
      <c r="F2294" s="3">
        <v>3</v>
      </c>
      <c r="G2294" s="6" t="s">
        <v>38</v>
      </c>
    </row>
    <row r="2295" spans="1:7" x14ac:dyDescent="0.3">
      <c r="A2295" s="2" t="s">
        <v>2892</v>
      </c>
      <c r="B2295" s="2" t="s">
        <v>2888</v>
      </c>
      <c r="C2295" s="6" t="s">
        <v>2889</v>
      </c>
      <c r="D2295" s="1">
        <v>45629</v>
      </c>
      <c r="E2295" s="4">
        <v>259.26</v>
      </c>
      <c r="F2295" s="3">
        <v>4</v>
      </c>
      <c r="G2295" s="6" t="s">
        <v>38</v>
      </c>
    </row>
    <row r="2296" spans="1:7" x14ac:dyDescent="0.3">
      <c r="A2296" s="2" t="s">
        <v>2893</v>
      </c>
      <c r="B2296" s="2" t="s">
        <v>2888</v>
      </c>
      <c r="C2296" s="6" t="s">
        <v>2889</v>
      </c>
      <c r="D2296" s="1">
        <v>45588</v>
      </c>
      <c r="E2296" s="4">
        <v>419.13</v>
      </c>
      <c r="F2296" s="3">
        <v>1</v>
      </c>
      <c r="G2296" s="6" t="s">
        <v>26</v>
      </c>
    </row>
    <row r="2297" spans="1:7" x14ac:dyDescent="0.3">
      <c r="A2297" s="2" t="s">
        <v>2894</v>
      </c>
      <c r="B2297" s="2" t="s">
        <v>2888</v>
      </c>
      <c r="C2297" s="6" t="s">
        <v>2889</v>
      </c>
      <c r="D2297" s="1">
        <v>45650</v>
      </c>
      <c r="E2297" s="4">
        <v>439.93</v>
      </c>
      <c r="F2297" s="3">
        <v>1</v>
      </c>
      <c r="G2297" s="6" t="s">
        <v>10</v>
      </c>
    </row>
    <row r="2298" spans="1:7" x14ac:dyDescent="0.3">
      <c r="A2298" s="2" t="s">
        <v>2895</v>
      </c>
      <c r="B2298" s="2" t="s">
        <v>2888</v>
      </c>
      <c r="C2298" s="6" t="s">
        <v>2889</v>
      </c>
      <c r="D2298" s="1">
        <v>45571</v>
      </c>
      <c r="E2298" s="4">
        <v>87.11</v>
      </c>
      <c r="F2298" s="3">
        <v>4</v>
      </c>
      <c r="G2298" s="6" t="s">
        <v>10</v>
      </c>
    </row>
    <row r="2299" spans="1:7" x14ac:dyDescent="0.3">
      <c r="A2299" s="2" t="s">
        <v>2896</v>
      </c>
      <c r="B2299" s="2" t="s">
        <v>2888</v>
      </c>
      <c r="C2299" s="6" t="s">
        <v>2889</v>
      </c>
      <c r="D2299" s="1">
        <v>45624</v>
      </c>
      <c r="E2299" s="4">
        <v>127.95</v>
      </c>
      <c r="F2299" s="3">
        <v>3</v>
      </c>
      <c r="G2299" s="6" t="s">
        <v>18</v>
      </c>
    </row>
    <row r="2300" spans="1:7" x14ac:dyDescent="0.3">
      <c r="A2300" s="2" t="s">
        <v>2897</v>
      </c>
      <c r="B2300" s="2" t="s">
        <v>2888</v>
      </c>
      <c r="C2300" s="6" t="s">
        <v>2889</v>
      </c>
      <c r="D2300" s="1">
        <v>45617</v>
      </c>
      <c r="E2300" s="4">
        <v>464.97</v>
      </c>
      <c r="F2300" s="3">
        <v>3</v>
      </c>
      <c r="G2300" s="6" t="s">
        <v>26</v>
      </c>
    </row>
    <row r="2301" spans="1:7" x14ac:dyDescent="0.3">
      <c r="A2301" s="2" t="s">
        <v>2898</v>
      </c>
      <c r="B2301" s="2" t="s">
        <v>2888</v>
      </c>
      <c r="C2301" s="6" t="s">
        <v>2889</v>
      </c>
      <c r="D2301" s="1">
        <v>45645</v>
      </c>
      <c r="E2301" s="4">
        <v>456.67</v>
      </c>
      <c r="F2301" s="3">
        <v>3</v>
      </c>
      <c r="G2301" s="6" t="s">
        <v>38</v>
      </c>
    </row>
    <row r="2302" spans="1:7" x14ac:dyDescent="0.3">
      <c r="A2302" s="2" t="s">
        <v>2899</v>
      </c>
      <c r="B2302" s="2" t="s">
        <v>2888</v>
      </c>
      <c r="C2302" s="6" t="s">
        <v>2889</v>
      </c>
      <c r="D2302" s="1">
        <v>45628</v>
      </c>
      <c r="E2302" s="4">
        <v>29.01</v>
      </c>
      <c r="F2302" s="3">
        <v>3</v>
      </c>
      <c r="G2302" s="6" t="s">
        <v>12</v>
      </c>
    </row>
    <row r="2303" spans="1:7" x14ac:dyDescent="0.3">
      <c r="A2303" s="2" t="s">
        <v>2900</v>
      </c>
      <c r="B2303" s="2" t="s">
        <v>2888</v>
      </c>
      <c r="C2303" s="6" t="s">
        <v>2889</v>
      </c>
      <c r="D2303" s="1">
        <v>45568</v>
      </c>
      <c r="E2303" s="4">
        <v>385.72</v>
      </c>
      <c r="F2303" s="3">
        <v>4</v>
      </c>
      <c r="G2303" s="6" t="s">
        <v>38</v>
      </c>
    </row>
    <row r="2304" spans="1:7" x14ac:dyDescent="0.3">
      <c r="A2304" s="2" t="s">
        <v>2901</v>
      </c>
      <c r="B2304" s="2" t="s">
        <v>2888</v>
      </c>
      <c r="C2304" s="6" t="s">
        <v>2889</v>
      </c>
      <c r="D2304" s="1">
        <v>45656</v>
      </c>
      <c r="E2304" s="4">
        <v>179.59</v>
      </c>
      <c r="F2304" s="3">
        <v>3</v>
      </c>
      <c r="G2304" s="6" t="s">
        <v>10</v>
      </c>
    </row>
    <row r="2305" spans="1:7" x14ac:dyDescent="0.3">
      <c r="A2305" s="2" t="s">
        <v>2902</v>
      </c>
      <c r="B2305" s="2" t="s">
        <v>2888</v>
      </c>
      <c r="C2305" s="6" t="s">
        <v>2889</v>
      </c>
      <c r="D2305" s="1">
        <v>45639</v>
      </c>
      <c r="E2305" s="4">
        <v>341.19</v>
      </c>
      <c r="F2305" s="3">
        <v>3</v>
      </c>
      <c r="G2305" s="6" t="s">
        <v>10</v>
      </c>
    </row>
    <row r="2306" spans="1:7" x14ac:dyDescent="0.3">
      <c r="A2306" s="2" t="s">
        <v>2903</v>
      </c>
      <c r="B2306" s="2" t="s">
        <v>2904</v>
      </c>
      <c r="C2306" s="6" t="s">
        <v>2905</v>
      </c>
      <c r="D2306" s="1">
        <v>45546</v>
      </c>
      <c r="E2306" s="4">
        <v>147.04</v>
      </c>
      <c r="F2306" s="3">
        <v>3</v>
      </c>
      <c r="G2306" s="6" t="s">
        <v>26</v>
      </c>
    </row>
    <row r="2307" spans="1:7" x14ac:dyDescent="0.3">
      <c r="A2307" s="2" t="s">
        <v>2906</v>
      </c>
      <c r="B2307" s="2" t="s">
        <v>2904</v>
      </c>
      <c r="C2307" s="6" t="s">
        <v>2905</v>
      </c>
      <c r="D2307" s="1">
        <v>45528</v>
      </c>
      <c r="E2307" s="4">
        <v>20.32</v>
      </c>
      <c r="F2307" s="3">
        <v>1</v>
      </c>
      <c r="G2307" s="6" t="s">
        <v>38</v>
      </c>
    </row>
    <row r="2308" spans="1:7" x14ac:dyDescent="0.3">
      <c r="A2308" s="2" t="s">
        <v>2907</v>
      </c>
      <c r="B2308" s="2" t="s">
        <v>2904</v>
      </c>
      <c r="C2308" s="6" t="s">
        <v>2905</v>
      </c>
      <c r="D2308" s="1">
        <v>45556</v>
      </c>
      <c r="E2308" s="4">
        <v>448.15</v>
      </c>
      <c r="F2308" s="3">
        <v>2</v>
      </c>
      <c r="G2308" s="6" t="s">
        <v>38</v>
      </c>
    </row>
    <row r="2309" spans="1:7" x14ac:dyDescent="0.3">
      <c r="A2309" s="2" t="s">
        <v>2908</v>
      </c>
      <c r="B2309" s="2" t="s">
        <v>2904</v>
      </c>
      <c r="C2309" s="6" t="s">
        <v>2905</v>
      </c>
      <c r="D2309" s="1">
        <v>45605</v>
      </c>
      <c r="E2309" s="4">
        <v>410.23</v>
      </c>
      <c r="F2309" s="3">
        <v>1</v>
      </c>
      <c r="G2309" s="6" t="s">
        <v>12</v>
      </c>
    </row>
    <row r="2310" spans="1:7" x14ac:dyDescent="0.3">
      <c r="A2310" s="2" t="s">
        <v>2909</v>
      </c>
      <c r="B2310" s="2" t="s">
        <v>2904</v>
      </c>
      <c r="C2310" s="6" t="s">
        <v>2905</v>
      </c>
      <c r="D2310" s="1">
        <v>45646</v>
      </c>
      <c r="E2310" s="4">
        <v>305.86</v>
      </c>
      <c r="F2310" s="3">
        <v>3</v>
      </c>
      <c r="G2310" s="6" t="s">
        <v>10</v>
      </c>
    </row>
    <row r="2311" spans="1:7" x14ac:dyDescent="0.3">
      <c r="A2311" s="2" t="s">
        <v>2910</v>
      </c>
      <c r="B2311" s="2" t="s">
        <v>2904</v>
      </c>
      <c r="C2311" s="6" t="s">
        <v>2905</v>
      </c>
      <c r="D2311" s="1">
        <v>45549</v>
      </c>
      <c r="E2311" s="4">
        <v>492.32</v>
      </c>
      <c r="F2311" s="3">
        <v>4</v>
      </c>
      <c r="G2311" s="6" t="s">
        <v>38</v>
      </c>
    </row>
    <row r="2312" spans="1:7" x14ac:dyDescent="0.3">
      <c r="A2312" s="2" t="s">
        <v>2911</v>
      </c>
      <c r="B2312" s="2" t="s">
        <v>2904</v>
      </c>
      <c r="C2312" s="6" t="s">
        <v>2905</v>
      </c>
      <c r="D2312" s="1">
        <v>45633</v>
      </c>
      <c r="E2312" s="4">
        <v>406.31</v>
      </c>
      <c r="F2312" s="3">
        <v>4</v>
      </c>
      <c r="G2312" s="6" t="s">
        <v>15</v>
      </c>
    </row>
    <row r="2313" spans="1:7" x14ac:dyDescent="0.3">
      <c r="A2313" s="2" t="s">
        <v>2912</v>
      </c>
      <c r="B2313" s="2" t="s">
        <v>2904</v>
      </c>
      <c r="C2313" s="6" t="s">
        <v>2905</v>
      </c>
      <c r="D2313" s="1">
        <v>45614</v>
      </c>
      <c r="E2313" s="4">
        <v>228.41</v>
      </c>
      <c r="F2313" s="3">
        <v>2</v>
      </c>
      <c r="G2313" s="6" t="s">
        <v>15</v>
      </c>
    </row>
    <row r="2314" spans="1:7" x14ac:dyDescent="0.3">
      <c r="A2314" s="2" t="s">
        <v>2913</v>
      </c>
      <c r="B2314" s="2" t="s">
        <v>2904</v>
      </c>
      <c r="C2314" s="6" t="s">
        <v>2905</v>
      </c>
      <c r="D2314" s="1">
        <v>45651</v>
      </c>
      <c r="E2314" s="4">
        <v>498.44</v>
      </c>
      <c r="F2314" s="3">
        <v>3</v>
      </c>
      <c r="G2314" s="6" t="s">
        <v>10</v>
      </c>
    </row>
    <row r="2315" spans="1:7" x14ac:dyDescent="0.3">
      <c r="A2315" s="2" t="s">
        <v>2914</v>
      </c>
      <c r="B2315" s="2" t="s">
        <v>2915</v>
      </c>
      <c r="C2315" s="6" t="s">
        <v>2916</v>
      </c>
      <c r="D2315" s="1">
        <v>45358</v>
      </c>
      <c r="E2315" s="4">
        <v>299.5</v>
      </c>
      <c r="F2315" s="3">
        <v>4</v>
      </c>
      <c r="G2315" s="6" t="s">
        <v>12</v>
      </c>
    </row>
    <row r="2316" spans="1:7" x14ac:dyDescent="0.3">
      <c r="A2316" s="2" t="s">
        <v>2917</v>
      </c>
      <c r="B2316" s="2" t="s">
        <v>2915</v>
      </c>
      <c r="C2316" s="6" t="s">
        <v>2916</v>
      </c>
      <c r="D2316" s="1">
        <v>45216</v>
      </c>
      <c r="E2316" s="4">
        <v>467.06</v>
      </c>
      <c r="F2316" s="3">
        <v>3</v>
      </c>
      <c r="G2316" s="6" t="s">
        <v>38</v>
      </c>
    </row>
    <row r="2317" spans="1:7" x14ac:dyDescent="0.3">
      <c r="A2317" s="2" t="s">
        <v>2918</v>
      </c>
      <c r="B2317" s="2" t="s">
        <v>2915</v>
      </c>
      <c r="C2317" s="6" t="s">
        <v>2916</v>
      </c>
      <c r="D2317" s="1">
        <v>45442</v>
      </c>
      <c r="E2317" s="4">
        <v>19.97</v>
      </c>
      <c r="F2317" s="3">
        <v>1</v>
      </c>
      <c r="G2317" s="6" t="s">
        <v>38</v>
      </c>
    </row>
    <row r="2318" spans="1:7" x14ac:dyDescent="0.3">
      <c r="A2318" s="2" t="s">
        <v>2919</v>
      </c>
      <c r="B2318" s="2" t="s">
        <v>2915</v>
      </c>
      <c r="C2318" s="6" t="s">
        <v>2916</v>
      </c>
      <c r="D2318" s="1">
        <v>45371</v>
      </c>
      <c r="E2318" s="4">
        <v>229.31</v>
      </c>
      <c r="F2318" s="3">
        <v>1</v>
      </c>
      <c r="G2318" s="6" t="s">
        <v>10</v>
      </c>
    </row>
    <row r="2319" spans="1:7" x14ac:dyDescent="0.3">
      <c r="A2319" s="2" t="s">
        <v>2920</v>
      </c>
      <c r="B2319" s="2" t="s">
        <v>2921</v>
      </c>
      <c r="C2319" s="6" t="s">
        <v>2922</v>
      </c>
      <c r="D2319" s="1">
        <v>45291</v>
      </c>
      <c r="E2319" s="4">
        <v>247.06</v>
      </c>
      <c r="F2319" s="3">
        <v>2</v>
      </c>
      <c r="G2319" s="6" t="s">
        <v>18</v>
      </c>
    </row>
    <row r="2320" spans="1:7" x14ac:dyDescent="0.3">
      <c r="A2320" s="2" t="s">
        <v>2923</v>
      </c>
      <c r="B2320" s="2" t="s">
        <v>2921</v>
      </c>
      <c r="C2320" s="6" t="s">
        <v>2922</v>
      </c>
      <c r="D2320" s="1">
        <v>45578</v>
      </c>
      <c r="E2320" s="4">
        <v>445.04</v>
      </c>
      <c r="F2320" s="3">
        <v>2</v>
      </c>
      <c r="G2320" s="6" t="s">
        <v>26</v>
      </c>
    </row>
    <row r="2321" spans="1:7" x14ac:dyDescent="0.3">
      <c r="A2321" s="2" t="s">
        <v>2924</v>
      </c>
      <c r="B2321" s="2" t="s">
        <v>2921</v>
      </c>
      <c r="C2321" s="6" t="s">
        <v>2922</v>
      </c>
      <c r="D2321" s="1">
        <v>45638</v>
      </c>
      <c r="E2321" s="4">
        <v>450.81</v>
      </c>
      <c r="F2321" s="3">
        <v>1</v>
      </c>
      <c r="G2321" s="6" t="s">
        <v>26</v>
      </c>
    </row>
    <row r="2322" spans="1:7" x14ac:dyDescent="0.3">
      <c r="A2322" s="2" t="s">
        <v>2925</v>
      </c>
      <c r="B2322" s="2" t="s">
        <v>2921</v>
      </c>
      <c r="C2322" s="6" t="s">
        <v>2922</v>
      </c>
      <c r="D2322" s="1">
        <v>45544</v>
      </c>
      <c r="E2322" s="4">
        <v>17.440000000000001</v>
      </c>
      <c r="F2322" s="3">
        <v>4</v>
      </c>
      <c r="G2322" s="6" t="s">
        <v>15</v>
      </c>
    </row>
    <row r="2323" spans="1:7" x14ac:dyDescent="0.3">
      <c r="A2323" s="2" t="s">
        <v>2926</v>
      </c>
      <c r="B2323" s="2" t="s">
        <v>2921</v>
      </c>
      <c r="C2323" s="6" t="s">
        <v>2922</v>
      </c>
      <c r="D2323" s="1">
        <v>45414</v>
      </c>
      <c r="E2323" s="4">
        <v>320.56</v>
      </c>
      <c r="F2323" s="3">
        <v>4</v>
      </c>
      <c r="G2323" s="6" t="s">
        <v>12</v>
      </c>
    </row>
    <row r="2324" spans="1:7" x14ac:dyDescent="0.3">
      <c r="A2324" s="2" t="s">
        <v>2927</v>
      </c>
      <c r="B2324" s="2" t="s">
        <v>2921</v>
      </c>
      <c r="C2324" s="6" t="s">
        <v>2922</v>
      </c>
      <c r="D2324" s="1">
        <v>45562</v>
      </c>
      <c r="E2324" s="4">
        <v>128.72</v>
      </c>
      <c r="F2324" s="3">
        <v>3</v>
      </c>
      <c r="G2324" s="6" t="s">
        <v>26</v>
      </c>
    </row>
    <row r="2325" spans="1:7" x14ac:dyDescent="0.3">
      <c r="A2325" s="2" t="s">
        <v>2928</v>
      </c>
      <c r="B2325" s="2" t="s">
        <v>2921</v>
      </c>
      <c r="C2325" s="6" t="s">
        <v>2922</v>
      </c>
      <c r="D2325" s="1">
        <v>45359</v>
      </c>
      <c r="E2325" s="4">
        <v>188.87</v>
      </c>
      <c r="F2325" s="3">
        <v>3</v>
      </c>
      <c r="G2325" s="6" t="s">
        <v>15</v>
      </c>
    </row>
    <row r="2326" spans="1:7" x14ac:dyDescent="0.3">
      <c r="A2326" s="2" t="s">
        <v>2929</v>
      </c>
      <c r="B2326" s="2" t="s">
        <v>2921</v>
      </c>
      <c r="C2326" s="6" t="s">
        <v>2922</v>
      </c>
      <c r="D2326" s="1">
        <v>45212</v>
      </c>
      <c r="E2326" s="4">
        <v>486.75</v>
      </c>
      <c r="F2326" s="3">
        <v>2</v>
      </c>
      <c r="G2326" s="6" t="s">
        <v>10</v>
      </c>
    </row>
    <row r="2327" spans="1:7" x14ac:dyDescent="0.3">
      <c r="A2327" s="2" t="s">
        <v>2930</v>
      </c>
      <c r="B2327" s="2" t="s">
        <v>2921</v>
      </c>
      <c r="C2327" s="6" t="s">
        <v>2922</v>
      </c>
      <c r="D2327" s="1">
        <v>45237</v>
      </c>
      <c r="E2327" s="4">
        <v>99.49</v>
      </c>
      <c r="F2327" s="3">
        <v>1</v>
      </c>
      <c r="G2327" s="6" t="s">
        <v>38</v>
      </c>
    </row>
    <row r="2328" spans="1:7" x14ac:dyDescent="0.3">
      <c r="A2328" s="2" t="s">
        <v>2931</v>
      </c>
      <c r="B2328" s="2" t="s">
        <v>2932</v>
      </c>
      <c r="C2328" s="6" t="s">
        <v>2933</v>
      </c>
      <c r="D2328" s="1">
        <v>45640</v>
      </c>
      <c r="E2328" s="4">
        <v>222.06</v>
      </c>
      <c r="F2328" s="3">
        <v>2</v>
      </c>
      <c r="G2328" s="6" t="s">
        <v>15</v>
      </c>
    </row>
    <row r="2329" spans="1:7" x14ac:dyDescent="0.3">
      <c r="A2329" s="2" t="s">
        <v>2934</v>
      </c>
      <c r="B2329" s="2" t="s">
        <v>2932</v>
      </c>
      <c r="C2329" s="6" t="s">
        <v>2933</v>
      </c>
      <c r="D2329" s="1">
        <v>45648</v>
      </c>
      <c r="E2329" s="4">
        <v>26.14</v>
      </c>
      <c r="F2329" s="3">
        <v>4</v>
      </c>
      <c r="G2329" s="6" t="s">
        <v>10</v>
      </c>
    </row>
    <row r="2330" spans="1:7" x14ac:dyDescent="0.3">
      <c r="A2330" s="2" t="s">
        <v>2935</v>
      </c>
      <c r="B2330" s="2" t="s">
        <v>2932</v>
      </c>
      <c r="C2330" s="6" t="s">
        <v>2933</v>
      </c>
      <c r="D2330" s="1">
        <v>45535</v>
      </c>
      <c r="E2330" s="4">
        <v>313.11</v>
      </c>
      <c r="F2330" s="3">
        <v>1</v>
      </c>
      <c r="G2330" s="6" t="s">
        <v>26</v>
      </c>
    </row>
    <row r="2331" spans="1:7" x14ac:dyDescent="0.3">
      <c r="A2331" s="2" t="s">
        <v>2936</v>
      </c>
      <c r="B2331" s="2" t="s">
        <v>2932</v>
      </c>
      <c r="C2331" s="6" t="s">
        <v>2933</v>
      </c>
      <c r="D2331" s="1">
        <v>45597</v>
      </c>
      <c r="E2331" s="4">
        <v>462.38</v>
      </c>
      <c r="F2331" s="3">
        <v>1</v>
      </c>
      <c r="G2331" s="6" t="s">
        <v>15</v>
      </c>
    </row>
    <row r="2332" spans="1:7" x14ac:dyDescent="0.3">
      <c r="A2332" s="2" t="s">
        <v>2937</v>
      </c>
      <c r="B2332" s="2" t="s">
        <v>2932</v>
      </c>
      <c r="C2332" s="6" t="s">
        <v>2933</v>
      </c>
      <c r="D2332" s="1">
        <v>45541</v>
      </c>
      <c r="E2332" s="4">
        <v>31.15</v>
      </c>
      <c r="F2332" s="3">
        <v>3</v>
      </c>
      <c r="G2332" s="6" t="s">
        <v>26</v>
      </c>
    </row>
    <row r="2333" spans="1:7" x14ac:dyDescent="0.3">
      <c r="A2333" s="2" t="s">
        <v>2938</v>
      </c>
      <c r="B2333" s="2" t="s">
        <v>2932</v>
      </c>
      <c r="C2333" s="6" t="s">
        <v>2933</v>
      </c>
      <c r="D2333" s="1">
        <v>45562</v>
      </c>
      <c r="E2333" s="4">
        <v>144.96</v>
      </c>
      <c r="F2333" s="3">
        <v>4</v>
      </c>
      <c r="G2333" s="6" t="s">
        <v>18</v>
      </c>
    </row>
    <row r="2334" spans="1:7" x14ac:dyDescent="0.3">
      <c r="A2334" s="2" t="s">
        <v>2939</v>
      </c>
      <c r="B2334" s="2" t="s">
        <v>2932</v>
      </c>
      <c r="C2334" s="6" t="s">
        <v>2933</v>
      </c>
      <c r="D2334" s="1">
        <v>45577</v>
      </c>
      <c r="E2334" s="4">
        <v>499.13</v>
      </c>
      <c r="F2334" s="3">
        <v>2</v>
      </c>
      <c r="G2334" s="6" t="s">
        <v>26</v>
      </c>
    </row>
    <row r="2335" spans="1:7" x14ac:dyDescent="0.3">
      <c r="A2335" s="2" t="s">
        <v>2940</v>
      </c>
      <c r="B2335" s="2" t="s">
        <v>2932</v>
      </c>
      <c r="C2335" s="6" t="s">
        <v>2933</v>
      </c>
      <c r="D2335" s="1">
        <v>45544</v>
      </c>
      <c r="E2335" s="4">
        <v>163.24</v>
      </c>
      <c r="F2335" s="3">
        <v>1</v>
      </c>
      <c r="G2335" s="6" t="s">
        <v>26</v>
      </c>
    </row>
    <row r="2336" spans="1:7" x14ac:dyDescent="0.3">
      <c r="A2336" s="2" t="s">
        <v>2941</v>
      </c>
      <c r="B2336" s="2" t="s">
        <v>2932</v>
      </c>
      <c r="C2336" s="6" t="s">
        <v>2933</v>
      </c>
      <c r="D2336" s="1">
        <v>45534</v>
      </c>
      <c r="E2336" s="4">
        <v>268.74</v>
      </c>
      <c r="F2336" s="3">
        <v>3</v>
      </c>
      <c r="G2336" s="6" t="s">
        <v>10</v>
      </c>
    </row>
    <row r="2337" spans="1:7" x14ac:dyDescent="0.3">
      <c r="A2337" s="2" t="s">
        <v>2942</v>
      </c>
      <c r="B2337" s="2" t="s">
        <v>2932</v>
      </c>
      <c r="C2337" s="6" t="s">
        <v>2933</v>
      </c>
      <c r="D2337" s="1">
        <v>45561</v>
      </c>
      <c r="E2337" s="4">
        <v>459.96</v>
      </c>
      <c r="F2337" s="3">
        <v>3</v>
      </c>
      <c r="G2337" s="6" t="s">
        <v>26</v>
      </c>
    </row>
    <row r="2338" spans="1:7" x14ac:dyDescent="0.3">
      <c r="A2338" s="2" t="s">
        <v>2943</v>
      </c>
      <c r="B2338" s="2" t="s">
        <v>2944</v>
      </c>
      <c r="C2338" s="6" t="s">
        <v>2945</v>
      </c>
      <c r="D2338" s="1">
        <v>45582</v>
      </c>
      <c r="E2338" s="4">
        <v>162.41</v>
      </c>
      <c r="F2338" s="3">
        <v>3</v>
      </c>
      <c r="G2338" s="6" t="s">
        <v>38</v>
      </c>
    </row>
    <row r="2339" spans="1:7" x14ac:dyDescent="0.3">
      <c r="A2339" s="2" t="s">
        <v>2946</v>
      </c>
      <c r="B2339" s="2" t="s">
        <v>2944</v>
      </c>
      <c r="C2339" s="6" t="s">
        <v>2945</v>
      </c>
      <c r="D2339" s="1">
        <v>45632</v>
      </c>
      <c r="E2339" s="4">
        <v>353.5</v>
      </c>
      <c r="F2339" s="3">
        <v>1</v>
      </c>
      <c r="G2339" s="6" t="s">
        <v>10</v>
      </c>
    </row>
    <row r="2340" spans="1:7" x14ac:dyDescent="0.3">
      <c r="A2340" s="2" t="s">
        <v>2947</v>
      </c>
      <c r="B2340" s="2" t="s">
        <v>2944</v>
      </c>
      <c r="C2340" s="6" t="s">
        <v>2945</v>
      </c>
      <c r="D2340" s="1">
        <v>45570</v>
      </c>
      <c r="E2340" s="4">
        <v>394.3</v>
      </c>
      <c r="F2340" s="3">
        <v>2</v>
      </c>
      <c r="G2340" s="6" t="s">
        <v>12</v>
      </c>
    </row>
    <row r="2341" spans="1:7" x14ac:dyDescent="0.3">
      <c r="A2341" s="2" t="s">
        <v>2948</v>
      </c>
      <c r="B2341" s="2" t="s">
        <v>2944</v>
      </c>
      <c r="C2341" s="6" t="s">
        <v>2945</v>
      </c>
      <c r="D2341" s="1">
        <v>45542</v>
      </c>
      <c r="E2341" s="4">
        <v>44.2</v>
      </c>
      <c r="F2341" s="3">
        <v>2</v>
      </c>
      <c r="G2341" s="6" t="s">
        <v>38</v>
      </c>
    </row>
    <row r="2342" spans="1:7" x14ac:dyDescent="0.3">
      <c r="A2342" s="2" t="s">
        <v>2949</v>
      </c>
      <c r="B2342" s="2" t="s">
        <v>2944</v>
      </c>
      <c r="C2342" s="6" t="s">
        <v>2945</v>
      </c>
      <c r="D2342" s="1">
        <v>45633</v>
      </c>
      <c r="E2342" s="4">
        <v>378.64</v>
      </c>
      <c r="F2342" s="3">
        <v>2</v>
      </c>
      <c r="G2342" s="6" t="s">
        <v>26</v>
      </c>
    </row>
    <row r="2343" spans="1:7" x14ac:dyDescent="0.3">
      <c r="A2343" s="2" t="s">
        <v>2950</v>
      </c>
      <c r="B2343" s="2" t="s">
        <v>2944</v>
      </c>
      <c r="C2343" s="6" t="s">
        <v>2945</v>
      </c>
      <c r="D2343" s="1">
        <v>45598</v>
      </c>
      <c r="E2343" s="4">
        <v>338.94</v>
      </c>
      <c r="F2343" s="3">
        <v>2</v>
      </c>
      <c r="G2343" s="6" t="s">
        <v>18</v>
      </c>
    </row>
    <row r="2344" spans="1:7" x14ac:dyDescent="0.3">
      <c r="A2344" s="2" t="s">
        <v>2951</v>
      </c>
      <c r="B2344" s="2" t="s">
        <v>2944</v>
      </c>
      <c r="C2344" s="6" t="s">
        <v>2945</v>
      </c>
      <c r="D2344" s="1">
        <v>45583</v>
      </c>
      <c r="E2344" s="4">
        <v>106.75</v>
      </c>
      <c r="F2344" s="3">
        <v>1</v>
      </c>
      <c r="G2344" s="6" t="s">
        <v>38</v>
      </c>
    </row>
    <row r="2345" spans="1:7" x14ac:dyDescent="0.3">
      <c r="A2345" s="2" t="s">
        <v>2952</v>
      </c>
      <c r="B2345" s="2" t="s">
        <v>2944</v>
      </c>
      <c r="C2345" s="6" t="s">
        <v>2945</v>
      </c>
      <c r="D2345" s="1">
        <v>45561</v>
      </c>
      <c r="E2345" s="4">
        <v>74.959999999999994</v>
      </c>
      <c r="F2345" s="3">
        <v>2</v>
      </c>
      <c r="G2345" s="6" t="s">
        <v>15</v>
      </c>
    </row>
    <row r="2346" spans="1:7" x14ac:dyDescent="0.3">
      <c r="A2346" s="2" t="s">
        <v>2953</v>
      </c>
      <c r="B2346" s="2" t="s">
        <v>2944</v>
      </c>
      <c r="C2346" s="6" t="s">
        <v>2945</v>
      </c>
      <c r="D2346" s="1">
        <v>45647</v>
      </c>
      <c r="E2346" s="4">
        <v>362.78</v>
      </c>
      <c r="F2346" s="3">
        <v>2</v>
      </c>
      <c r="G2346" s="6" t="s">
        <v>18</v>
      </c>
    </row>
    <row r="2347" spans="1:7" x14ac:dyDescent="0.3">
      <c r="A2347" s="2" t="s">
        <v>2954</v>
      </c>
      <c r="B2347" s="2" t="s">
        <v>2944</v>
      </c>
      <c r="C2347" s="6" t="s">
        <v>2945</v>
      </c>
      <c r="D2347" s="1">
        <v>45635</v>
      </c>
      <c r="E2347" s="4">
        <v>47.8</v>
      </c>
      <c r="F2347" s="3">
        <v>3</v>
      </c>
      <c r="G2347" s="6" t="s">
        <v>15</v>
      </c>
    </row>
    <row r="2348" spans="1:7" x14ac:dyDescent="0.3">
      <c r="A2348" s="2" t="s">
        <v>2955</v>
      </c>
      <c r="B2348" s="2" t="s">
        <v>2944</v>
      </c>
      <c r="C2348" s="6" t="s">
        <v>2945</v>
      </c>
      <c r="D2348" s="1">
        <v>45644</v>
      </c>
      <c r="E2348" s="4">
        <v>412.03</v>
      </c>
      <c r="F2348" s="3">
        <v>3</v>
      </c>
      <c r="G2348" s="6" t="s">
        <v>18</v>
      </c>
    </row>
    <row r="2349" spans="1:7" x14ac:dyDescent="0.3">
      <c r="A2349" s="2" t="s">
        <v>2956</v>
      </c>
      <c r="B2349" s="2" t="s">
        <v>2944</v>
      </c>
      <c r="C2349" s="6" t="s">
        <v>2945</v>
      </c>
      <c r="D2349" s="1">
        <v>45633</v>
      </c>
      <c r="E2349" s="4">
        <v>166.04</v>
      </c>
      <c r="F2349" s="3">
        <v>4</v>
      </c>
      <c r="G2349" s="6" t="s">
        <v>18</v>
      </c>
    </row>
    <row r="2350" spans="1:7" x14ac:dyDescent="0.3">
      <c r="A2350" s="2" t="s">
        <v>2957</v>
      </c>
      <c r="B2350" s="2" t="s">
        <v>2944</v>
      </c>
      <c r="C2350" s="6" t="s">
        <v>2945</v>
      </c>
      <c r="D2350" s="1">
        <v>45599</v>
      </c>
      <c r="E2350" s="4">
        <v>294.67</v>
      </c>
      <c r="F2350" s="3">
        <v>2</v>
      </c>
      <c r="G2350" s="6" t="s">
        <v>26</v>
      </c>
    </row>
    <row r="2351" spans="1:7" x14ac:dyDescent="0.3">
      <c r="A2351" s="2" t="s">
        <v>2958</v>
      </c>
      <c r="B2351" s="2" t="s">
        <v>2944</v>
      </c>
      <c r="C2351" s="6" t="s">
        <v>2945</v>
      </c>
      <c r="D2351" s="1">
        <v>45552</v>
      </c>
      <c r="E2351" s="4">
        <v>433.63</v>
      </c>
      <c r="F2351" s="3">
        <v>3</v>
      </c>
      <c r="G2351" s="6" t="s">
        <v>10</v>
      </c>
    </row>
    <row r="2352" spans="1:7" x14ac:dyDescent="0.3">
      <c r="A2352" s="2" t="s">
        <v>2959</v>
      </c>
      <c r="B2352" s="2" t="s">
        <v>2944</v>
      </c>
      <c r="C2352" s="6" t="s">
        <v>2945</v>
      </c>
      <c r="D2352" s="1">
        <v>45599</v>
      </c>
      <c r="E2352" s="4">
        <v>309.39999999999998</v>
      </c>
      <c r="F2352" s="3">
        <v>4</v>
      </c>
      <c r="G2352" s="6" t="s">
        <v>10</v>
      </c>
    </row>
    <row r="2353" spans="1:7" x14ac:dyDescent="0.3">
      <c r="A2353" s="2" t="s">
        <v>2960</v>
      </c>
      <c r="B2353" s="2" t="s">
        <v>2961</v>
      </c>
      <c r="C2353" s="6" t="s">
        <v>2962</v>
      </c>
      <c r="D2353" s="1">
        <v>45223</v>
      </c>
      <c r="E2353" s="4">
        <v>128.46</v>
      </c>
      <c r="F2353" s="3">
        <v>3</v>
      </c>
      <c r="G2353" s="6" t="s">
        <v>10</v>
      </c>
    </row>
    <row r="2354" spans="1:7" x14ac:dyDescent="0.3">
      <c r="A2354" s="2" t="s">
        <v>2963</v>
      </c>
      <c r="B2354" s="2" t="s">
        <v>2961</v>
      </c>
      <c r="C2354" s="6" t="s">
        <v>2962</v>
      </c>
      <c r="D2354" s="1">
        <v>45113</v>
      </c>
      <c r="E2354" s="4">
        <v>179.67</v>
      </c>
      <c r="F2354" s="3">
        <v>3</v>
      </c>
      <c r="G2354" s="6" t="s">
        <v>10</v>
      </c>
    </row>
    <row r="2355" spans="1:7" x14ac:dyDescent="0.3">
      <c r="A2355" s="2" t="s">
        <v>2964</v>
      </c>
      <c r="B2355" s="2" t="s">
        <v>2961</v>
      </c>
      <c r="C2355" s="6" t="s">
        <v>2962</v>
      </c>
      <c r="D2355" s="1">
        <v>45159</v>
      </c>
      <c r="E2355" s="4">
        <v>57.44</v>
      </c>
      <c r="F2355" s="3">
        <v>1</v>
      </c>
      <c r="G2355" s="6" t="s">
        <v>26</v>
      </c>
    </row>
    <row r="2356" spans="1:7" x14ac:dyDescent="0.3">
      <c r="A2356" s="2" t="s">
        <v>2965</v>
      </c>
      <c r="B2356" s="2" t="s">
        <v>2961</v>
      </c>
      <c r="C2356" s="6" t="s">
        <v>2962</v>
      </c>
      <c r="D2356" s="1">
        <v>45193</v>
      </c>
      <c r="E2356" s="4">
        <v>329.77</v>
      </c>
      <c r="F2356" s="3">
        <v>4</v>
      </c>
      <c r="G2356" s="6" t="s">
        <v>26</v>
      </c>
    </row>
    <row r="2357" spans="1:7" x14ac:dyDescent="0.3">
      <c r="A2357" s="2" t="s">
        <v>2966</v>
      </c>
      <c r="B2357" s="2" t="s">
        <v>2961</v>
      </c>
      <c r="C2357" s="6" t="s">
        <v>2962</v>
      </c>
      <c r="D2357" s="1">
        <v>45393</v>
      </c>
      <c r="E2357" s="4">
        <v>255.71</v>
      </c>
      <c r="F2357" s="3">
        <v>4</v>
      </c>
      <c r="G2357" s="6" t="s">
        <v>38</v>
      </c>
    </row>
    <row r="2358" spans="1:7" x14ac:dyDescent="0.3">
      <c r="A2358" s="2" t="s">
        <v>2967</v>
      </c>
      <c r="B2358" s="2" t="s">
        <v>2961</v>
      </c>
      <c r="C2358" s="6" t="s">
        <v>2962</v>
      </c>
      <c r="D2358" s="1">
        <v>45081</v>
      </c>
      <c r="E2358" s="4">
        <v>76.03</v>
      </c>
      <c r="F2358" s="3">
        <v>1</v>
      </c>
      <c r="G2358" s="6" t="s">
        <v>12</v>
      </c>
    </row>
    <row r="2359" spans="1:7" x14ac:dyDescent="0.3">
      <c r="A2359" s="2" t="s">
        <v>2968</v>
      </c>
      <c r="B2359" s="2" t="s">
        <v>2961</v>
      </c>
      <c r="C2359" s="6" t="s">
        <v>2962</v>
      </c>
      <c r="D2359" s="1">
        <v>45367</v>
      </c>
      <c r="E2359" s="4">
        <v>244.22</v>
      </c>
      <c r="F2359" s="3">
        <v>3</v>
      </c>
      <c r="G2359" s="6" t="s">
        <v>12</v>
      </c>
    </row>
    <row r="2360" spans="1:7" x14ac:dyDescent="0.3">
      <c r="A2360" s="2" t="s">
        <v>2969</v>
      </c>
      <c r="B2360" s="2" t="s">
        <v>2961</v>
      </c>
      <c r="C2360" s="6" t="s">
        <v>2962</v>
      </c>
      <c r="D2360" s="1">
        <v>45126</v>
      </c>
      <c r="E2360" s="4">
        <v>255.95</v>
      </c>
      <c r="F2360" s="3">
        <v>4</v>
      </c>
      <c r="G2360" s="6" t="s">
        <v>26</v>
      </c>
    </row>
    <row r="2361" spans="1:7" x14ac:dyDescent="0.3">
      <c r="A2361" s="2" t="s">
        <v>2970</v>
      </c>
      <c r="B2361" s="2" t="s">
        <v>2961</v>
      </c>
      <c r="C2361" s="6" t="s">
        <v>2962</v>
      </c>
      <c r="D2361" s="1">
        <v>45136</v>
      </c>
      <c r="E2361" s="4">
        <v>65.400000000000006</v>
      </c>
      <c r="F2361" s="3">
        <v>2</v>
      </c>
      <c r="G2361" s="6" t="s">
        <v>26</v>
      </c>
    </row>
    <row r="2362" spans="1:7" x14ac:dyDescent="0.3">
      <c r="A2362" s="2" t="s">
        <v>2971</v>
      </c>
      <c r="B2362" s="2" t="s">
        <v>2961</v>
      </c>
      <c r="C2362" s="6" t="s">
        <v>2962</v>
      </c>
      <c r="D2362" s="1">
        <v>45294</v>
      </c>
      <c r="E2362" s="4">
        <v>96.44</v>
      </c>
      <c r="F2362" s="3">
        <v>3</v>
      </c>
      <c r="G2362" s="6" t="s">
        <v>12</v>
      </c>
    </row>
    <row r="2363" spans="1:7" x14ac:dyDescent="0.3">
      <c r="A2363" s="2" t="s">
        <v>2972</v>
      </c>
      <c r="B2363" s="2" t="s">
        <v>2961</v>
      </c>
      <c r="C2363" s="6" t="s">
        <v>2962</v>
      </c>
      <c r="D2363" s="1">
        <v>45308</v>
      </c>
      <c r="E2363" s="4">
        <v>466.9</v>
      </c>
      <c r="F2363" s="3">
        <v>3</v>
      </c>
      <c r="G2363" s="6" t="s">
        <v>26</v>
      </c>
    </row>
    <row r="2364" spans="1:7" x14ac:dyDescent="0.3">
      <c r="A2364" s="2" t="s">
        <v>2973</v>
      </c>
      <c r="B2364" s="2" t="s">
        <v>2974</v>
      </c>
      <c r="C2364" s="6" t="s">
        <v>2975</v>
      </c>
      <c r="D2364" s="1">
        <v>45406</v>
      </c>
      <c r="E2364" s="4">
        <v>50.54</v>
      </c>
      <c r="F2364" s="3">
        <v>1</v>
      </c>
      <c r="G2364" s="6" t="s">
        <v>38</v>
      </c>
    </row>
    <row r="2365" spans="1:7" x14ac:dyDescent="0.3">
      <c r="A2365" s="2" t="s">
        <v>2976</v>
      </c>
      <c r="B2365" s="2" t="s">
        <v>2974</v>
      </c>
      <c r="C2365" s="6" t="s">
        <v>2975</v>
      </c>
      <c r="D2365" s="1">
        <v>45607</v>
      </c>
      <c r="E2365" s="4">
        <v>99.95</v>
      </c>
      <c r="F2365" s="3">
        <v>3</v>
      </c>
      <c r="G2365" s="6" t="s">
        <v>12</v>
      </c>
    </row>
    <row r="2366" spans="1:7" x14ac:dyDescent="0.3">
      <c r="A2366" s="2" t="s">
        <v>2977</v>
      </c>
      <c r="B2366" s="2" t="s">
        <v>2974</v>
      </c>
      <c r="C2366" s="6" t="s">
        <v>2975</v>
      </c>
      <c r="D2366" s="1">
        <v>45448</v>
      </c>
      <c r="E2366" s="4">
        <v>399.38</v>
      </c>
      <c r="F2366" s="3">
        <v>1</v>
      </c>
      <c r="G2366" s="6" t="s">
        <v>26</v>
      </c>
    </row>
    <row r="2367" spans="1:7" x14ac:dyDescent="0.3">
      <c r="A2367" s="2" t="s">
        <v>2978</v>
      </c>
      <c r="B2367" s="2" t="s">
        <v>2974</v>
      </c>
      <c r="C2367" s="6" t="s">
        <v>2975</v>
      </c>
      <c r="D2367" s="1">
        <v>45291</v>
      </c>
      <c r="E2367" s="4">
        <v>140.93</v>
      </c>
      <c r="F2367" s="3">
        <v>2</v>
      </c>
      <c r="G2367" s="6" t="s">
        <v>18</v>
      </c>
    </row>
    <row r="2368" spans="1:7" x14ac:dyDescent="0.3">
      <c r="A2368" s="2" t="s">
        <v>2979</v>
      </c>
      <c r="B2368" s="2" t="s">
        <v>2974</v>
      </c>
      <c r="C2368" s="6" t="s">
        <v>2975</v>
      </c>
      <c r="D2368" s="1">
        <v>45437</v>
      </c>
      <c r="E2368" s="4">
        <v>309.70999999999998</v>
      </c>
      <c r="F2368" s="3">
        <v>1</v>
      </c>
      <c r="G2368" s="6" t="s">
        <v>12</v>
      </c>
    </row>
    <row r="2369" spans="1:7" x14ac:dyDescent="0.3">
      <c r="A2369" s="2" t="s">
        <v>2980</v>
      </c>
      <c r="B2369" s="2" t="s">
        <v>2974</v>
      </c>
      <c r="C2369" s="6" t="s">
        <v>2975</v>
      </c>
      <c r="D2369" s="1">
        <v>45581</v>
      </c>
      <c r="E2369" s="4">
        <v>59.57</v>
      </c>
      <c r="F2369" s="3">
        <v>3</v>
      </c>
      <c r="G2369" s="6" t="s">
        <v>12</v>
      </c>
    </row>
    <row r="2370" spans="1:7" x14ac:dyDescent="0.3">
      <c r="A2370" s="2" t="s">
        <v>2981</v>
      </c>
      <c r="B2370" s="2" t="s">
        <v>2974</v>
      </c>
      <c r="C2370" s="6" t="s">
        <v>2975</v>
      </c>
      <c r="D2370" s="1">
        <v>45517</v>
      </c>
      <c r="E2370" s="4">
        <v>486.96</v>
      </c>
      <c r="F2370" s="3">
        <v>3</v>
      </c>
      <c r="G2370" s="6" t="s">
        <v>10</v>
      </c>
    </row>
    <row r="2371" spans="1:7" x14ac:dyDescent="0.3">
      <c r="A2371" s="2" t="s">
        <v>2982</v>
      </c>
      <c r="B2371" s="2" t="s">
        <v>2974</v>
      </c>
      <c r="C2371" s="6" t="s">
        <v>2975</v>
      </c>
      <c r="D2371" s="1">
        <v>45648</v>
      </c>
      <c r="E2371" s="4">
        <v>158.12</v>
      </c>
      <c r="F2371" s="3">
        <v>4</v>
      </c>
      <c r="G2371" s="6" t="s">
        <v>18</v>
      </c>
    </row>
    <row r="2372" spans="1:7" x14ac:dyDescent="0.3">
      <c r="A2372" s="2" t="s">
        <v>2983</v>
      </c>
      <c r="B2372" s="2" t="s">
        <v>2984</v>
      </c>
      <c r="C2372" s="6" t="s">
        <v>2985</v>
      </c>
      <c r="D2372" s="1">
        <v>45479</v>
      </c>
      <c r="E2372" s="4">
        <v>277.73</v>
      </c>
      <c r="F2372" s="3">
        <v>2</v>
      </c>
      <c r="G2372" s="6" t="s">
        <v>38</v>
      </c>
    </row>
    <row r="2373" spans="1:7" x14ac:dyDescent="0.3">
      <c r="A2373" s="2" t="s">
        <v>2986</v>
      </c>
      <c r="B2373" s="2" t="s">
        <v>2984</v>
      </c>
      <c r="C2373" s="6" t="s">
        <v>2985</v>
      </c>
      <c r="D2373" s="1">
        <v>45654</v>
      </c>
      <c r="E2373" s="4">
        <v>217.45</v>
      </c>
      <c r="F2373" s="3">
        <v>1</v>
      </c>
      <c r="G2373" s="6" t="s">
        <v>38</v>
      </c>
    </row>
    <row r="2374" spans="1:7" x14ac:dyDescent="0.3">
      <c r="A2374" s="2" t="s">
        <v>2987</v>
      </c>
      <c r="B2374" s="2" t="s">
        <v>2984</v>
      </c>
      <c r="C2374" s="6" t="s">
        <v>2985</v>
      </c>
      <c r="D2374" s="1">
        <v>45509</v>
      </c>
      <c r="E2374" s="4">
        <v>32.57</v>
      </c>
      <c r="F2374" s="3">
        <v>3</v>
      </c>
      <c r="G2374" s="6" t="s">
        <v>38</v>
      </c>
    </row>
    <row r="2375" spans="1:7" x14ac:dyDescent="0.3">
      <c r="A2375" s="2" t="s">
        <v>2988</v>
      </c>
      <c r="B2375" s="2" t="s">
        <v>2984</v>
      </c>
      <c r="C2375" s="6" t="s">
        <v>2985</v>
      </c>
      <c r="D2375" s="1">
        <v>45437</v>
      </c>
      <c r="E2375" s="4">
        <v>190.25</v>
      </c>
      <c r="F2375" s="3">
        <v>3</v>
      </c>
      <c r="G2375" s="6" t="s">
        <v>38</v>
      </c>
    </row>
    <row r="2376" spans="1:7" x14ac:dyDescent="0.3">
      <c r="A2376" s="2" t="s">
        <v>2989</v>
      </c>
      <c r="B2376" s="2" t="s">
        <v>2984</v>
      </c>
      <c r="C2376" s="6" t="s">
        <v>2985</v>
      </c>
      <c r="D2376" s="1">
        <v>45524</v>
      </c>
      <c r="E2376" s="4">
        <v>435.71</v>
      </c>
      <c r="F2376" s="3">
        <v>1</v>
      </c>
      <c r="G2376" s="6" t="s">
        <v>26</v>
      </c>
    </row>
    <row r="2377" spans="1:7" x14ac:dyDescent="0.3">
      <c r="A2377" s="2" t="s">
        <v>2990</v>
      </c>
      <c r="B2377" s="2" t="s">
        <v>2984</v>
      </c>
      <c r="C2377" s="6" t="s">
        <v>2985</v>
      </c>
      <c r="D2377" s="1">
        <v>45549</v>
      </c>
      <c r="E2377" s="4">
        <v>484.37</v>
      </c>
      <c r="F2377" s="3">
        <v>4</v>
      </c>
      <c r="G2377" s="6" t="s">
        <v>18</v>
      </c>
    </row>
    <row r="2378" spans="1:7" x14ac:dyDescent="0.3">
      <c r="A2378" s="2" t="s">
        <v>2991</v>
      </c>
      <c r="B2378" s="2" t="s">
        <v>2984</v>
      </c>
      <c r="C2378" s="6" t="s">
        <v>2985</v>
      </c>
      <c r="D2378" s="1">
        <v>45646</v>
      </c>
      <c r="E2378" s="4">
        <v>68.680000000000007</v>
      </c>
      <c r="F2378" s="3">
        <v>4</v>
      </c>
      <c r="G2378" s="6" t="s">
        <v>26</v>
      </c>
    </row>
    <row r="2379" spans="1:7" x14ac:dyDescent="0.3">
      <c r="A2379" s="2" t="s">
        <v>2992</v>
      </c>
      <c r="B2379" s="2" t="s">
        <v>2984</v>
      </c>
      <c r="C2379" s="6" t="s">
        <v>2985</v>
      </c>
      <c r="D2379" s="1">
        <v>45561</v>
      </c>
      <c r="E2379" s="4">
        <v>414.47</v>
      </c>
      <c r="F2379" s="3">
        <v>3</v>
      </c>
      <c r="G2379" s="6" t="s">
        <v>18</v>
      </c>
    </row>
    <row r="2380" spans="1:7" x14ac:dyDescent="0.3">
      <c r="A2380" s="2" t="s">
        <v>2993</v>
      </c>
      <c r="B2380" s="2" t="s">
        <v>2994</v>
      </c>
      <c r="C2380" s="6" t="s">
        <v>2995</v>
      </c>
      <c r="D2380" s="1">
        <v>45446</v>
      </c>
      <c r="E2380" s="4">
        <v>92.87</v>
      </c>
      <c r="F2380" s="3">
        <v>1</v>
      </c>
      <c r="G2380" s="6" t="s">
        <v>15</v>
      </c>
    </row>
    <row r="2381" spans="1:7" x14ac:dyDescent="0.3">
      <c r="A2381" s="2" t="s">
        <v>2996</v>
      </c>
      <c r="B2381" s="2" t="s">
        <v>2994</v>
      </c>
      <c r="C2381" s="6" t="s">
        <v>2995</v>
      </c>
      <c r="D2381" s="1">
        <v>45421</v>
      </c>
      <c r="E2381" s="4">
        <v>418.27</v>
      </c>
      <c r="F2381" s="3">
        <v>2</v>
      </c>
      <c r="G2381" s="6" t="s">
        <v>18</v>
      </c>
    </row>
    <row r="2382" spans="1:7" x14ac:dyDescent="0.3">
      <c r="A2382" s="2" t="s">
        <v>2997</v>
      </c>
      <c r="B2382" s="2" t="s">
        <v>2994</v>
      </c>
      <c r="C2382" s="6" t="s">
        <v>2995</v>
      </c>
      <c r="D2382" s="1">
        <v>45559</v>
      </c>
      <c r="E2382" s="4">
        <v>167.12</v>
      </c>
      <c r="F2382" s="3">
        <v>1</v>
      </c>
      <c r="G2382" s="6" t="s">
        <v>18</v>
      </c>
    </row>
    <row r="2383" spans="1:7" x14ac:dyDescent="0.3">
      <c r="A2383" s="2" t="s">
        <v>2998</v>
      </c>
      <c r="B2383" s="2" t="s">
        <v>2994</v>
      </c>
      <c r="C2383" s="6" t="s">
        <v>2995</v>
      </c>
      <c r="D2383" s="1">
        <v>45584</v>
      </c>
      <c r="E2383" s="4">
        <v>491.25</v>
      </c>
      <c r="F2383" s="3">
        <v>4</v>
      </c>
      <c r="G2383" s="6" t="s">
        <v>26</v>
      </c>
    </row>
    <row r="2384" spans="1:7" x14ac:dyDescent="0.3">
      <c r="A2384" s="2" t="s">
        <v>2999</v>
      </c>
      <c r="B2384" s="2" t="s">
        <v>2994</v>
      </c>
      <c r="C2384" s="6" t="s">
        <v>2995</v>
      </c>
      <c r="D2384" s="1">
        <v>45441</v>
      </c>
      <c r="E2384" s="4">
        <v>227.8</v>
      </c>
      <c r="F2384" s="3">
        <v>3</v>
      </c>
      <c r="G2384" s="6" t="s">
        <v>12</v>
      </c>
    </row>
    <row r="2385" spans="1:7" x14ac:dyDescent="0.3">
      <c r="A2385" s="2" t="s">
        <v>3000</v>
      </c>
      <c r="B2385" s="2" t="s">
        <v>2994</v>
      </c>
      <c r="C2385" s="6" t="s">
        <v>2995</v>
      </c>
      <c r="D2385" s="1">
        <v>45490</v>
      </c>
      <c r="E2385" s="4">
        <v>410.33</v>
      </c>
      <c r="F2385" s="3">
        <v>1</v>
      </c>
      <c r="G2385" s="6" t="s">
        <v>18</v>
      </c>
    </row>
    <row r="2386" spans="1:7" x14ac:dyDescent="0.3">
      <c r="A2386" s="2" t="s">
        <v>3001</v>
      </c>
      <c r="B2386" s="2" t="s">
        <v>2994</v>
      </c>
      <c r="C2386" s="6" t="s">
        <v>2995</v>
      </c>
      <c r="D2386" s="1">
        <v>45634</v>
      </c>
      <c r="E2386" s="4">
        <v>404.89</v>
      </c>
      <c r="F2386" s="3">
        <v>1</v>
      </c>
      <c r="G2386" s="6" t="s">
        <v>18</v>
      </c>
    </row>
    <row r="2387" spans="1:7" x14ac:dyDescent="0.3">
      <c r="A2387" s="2" t="s">
        <v>3002</v>
      </c>
      <c r="B2387" s="2" t="s">
        <v>3003</v>
      </c>
      <c r="C2387" s="6" t="s">
        <v>3004</v>
      </c>
      <c r="D2387" s="1">
        <v>45418</v>
      </c>
      <c r="E2387" s="4">
        <v>448.87</v>
      </c>
      <c r="F2387" s="3">
        <v>4</v>
      </c>
      <c r="G2387" s="6" t="s">
        <v>26</v>
      </c>
    </row>
    <row r="2388" spans="1:7" x14ac:dyDescent="0.3">
      <c r="A2388" s="2" t="s">
        <v>3005</v>
      </c>
      <c r="B2388" s="2" t="s">
        <v>3003</v>
      </c>
      <c r="C2388" s="6" t="s">
        <v>3004</v>
      </c>
      <c r="D2388" s="1">
        <v>45275</v>
      </c>
      <c r="E2388" s="4">
        <v>324.37</v>
      </c>
      <c r="F2388" s="3">
        <v>4</v>
      </c>
      <c r="G2388" s="6" t="s">
        <v>26</v>
      </c>
    </row>
    <row r="2389" spans="1:7" x14ac:dyDescent="0.3">
      <c r="A2389" s="2" t="s">
        <v>3006</v>
      </c>
      <c r="B2389" s="2" t="s">
        <v>3003</v>
      </c>
      <c r="C2389" s="6" t="s">
        <v>3004</v>
      </c>
      <c r="D2389" s="1">
        <v>45485</v>
      </c>
      <c r="E2389" s="4">
        <v>333.34</v>
      </c>
      <c r="F2389" s="3">
        <v>4</v>
      </c>
      <c r="G2389" s="6" t="s">
        <v>10</v>
      </c>
    </row>
    <row r="2390" spans="1:7" x14ac:dyDescent="0.3">
      <c r="A2390" s="2" t="s">
        <v>3007</v>
      </c>
      <c r="B2390" s="2" t="s">
        <v>3003</v>
      </c>
      <c r="C2390" s="6" t="s">
        <v>3004</v>
      </c>
      <c r="D2390" s="1">
        <v>45384</v>
      </c>
      <c r="E2390" s="4">
        <v>381.61</v>
      </c>
      <c r="F2390" s="3">
        <v>2</v>
      </c>
      <c r="G2390" s="6" t="s">
        <v>38</v>
      </c>
    </row>
    <row r="2391" spans="1:7" x14ac:dyDescent="0.3">
      <c r="A2391" s="2" t="s">
        <v>3008</v>
      </c>
      <c r="B2391" s="2" t="s">
        <v>3003</v>
      </c>
      <c r="C2391" s="6" t="s">
        <v>3004</v>
      </c>
      <c r="D2391" s="1">
        <v>45012</v>
      </c>
      <c r="E2391" s="4">
        <v>36.25</v>
      </c>
      <c r="F2391" s="3">
        <v>4</v>
      </c>
      <c r="G2391" s="6" t="s">
        <v>12</v>
      </c>
    </row>
    <row r="2392" spans="1:7" x14ac:dyDescent="0.3">
      <c r="A2392" s="2" t="s">
        <v>3009</v>
      </c>
      <c r="B2392" s="2" t="s">
        <v>3003</v>
      </c>
      <c r="C2392" s="6" t="s">
        <v>3004</v>
      </c>
      <c r="D2392" s="1">
        <v>45404</v>
      </c>
      <c r="E2392" s="4">
        <v>268.47000000000003</v>
      </c>
      <c r="F2392" s="3">
        <v>2</v>
      </c>
      <c r="G2392" s="6" t="s">
        <v>38</v>
      </c>
    </row>
    <row r="2393" spans="1:7" x14ac:dyDescent="0.3">
      <c r="A2393" s="2" t="s">
        <v>3010</v>
      </c>
      <c r="B2393" s="2" t="s">
        <v>3003</v>
      </c>
      <c r="C2393" s="6" t="s">
        <v>3004</v>
      </c>
      <c r="D2393" s="1">
        <v>45556</v>
      </c>
      <c r="E2393" s="4">
        <v>276.99</v>
      </c>
      <c r="F2393" s="3">
        <v>3</v>
      </c>
      <c r="G2393" s="6" t="s">
        <v>38</v>
      </c>
    </row>
    <row r="2394" spans="1:7" x14ac:dyDescent="0.3">
      <c r="A2394" s="2" t="s">
        <v>3011</v>
      </c>
      <c r="B2394" s="2" t="s">
        <v>3003</v>
      </c>
      <c r="C2394" s="6" t="s">
        <v>3004</v>
      </c>
      <c r="D2394" s="1">
        <v>45043</v>
      </c>
      <c r="E2394" s="4">
        <v>422.81</v>
      </c>
      <c r="F2394" s="3">
        <v>4</v>
      </c>
      <c r="G2394" s="6" t="s">
        <v>10</v>
      </c>
    </row>
    <row r="2395" spans="1:7" x14ac:dyDescent="0.3">
      <c r="A2395" s="2" t="s">
        <v>3012</v>
      </c>
      <c r="B2395" s="2" t="s">
        <v>3003</v>
      </c>
      <c r="C2395" s="6" t="s">
        <v>3004</v>
      </c>
      <c r="D2395" s="1">
        <v>45588</v>
      </c>
      <c r="E2395" s="4">
        <v>41.48</v>
      </c>
      <c r="F2395" s="3">
        <v>4</v>
      </c>
      <c r="G2395" s="6" t="s">
        <v>38</v>
      </c>
    </row>
    <row r="2396" spans="1:7" x14ac:dyDescent="0.3">
      <c r="A2396" s="2" t="s">
        <v>3013</v>
      </c>
      <c r="B2396" s="2" t="s">
        <v>3003</v>
      </c>
      <c r="C2396" s="6" t="s">
        <v>3004</v>
      </c>
      <c r="D2396" s="1">
        <v>45477</v>
      </c>
      <c r="E2396" s="4">
        <v>489.35</v>
      </c>
      <c r="F2396" s="3">
        <v>3</v>
      </c>
      <c r="G2396" s="6" t="s">
        <v>38</v>
      </c>
    </row>
    <row r="2397" spans="1:7" x14ac:dyDescent="0.3">
      <c r="A2397" s="2" t="s">
        <v>3014</v>
      </c>
      <c r="B2397" s="2" t="s">
        <v>3003</v>
      </c>
      <c r="C2397" s="6" t="s">
        <v>3004</v>
      </c>
      <c r="D2397" s="1">
        <v>45303</v>
      </c>
      <c r="E2397" s="4">
        <v>181.04</v>
      </c>
      <c r="F2397" s="3">
        <v>2</v>
      </c>
      <c r="G2397" s="6" t="s">
        <v>26</v>
      </c>
    </row>
    <row r="2398" spans="1:7" x14ac:dyDescent="0.3">
      <c r="A2398" s="2" t="s">
        <v>3015</v>
      </c>
      <c r="B2398" s="2" t="s">
        <v>3003</v>
      </c>
      <c r="C2398" s="6" t="s">
        <v>3004</v>
      </c>
      <c r="D2398" s="1">
        <v>45132</v>
      </c>
      <c r="E2398" s="4">
        <v>220.86</v>
      </c>
      <c r="F2398" s="3">
        <v>1</v>
      </c>
      <c r="G2398" s="6" t="s">
        <v>15</v>
      </c>
    </row>
    <row r="2399" spans="1:7" x14ac:dyDescent="0.3">
      <c r="A2399" s="2" t="s">
        <v>3016</v>
      </c>
      <c r="B2399" s="2" t="s">
        <v>3003</v>
      </c>
      <c r="C2399" s="6" t="s">
        <v>3004</v>
      </c>
      <c r="D2399" s="1">
        <v>45548</v>
      </c>
      <c r="E2399" s="4">
        <v>29.89</v>
      </c>
      <c r="F2399" s="3">
        <v>2</v>
      </c>
      <c r="G2399" s="6" t="s">
        <v>15</v>
      </c>
    </row>
    <row r="2400" spans="1:7" x14ac:dyDescent="0.3">
      <c r="A2400" s="2" t="s">
        <v>3017</v>
      </c>
      <c r="B2400" s="2" t="s">
        <v>3003</v>
      </c>
      <c r="C2400" s="6" t="s">
        <v>3004</v>
      </c>
      <c r="D2400" s="1">
        <v>45630</v>
      </c>
      <c r="E2400" s="4">
        <v>359.81</v>
      </c>
      <c r="F2400" s="3">
        <v>4</v>
      </c>
      <c r="G2400" s="6" t="s">
        <v>26</v>
      </c>
    </row>
    <row r="2401" spans="1:7" x14ac:dyDescent="0.3">
      <c r="A2401" s="2" t="s">
        <v>3018</v>
      </c>
      <c r="B2401" s="2" t="s">
        <v>3003</v>
      </c>
      <c r="C2401" s="6" t="s">
        <v>3004</v>
      </c>
      <c r="D2401" s="1">
        <v>45165</v>
      </c>
      <c r="E2401" s="4">
        <v>84.21</v>
      </c>
      <c r="F2401" s="3">
        <v>3</v>
      </c>
      <c r="G2401" s="6" t="s">
        <v>26</v>
      </c>
    </row>
    <row r="2402" spans="1:7" x14ac:dyDescent="0.3">
      <c r="A2402" s="2" t="s">
        <v>3019</v>
      </c>
      <c r="B2402" s="2" t="s">
        <v>3020</v>
      </c>
      <c r="C2402" s="6" t="s">
        <v>3021</v>
      </c>
      <c r="D2402" s="1">
        <v>45636</v>
      </c>
      <c r="E2402" s="4">
        <v>42.54</v>
      </c>
      <c r="F2402" s="3">
        <v>4</v>
      </c>
      <c r="G2402" s="6" t="s">
        <v>10</v>
      </c>
    </row>
    <row r="2403" spans="1:7" x14ac:dyDescent="0.3">
      <c r="A2403" s="2" t="s">
        <v>3022</v>
      </c>
      <c r="B2403" s="2" t="s">
        <v>3023</v>
      </c>
      <c r="C2403" s="6" t="s">
        <v>3024</v>
      </c>
      <c r="D2403" s="1">
        <v>45641</v>
      </c>
      <c r="E2403" s="4">
        <v>68.760000000000005</v>
      </c>
      <c r="F2403" s="3">
        <v>2</v>
      </c>
      <c r="G2403" s="6" t="s">
        <v>38</v>
      </c>
    </row>
    <row r="2404" spans="1:7" x14ac:dyDescent="0.3">
      <c r="A2404" s="2" t="s">
        <v>3025</v>
      </c>
      <c r="B2404" s="2" t="s">
        <v>3023</v>
      </c>
      <c r="C2404" s="6" t="s">
        <v>3024</v>
      </c>
      <c r="D2404" s="1">
        <v>45623</v>
      </c>
      <c r="E2404" s="4">
        <v>270.72000000000003</v>
      </c>
      <c r="F2404" s="3">
        <v>4</v>
      </c>
      <c r="G2404" s="6" t="s">
        <v>38</v>
      </c>
    </row>
    <row r="2405" spans="1:7" x14ac:dyDescent="0.3">
      <c r="A2405" s="2" t="s">
        <v>3026</v>
      </c>
      <c r="B2405" s="2" t="s">
        <v>3023</v>
      </c>
      <c r="C2405" s="6" t="s">
        <v>3024</v>
      </c>
      <c r="D2405" s="1">
        <v>45608</v>
      </c>
      <c r="E2405" s="4">
        <v>111.84</v>
      </c>
      <c r="F2405" s="3">
        <v>3</v>
      </c>
      <c r="G2405" s="6" t="s">
        <v>12</v>
      </c>
    </row>
    <row r="2406" spans="1:7" x14ac:dyDescent="0.3">
      <c r="A2406" s="2" t="s">
        <v>3027</v>
      </c>
      <c r="B2406" s="2" t="s">
        <v>3023</v>
      </c>
      <c r="C2406" s="6" t="s">
        <v>3024</v>
      </c>
      <c r="D2406" s="1">
        <v>45633</v>
      </c>
      <c r="E2406" s="4">
        <v>115.14</v>
      </c>
      <c r="F2406" s="3">
        <v>3</v>
      </c>
      <c r="G2406" s="6" t="s">
        <v>26</v>
      </c>
    </row>
    <row r="2407" spans="1:7" x14ac:dyDescent="0.3">
      <c r="A2407" s="2" t="s">
        <v>3028</v>
      </c>
      <c r="B2407" s="2" t="s">
        <v>3023</v>
      </c>
      <c r="C2407" s="6" t="s">
        <v>3024</v>
      </c>
      <c r="D2407" s="1">
        <v>45638</v>
      </c>
      <c r="E2407" s="4">
        <v>57.95</v>
      </c>
      <c r="F2407" s="3">
        <v>3</v>
      </c>
      <c r="G2407" s="6" t="s">
        <v>38</v>
      </c>
    </row>
    <row r="2408" spans="1:7" x14ac:dyDescent="0.3">
      <c r="A2408" s="2" t="s">
        <v>3029</v>
      </c>
      <c r="B2408" s="2" t="s">
        <v>3023</v>
      </c>
      <c r="C2408" s="6" t="s">
        <v>3024</v>
      </c>
      <c r="D2408" s="1">
        <v>45656</v>
      </c>
      <c r="E2408" s="4">
        <v>37.56</v>
      </c>
      <c r="F2408" s="3">
        <v>2</v>
      </c>
      <c r="G2408" s="6" t="s">
        <v>10</v>
      </c>
    </row>
    <row r="2409" spans="1:7" x14ac:dyDescent="0.3">
      <c r="A2409" s="2" t="s">
        <v>3030</v>
      </c>
      <c r="B2409" s="2" t="s">
        <v>3031</v>
      </c>
      <c r="C2409" s="6" t="s">
        <v>3032</v>
      </c>
      <c r="D2409" s="1">
        <v>45249</v>
      </c>
      <c r="E2409" s="4">
        <v>34.39</v>
      </c>
      <c r="F2409" s="3">
        <v>4</v>
      </c>
      <c r="G2409" s="6" t="s">
        <v>12</v>
      </c>
    </row>
    <row r="2410" spans="1:7" x14ac:dyDescent="0.3">
      <c r="A2410" s="2" t="s">
        <v>3033</v>
      </c>
      <c r="B2410" s="2" t="s">
        <v>3031</v>
      </c>
      <c r="C2410" s="6" t="s">
        <v>3032</v>
      </c>
      <c r="D2410" s="1">
        <v>45416</v>
      </c>
      <c r="E2410" s="4">
        <v>480.68</v>
      </c>
      <c r="F2410" s="3">
        <v>4</v>
      </c>
      <c r="G2410" s="6" t="s">
        <v>12</v>
      </c>
    </row>
    <row r="2411" spans="1:7" x14ac:dyDescent="0.3">
      <c r="A2411" s="2" t="s">
        <v>3034</v>
      </c>
      <c r="B2411" s="2" t="s">
        <v>3031</v>
      </c>
      <c r="C2411" s="6" t="s">
        <v>3032</v>
      </c>
      <c r="D2411" s="1">
        <v>45637</v>
      </c>
      <c r="E2411" s="4">
        <v>204.18</v>
      </c>
      <c r="F2411" s="3">
        <v>3</v>
      </c>
      <c r="G2411" s="6" t="s">
        <v>18</v>
      </c>
    </row>
    <row r="2412" spans="1:7" x14ac:dyDescent="0.3">
      <c r="A2412" s="2" t="s">
        <v>3035</v>
      </c>
      <c r="B2412" s="2" t="s">
        <v>3031</v>
      </c>
      <c r="C2412" s="6" t="s">
        <v>3032</v>
      </c>
      <c r="D2412" s="1">
        <v>45552</v>
      </c>
      <c r="E2412" s="4">
        <v>218.17</v>
      </c>
      <c r="F2412" s="3">
        <v>2</v>
      </c>
      <c r="G2412" s="6" t="s">
        <v>12</v>
      </c>
    </row>
    <row r="2413" spans="1:7" x14ac:dyDescent="0.3">
      <c r="A2413" s="2" t="s">
        <v>3036</v>
      </c>
      <c r="B2413" s="2" t="s">
        <v>3031</v>
      </c>
      <c r="C2413" s="6" t="s">
        <v>3032</v>
      </c>
      <c r="D2413" s="1">
        <v>45396</v>
      </c>
      <c r="E2413" s="4">
        <v>232.93</v>
      </c>
      <c r="F2413" s="3">
        <v>1</v>
      </c>
      <c r="G2413" s="6" t="s">
        <v>18</v>
      </c>
    </row>
    <row r="2414" spans="1:7" x14ac:dyDescent="0.3">
      <c r="A2414" s="2" t="s">
        <v>3037</v>
      </c>
      <c r="B2414" s="2" t="s">
        <v>3038</v>
      </c>
      <c r="C2414" s="6" t="s">
        <v>3039</v>
      </c>
      <c r="D2414" s="1">
        <v>45539</v>
      </c>
      <c r="E2414" s="4">
        <v>171.37</v>
      </c>
      <c r="F2414" s="3">
        <v>3</v>
      </c>
      <c r="G2414" s="6" t="s">
        <v>38</v>
      </c>
    </row>
    <row r="2415" spans="1:7" x14ac:dyDescent="0.3">
      <c r="A2415" s="2" t="s">
        <v>3040</v>
      </c>
      <c r="B2415" s="2" t="s">
        <v>3038</v>
      </c>
      <c r="C2415" s="6" t="s">
        <v>3039</v>
      </c>
      <c r="D2415" s="1">
        <v>45644</v>
      </c>
      <c r="E2415" s="4">
        <v>89.46</v>
      </c>
      <c r="F2415" s="3">
        <v>2</v>
      </c>
      <c r="G2415" s="6" t="s">
        <v>10</v>
      </c>
    </row>
    <row r="2416" spans="1:7" x14ac:dyDescent="0.3">
      <c r="A2416" s="2" t="s">
        <v>3041</v>
      </c>
      <c r="B2416" s="2" t="s">
        <v>3038</v>
      </c>
      <c r="C2416" s="6" t="s">
        <v>3039</v>
      </c>
      <c r="D2416" s="1">
        <v>45633</v>
      </c>
      <c r="E2416" s="4">
        <v>382.63</v>
      </c>
      <c r="F2416" s="3">
        <v>1</v>
      </c>
      <c r="G2416" s="6" t="s">
        <v>26</v>
      </c>
    </row>
    <row r="2417" spans="1:7" x14ac:dyDescent="0.3">
      <c r="A2417" s="2" t="s">
        <v>3042</v>
      </c>
      <c r="B2417" s="2" t="s">
        <v>3038</v>
      </c>
      <c r="C2417" s="6" t="s">
        <v>3039</v>
      </c>
      <c r="D2417" s="1">
        <v>45631</v>
      </c>
      <c r="E2417" s="4">
        <v>438.93</v>
      </c>
      <c r="F2417" s="3">
        <v>1</v>
      </c>
      <c r="G2417" s="6" t="s">
        <v>15</v>
      </c>
    </row>
    <row r="2418" spans="1:7" x14ac:dyDescent="0.3">
      <c r="A2418" s="2" t="s">
        <v>3043</v>
      </c>
      <c r="B2418" s="2" t="s">
        <v>3038</v>
      </c>
      <c r="C2418" s="6" t="s">
        <v>3039</v>
      </c>
      <c r="D2418" s="1">
        <v>45612</v>
      </c>
      <c r="E2418" s="4">
        <v>201.14</v>
      </c>
      <c r="F2418" s="3">
        <v>1</v>
      </c>
      <c r="G2418" s="6" t="s">
        <v>26</v>
      </c>
    </row>
    <row r="2419" spans="1:7" x14ac:dyDescent="0.3">
      <c r="A2419" s="2" t="s">
        <v>3044</v>
      </c>
      <c r="B2419" s="2" t="s">
        <v>3038</v>
      </c>
      <c r="C2419" s="6" t="s">
        <v>3039</v>
      </c>
      <c r="D2419" s="1">
        <v>45597</v>
      </c>
      <c r="E2419" s="4">
        <v>251.69</v>
      </c>
      <c r="F2419" s="3">
        <v>3</v>
      </c>
      <c r="G2419" s="6" t="s">
        <v>10</v>
      </c>
    </row>
    <row r="2420" spans="1:7" x14ac:dyDescent="0.3">
      <c r="A2420" s="2" t="s">
        <v>3045</v>
      </c>
      <c r="B2420" s="2" t="s">
        <v>3038</v>
      </c>
      <c r="C2420" s="6" t="s">
        <v>3039</v>
      </c>
      <c r="D2420" s="1">
        <v>45656</v>
      </c>
      <c r="E2420" s="4">
        <v>350.1</v>
      </c>
      <c r="F2420" s="3">
        <v>4</v>
      </c>
      <c r="G2420" s="6" t="s">
        <v>26</v>
      </c>
    </row>
    <row r="2421" spans="1:7" x14ac:dyDescent="0.3">
      <c r="A2421" s="2" t="s">
        <v>3046</v>
      </c>
      <c r="B2421" s="2" t="s">
        <v>3038</v>
      </c>
      <c r="C2421" s="6" t="s">
        <v>3039</v>
      </c>
      <c r="D2421" s="1">
        <v>45584</v>
      </c>
      <c r="E2421" s="4">
        <v>58.75</v>
      </c>
      <c r="F2421" s="3">
        <v>1</v>
      </c>
      <c r="G2421" s="6" t="s">
        <v>26</v>
      </c>
    </row>
    <row r="2422" spans="1:7" x14ac:dyDescent="0.3">
      <c r="A2422" s="2" t="s">
        <v>3047</v>
      </c>
      <c r="B2422" s="2" t="s">
        <v>3038</v>
      </c>
      <c r="C2422" s="6" t="s">
        <v>3039</v>
      </c>
      <c r="D2422" s="1">
        <v>45569</v>
      </c>
      <c r="E2422" s="4">
        <v>138.88</v>
      </c>
      <c r="F2422" s="3">
        <v>2</v>
      </c>
      <c r="G2422" s="6" t="s">
        <v>12</v>
      </c>
    </row>
    <row r="2423" spans="1:7" x14ac:dyDescent="0.3">
      <c r="A2423" s="2" t="s">
        <v>3048</v>
      </c>
      <c r="B2423" s="2" t="s">
        <v>3038</v>
      </c>
      <c r="C2423" s="6" t="s">
        <v>3039</v>
      </c>
      <c r="D2423" s="1">
        <v>45653</v>
      </c>
      <c r="E2423" s="4">
        <v>298.52</v>
      </c>
      <c r="F2423" s="3">
        <v>3</v>
      </c>
      <c r="G2423" s="6" t="s">
        <v>38</v>
      </c>
    </row>
    <row r="2424" spans="1:7" x14ac:dyDescent="0.3">
      <c r="A2424" s="2" t="s">
        <v>3049</v>
      </c>
      <c r="B2424" s="2" t="s">
        <v>3038</v>
      </c>
      <c r="C2424" s="6" t="s">
        <v>3039</v>
      </c>
      <c r="D2424" s="1">
        <v>45566</v>
      </c>
      <c r="E2424" s="4">
        <v>95.65</v>
      </c>
      <c r="F2424" s="3">
        <v>1</v>
      </c>
      <c r="G2424" s="6" t="s">
        <v>26</v>
      </c>
    </row>
    <row r="2425" spans="1:7" x14ac:dyDescent="0.3">
      <c r="A2425" s="2" t="s">
        <v>3050</v>
      </c>
      <c r="B2425" s="2" t="s">
        <v>3051</v>
      </c>
      <c r="C2425" s="6" t="s">
        <v>3052</v>
      </c>
      <c r="D2425" s="1">
        <v>45652</v>
      </c>
      <c r="E2425" s="4">
        <v>148.61000000000001</v>
      </c>
      <c r="F2425" s="3">
        <v>4</v>
      </c>
      <c r="G2425" s="6" t="s">
        <v>18</v>
      </c>
    </row>
    <row r="2426" spans="1:7" x14ac:dyDescent="0.3">
      <c r="A2426" s="2" t="s">
        <v>3053</v>
      </c>
      <c r="B2426" s="2" t="s">
        <v>3051</v>
      </c>
      <c r="C2426" s="6" t="s">
        <v>3052</v>
      </c>
      <c r="D2426" s="1">
        <v>45460</v>
      </c>
      <c r="E2426" s="4">
        <v>150.27000000000001</v>
      </c>
      <c r="F2426" s="3">
        <v>4</v>
      </c>
      <c r="G2426" s="6" t="s">
        <v>10</v>
      </c>
    </row>
    <row r="2427" spans="1:7" x14ac:dyDescent="0.3">
      <c r="A2427" s="2" t="s">
        <v>3054</v>
      </c>
      <c r="B2427" s="2" t="s">
        <v>3051</v>
      </c>
      <c r="C2427" s="6" t="s">
        <v>3052</v>
      </c>
      <c r="D2427" s="1">
        <v>45575</v>
      </c>
      <c r="E2427" s="4">
        <v>298.75</v>
      </c>
      <c r="F2427" s="3">
        <v>4</v>
      </c>
      <c r="G2427" s="6" t="s">
        <v>18</v>
      </c>
    </row>
    <row r="2428" spans="1:7" x14ac:dyDescent="0.3">
      <c r="A2428" s="2" t="s">
        <v>3055</v>
      </c>
      <c r="B2428" s="2" t="s">
        <v>3051</v>
      </c>
      <c r="C2428" s="6" t="s">
        <v>3052</v>
      </c>
      <c r="D2428" s="1">
        <v>45630</v>
      </c>
      <c r="E2428" s="4">
        <v>40.19</v>
      </c>
      <c r="F2428" s="3">
        <v>1</v>
      </c>
      <c r="G2428" s="6" t="s">
        <v>12</v>
      </c>
    </row>
    <row r="2429" spans="1:7" x14ac:dyDescent="0.3">
      <c r="A2429" s="2" t="s">
        <v>3056</v>
      </c>
      <c r="B2429" s="2" t="s">
        <v>3051</v>
      </c>
      <c r="C2429" s="6" t="s">
        <v>3052</v>
      </c>
      <c r="D2429" s="1">
        <v>45572</v>
      </c>
      <c r="E2429" s="4">
        <v>19.010000000000002</v>
      </c>
      <c r="F2429" s="3">
        <v>1</v>
      </c>
      <c r="G2429" s="6" t="s">
        <v>12</v>
      </c>
    </row>
    <row r="2430" spans="1:7" x14ac:dyDescent="0.3">
      <c r="A2430" s="2" t="s">
        <v>3057</v>
      </c>
      <c r="B2430" s="2" t="s">
        <v>3051</v>
      </c>
      <c r="C2430" s="6" t="s">
        <v>3052</v>
      </c>
      <c r="D2430" s="1">
        <v>45522</v>
      </c>
      <c r="E2430" s="4">
        <v>42.14</v>
      </c>
      <c r="F2430" s="3">
        <v>3</v>
      </c>
      <c r="G2430" s="6" t="s">
        <v>15</v>
      </c>
    </row>
    <row r="2431" spans="1:7" x14ac:dyDescent="0.3">
      <c r="A2431" s="2" t="s">
        <v>3058</v>
      </c>
      <c r="B2431" s="2" t="s">
        <v>3051</v>
      </c>
      <c r="C2431" s="6" t="s">
        <v>3052</v>
      </c>
      <c r="D2431" s="1">
        <v>45503</v>
      </c>
      <c r="E2431" s="4">
        <v>208.21</v>
      </c>
      <c r="F2431" s="3">
        <v>3</v>
      </c>
      <c r="G2431" s="6" t="s">
        <v>10</v>
      </c>
    </row>
    <row r="2432" spans="1:7" x14ac:dyDescent="0.3">
      <c r="A2432" s="2" t="s">
        <v>3059</v>
      </c>
      <c r="B2432" s="2" t="s">
        <v>3060</v>
      </c>
      <c r="C2432" s="6" t="s">
        <v>3061</v>
      </c>
      <c r="D2432" s="1">
        <v>45604</v>
      </c>
      <c r="E2432" s="4">
        <v>252.89</v>
      </c>
      <c r="F2432" s="3">
        <v>1</v>
      </c>
      <c r="G2432" s="6" t="s">
        <v>38</v>
      </c>
    </row>
    <row r="2433" spans="1:7" x14ac:dyDescent="0.3">
      <c r="A2433" s="2" t="s">
        <v>3062</v>
      </c>
      <c r="B2433" s="2" t="s">
        <v>3060</v>
      </c>
      <c r="C2433" s="6" t="s">
        <v>3061</v>
      </c>
      <c r="D2433" s="1">
        <v>45607</v>
      </c>
      <c r="E2433" s="4">
        <v>217.85</v>
      </c>
      <c r="F2433" s="3">
        <v>4</v>
      </c>
      <c r="G2433" s="6" t="s">
        <v>10</v>
      </c>
    </row>
    <row r="2434" spans="1:7" x14ac:dyDescent="0.3">
      <c r="A2434" s="2" t="s">
        <v>3063</v>
      </c>
      <c r="B2434" s="2" t="s">
        <v>3060</v>
      </c>
      <c r="C2434" s="6" t="s">
        <v>3061</v>
      </c>
      <c r="D2434" s="1">
        <v>45569</v>
      </c>
      <c r="E2434" s="4">
        <v>414.32</v>
      </c>
      <c r="F2434" s="3">
        <v>4</v>
      </c>
      <c r="G2434" s="6" t="s">
        <v>10</v>
      </c>
    </row>
    <row r="2435" spans="1:7" x14ac:dyDescent="0.3">
      <c r="A2435" s="2" t="s">
        <v>3064</v>
      </c>
      <c r="B2435" s="2" t="s">
        <v>3060</v>
      </c>
      <c r="C2435" s="6" t="s">
        <v>3061</v>
      </c>
      <c r="D2435" s="1">
        <v>45650</v>
      </c>
      <c r="E2435" s="4">
        <v>433.34</v>
      </c>
      <c r="F2435" s="3">
        <v>1</v>
      </c>
      <c r="G2435" s="6" t="s">
        <v>12</v>
      </c>
    </row>
    <row r="2436" spans="1:7" x14ac:dyDescent="0.3">
      <c r="A2436" s="2" t="s">
        <v>3065</v>
      </c>
      <c r="B2436" s="2" t="s">
        <v>3066</v>
      </c>
      <c r="C2436" s="6" t="s">
        <v>3067</v>
      </c>
      <c r="D2436" s="1">
        <v>45487</v>
      </c>
      <c r="E2436" s="4">
        <v>359.92</v>
      </c>
      <c r="F2436" s="3">
        <v>4</v>
      </c>
      <c r="G2436" s="6" t="s">
        <v>10</v>
      </c>
    </row>
    <row r="2437" spans="1:7" x14ac:dyDescent="0.3">
      <c r="A2437" s="2" t="s">
        <v>3068</v>
      </c>
      <c r="B2437" s="2" t="s">
        <v>3069</v>
      </c>
      <c r="C2437" s="6" t="s">
        <v>3070</v>
      </c>
      <c r="D2437" s="1">
        <v>45652</v>
      </c>
      <c r="E2437" s="4">
        <v>82.76</v>
      </c>
      <c r="F2437" s="3">
        <v>4</v>
      </c>
      <c r="G2437" s="6" t="s">
        <v>10</v>
      </c>
    </row>
    <row r="2438" spans="1:7" x14ac:dyDescent="0.3">
      <c r="A2438" s="2" t="s">
        <v>3071</v>
      </c>
      <c r="B2438" s="2" t="s">
        <v>3069</v>
      </c>
      <c r="C2438" s="6" t="s">
        <v>3070</v>
      </c>
      <c r="D2438" s="1">
        <v>45614</v>
      </c>
      <c r="E2438" s="4">
        <v>59.3</v>
      </c>
      <c r="F2438" s="3">
        <v>2</v>
      </c>
      <c r="G2438" s="6" t="s">
        <v>12</v>
      </c>
    </row>
    <row r="2439" spans="1:7" x14ac:dyDescent="0.3">
      <c r="A2439" s="2" t="s">
        <v>3072</v>
      </c>
      <c r="B2439" s="2" t="s">
        <v>3069</v>
      </c>
      <c r="C2439" s="6" t="s">
        <v>3070</v>
      </c>
      <c r="D2439" s="1">
        <v>45646</v>
      </c>
      <c r="E2439" s="4">
        <v>445.06</v>
      </c>
      <c r="F2439" s="3">
        <v>1</v>
      </c>
      <c r="G2439" s="6" t="s">
        <v>26</v>
      </c>
    </row>
    <row r="2440" spans="1:7" x14ac:dyDescent="0.3">
      <c r="A2440" s="2" t="s">
        <v>3073</v>
      </c>
      <c r="B2440" s="2" t="s">
        <v>3069</v>
      </c>
      <c r="C2440" s="6" t="s">
        <v>3070</v>
      </c>
      <c r="D2440" s="1">
        <v>45634</v>
      </c>
      <c r="E2440" s="4">
        <v>99.87</v>
      </c>
      <c r="F2440" s="3">
        <v>3</v>
      </c>
      <c r="G2440" s="6" t="s">
        <v>26</v>
      </c>
    </row>
    <row r="2441" spans="1:7" x14ac:dyDescent="0.3">
      <c r="A2441" s="2" t="s">
        <v>3074</v>
      </c>
      <c r="B2441" s="2" t="s">
        <v>3069</v>
      </c>
      <c r="C2441" s="6" t="s">
        <v>3070</v>
      </c>
      <c r="D2441" s="1">
        <v>45643</v>
      </c>
      <c r="E2441" s="4">
        <v>423.05</v>
      </c>
      <c r="F2441" s="3">
        <v>1</v>
      </c>
      <c r="G2441" s="6" t="s">
        <v>12</v>
      </c>
    </row>
    <row r="2442" spans="1:7" x14ac:dyDescent="0.3">
      <c r="A2442" s="2" t="s">
        <v>3075</v>
      </c>
      <c r="B2442" s="2" t="s">
        <v>3069</v>
      </c>
      <c r="C2442" s="6" t="s">
        <v>3070</v>
      </c>
      <c r="D2442" s="1">
        <v>45618</v>
      </c>
      <c r="E2442" s="4">
        <v>121.49</v>
      </c>
      <c r="F2442" s="3">
        <v>4</v>
      </c>
      <c r="G2442" s="6" t="s">
        <v>38</v>
      </c>
    </row>
    <row r="2443" spans="1:7" x14ac:dyDescent="0.3">
      <c r="A2443" s="2" t="s">
        <v>3076</v>
      </c>
      <c r="B2443" s="2" t="s">
        <v>3069</v>
      </c>
      <c r="C2443" s="6" t="s">
        <v>3070</v>
      </c>
      <c r="D2443" s="1">
        <v>45628</v>
      </c>
      <c r="E2443" s="4">
        <v>323.24</v>
      </c>
      <c r="F2443" s="3">
        <v>1</v>
      </c>
      <c r="G2443" s="6" t="s">
        <v>15</v>
      </c>
    </row>
    <row r="2444" spans="1:7" x14ac:dyDescent="0.3">
      <c r="A2444" s="2" t="s">
        <v>3077</v>
      </c>
      <c r="B2444" s="2" t="s">
        <v>3069</v>
      </c>
      <c r="C2444" s="6" t="s">
        <v>3070</v>
      </c>
      <c r="D2444" s="1">
        <v>45613</v>
      </c>
      <c r="E2444" s="4">
        <v>379.27</v>
      </c>
      <c r="F2444" s="3">
        <v>2</v>
      </c>
      <c r="G2444" s="6" t="s">
        <v>38</v>
      </c>
    </row>
    <row r="2445" spans="1:7" x14ac:dyDescent="0.3">
      <c r="A2445" s="2" t="s">
        <v>3078</v>
      </c>
      <c r="B2445" s="2" t="s">
        <v>3069</v>
      </c>
      <c r="C2445" s="6" t="s">
        <v>3070</v>
      </c>
      <c r="D2445" s="1">
        <v>45647</v>
      </c>
      <c r="E2445" s="4">
        <v>356.89</v>
      </c>
      <c r="F2445" s="3">
        <v>1</v>
      </c>
      <c r="G2445" s="6" t="s">
        <v>10</v>
      </c>
    </row>
    <row r="2446" spans="1:7" x14ac:dyDescent="0.3">
      <c r="A2446" s="2" t="s">
        <v>3079</v>
      </c>
      <c r="B2446" s="2" t="s">
        <v>3069</v>
      </c>
      <c r="C2446" s="6" t="s">
        <v>3070</v>
      </c>
      <c r="D2446" s="1">
        <v>45622</v>
      </c>
      <c r="E2446" s="4">
        <v>92.42</v>
      </c>
      <c r="F2446" s="3">
        <v>3</v>
      </c>
      <c r="G2446" s="6" t="s">
        <v>10</v>
      </c>
    </row>
    <row r="2447" spans="1:7" x14ac:dyDescent="0.3">
      <c r="A2447" s="2" t="s">
        <v>3080</v>
      </c>
      <c r="B2447" s="2" t="s">
        <v>3081</v>
      </c>
      <c r="C2447" s="6" t="s">
        <v>3082</v>
      </c>
      <c r="D2447" s="1">
        <v>45440</v>
      </c>
      <c r="E2447" s="4">
        <v>224.2</v>
      </c>
      <c r="F2447" s="3">
        <v>2</v>
      </c>
      <c r="G2447" s="6" t="s">
        <v>12</v>
      </c>
    </row>
    <row r="2448" spans="1:7" x14ac:dyDescent="0.3">
      <c r="A2448" s="2" t="s">
        <v>3083</v>
      </c>
      <c r="B2448" s="2" t="s">
        <v>3081</v>
      </c>
      <c r="C2448" s="6" t="s">
        <v>3082</v>
      </c>
      <c r="D2448" s="1">
        <v>45502</v>
      </c>
      <c r="E2448" s="4">
        <v>253.65</v>
      </c>
      <c r="F2448" s="3">
        <v>3</v>
      </c>
      <c r="G2448" s="6" t="s">
        <v>10</v>
      </c>
    </row>
    <row r="2449" spans="1:7" x14ac:dyDescent="0.3">
      <c r="A2449" s="2" t="s">
        <v>3084</v>
      </c>
      <c r="B2449" s="2" t="s">
        <v>3081</v>
      </c>
      <c r="C2449" s="6" t="s">
        <v>3082</v>
      </c>
      <c r="D2449" s="1">
        <v>45474</v>
      </c>
      <c r="E2449" s="4">
        <v>492.03</v>
      </c>
      <c r="F2449" s="3">
        <v>1</v>
      </c>
      <c r="G2449" s="6" t="s">
        <v>15</v>
      </c>
    </row>
    <row r="2450" spans="1:7" x14ac:dyDescent="0.3">
      <c r="A2450" s="2" t="s">
        <v>3085</v>
      </c>
      <c r="B2450" s="2" t="s">
        <v>3081</v>
      </c>
      <c r="C2450" s="6" t="s">
        <v>3082</v>
      </c>
      <c r="D2450" s="1">
        <v>45561</v>
      </c>
      <c r="E2450" s="4">
        <v>498.19</v>
      </c>
      <c r="F2450" s="3">
        <v>2</v>
      </c>
      <c r="G2450" s="6" t="s">
        <v>18</v>
      </c>
    </row>
    <row r="2451" spans="1:7" x14ac:dyDescent="0.3">
      <c r="A2451" s="2" t="s">
        <v>3086</v>
      </c>
      <c r="B2451" s="2" t="s">
        <v>3081</v>
      </c>
      <c r="C2451" s="6" t="s">
        <v>3082</v>
      </c>
      <c r="D2451" s="1">
        <v>45527</v>
      </c>
      <c r="E2451" s="4">
        <v>457.77</v>
      </c>
      <c r="F2451" s="3">
        <v>4</v>
      </c>
      <c r="G2451" s="6" t="s">
        <v>18</v>
      </c>
    </row>
    <row r="2452" spans="1:7" x14ac:dyDescent="0.3">
      <c r="A2452" s="2" t="s">
        <v>3087</v>
      </c>
      <c r="B2452" s="2" t="s">
        <v>3081</v>
      </c>
      <c r="C2452" s="6" t="s">
        <v>3082</v>
      </c>
      <c r="D2452" s="1">
        <v>45558</v>
      </c>
      <c r="E2452" s="4">
        <v>283.14</v>
      </c>
      <c r="F2452" s="3">
        <v>1</v>
      </c>
      <c r="G2452" s="6" t="s">
        <v>18</v>
      </c>
    </row>
    <row r="2453" spans="1:7" x14ac:dyDescent="0.3">
      <c r="A2453" s="2" t="s">
        <v>3088</v>
      </c>
      <c r="B2453" s="2" t="s">
        <v>3081</v>
      </c>
      <c r="C2453" s="6" t="s">
        <v>3082</v>
      </c>
      <c r="D2453" s="1">
        <v>45554</v>
      </c>
      <c r="E2453" s="4">
        <v>328.89</v>
      </c>
      <c r="F2453" s="3">
        <v>3</v>
      </c>
      <c r="G2453" s="6" t="s">
        <v>18</v>
      </c>
    </row>
    <row r="2454" spans="1:7" x14ac:dyDescent="0.3">
      <c r="A2454" s="2" t="s">
        <v>3089</v>
      </c>
      <c r="B2454" s="2" t="s">
        <v>3081</v>
      </c>
      <c r="C2454" s="6" t="s">
        <v>3082</v>
      </c>
      <c r="D2454" s="1">
        <v>45575</v>
      </c>
      <c r="E2454" s="4">
        <v>152.79</v>
      </c>
      <c r="F2454" s="3">
        <v>2</v>
      </c>
      <c r="G2454" s="6" t="s">
        <v>10</v>
      </c>
    </row>
    <row r="2455" spans="1:7" x14ac:dyDescent="0.3">
      <c r="A2455" s="2" t="s">
        <v>3090</v>
      </c>
      <c r="B2455" s="2" t="s">
        <v>3081</v>
      </c>
      <c r="C2455" s="6" t="s">
        <v>3082</v>
      </c>
      <c r="D2455" s="1">
        <v>45573</v>
      </c>
      <c r="E2455" s="4">
        <v>436.69</v>
      </c>
      <c r="F2455" s="3">
        <v>4</v>
      </c>
      <c r="G2455" s="6" t="s">
        <v>38</v>
      </c>
    </row>
    <row r="2456" spans="1:7" x14ac:dyDescent="0.3">
      <c r="A2456" s="2" t="s">
        <v>3091</v>
      </c>
      <c r="B2456" s="2" t="s">
        <v>3081</v>
      </c>
      <c r="C2456" s="6" t="s">
        <v>3082</v>
      </c>
      <c r="D2456" s="1">
        <v>45460</v>
      </c>
      <c r="E2456" s="4">
        <v>352.43</v>
      </c>
      <c r="F2456" s="3">
        <v>2</v>
      </c>
      <c r="G2456" s="6" t="s">
        <v>15</v>
      </c>
    </row>
    <row r="2457" spans="1:7" x14ac:dyDescent="0.3">
      <c r="A2457" s="2" t="s">
        <v>3092</v>
      </c>
      <c r="B2457" s="2" t="s">
        <v>3081</v>
      </c>
      <c r="C2457" s="6" t="s">
        <v>3082</v>
      </c>
      <c r="D2457" s="1">
        <v>45630</v>
      </c>
      <c r="E2457" s="4">
        <v>16.260000000000002</v>
      </c>
      <c r="F2457" s="3">
        <v>3</v>
      </c>
      <c r="G2457" s="6" t="s">
        <v>10</v>
      </c>
    </row>
    <row r="2458" spans="1:7" x14ac:dyDescent="0.3">
      <c r="A2458" s="2" t="s">
        <v>3093</v>
      </c>
      <c r="B2458" s="2" t="s">
        <v>3081</v>
      </c>
      <c r="C2458" s="6" t="s">
        <v>3082</v>
      </c>
      <c r="D2458" s="1">
        <v>45601</v>
      </c>
      <c r="E2458" s="4">
        <v>178.05</v>
      </c>
      <c r="F2458" s="3">
        <v>1</v>
      </c>
      <c r="G2458" s="6" t="s">
        <v>26</v>
      </c>
    </row>
    <row r="2459" spans="1:7" x14ac:dyDescent="0.3">
      <c r="A2459" s="2" t="s">
        <v>3094</v>
      </c>
      <c r="B2459" s="2" t="s">
        <v>3081</v>
      </c>
      <c r="C2459" s="6" t="s">
        <v>3082</v>
      </c>
      <c r="D2459" s="1">
        <v>45570</v>
      </c>
      <c r="E2459" s="4">
        <v>49.72</v>
      </c>
      <c r="F2459" s="3">
        <v>4</v>
      </c>
      <c r="G2459" s="6" t="s">
        <v>10</v>
      </c>
    </row>
    <row r="2460" spans="1:7" x14ac:dyDescent="0.3">
      <c r="A2460" s="2" t="s">
        <v>3095</v>
      </c>
      <c r="B2460" s="2" t="s">
        <v>3081</v>
      </c>
      <c r="C2460" s="6" t="s">
        <v>3082</v>
      </c>
      <c r="D2460" s="1">
        <v>45555</v>
      </c>
      <c r="E2460" s="4">
        <v>342.54</v>
      </c>
      <c r="F2460" s="3">
        <v>4</v>
      </c>
      <c r="G2460" s="6" t="s">
        <v>38</v>
      </c>
    </row>
    <row r="2461" spans="1:7" x14ac:dyDescent="0.3">
      <c r="A2461" s="2" t="s">
        <v>3096</v>
      </c>
      <c r="B2461" s="2" t="s">
        <v>3081</v>
      </c>
      <c r="C2461" s="6" t="s">
        <v>3082</v>
      </c>
      <c r="D2461" s="1">
        <v>45483</v>
      </c>
      <c r="E2461" s="4">
        <v>479.34</v>
      </c>
      <c r="F2461" s="3">
        <v>4</v>
      </c>
      <c r="G2461" s="6" t="s">
        <v>10</v>
      </c>
    </row>
    <row r="2462" spans="1:7" x14ac:dyDescent="0.3">
      <c r="A2462" s="2" t="s">
        <v>3097</v>
      </c>
      <c r="B2462" s="2" t="s">
        <v>3098</v>
      </c>
      <c r="C2462" s="6" t="s">
        <v>3099</v>
      </c>
      <c r="D2462" s="1">
        <v>45650</v>
      </c>
      <c r="E2462" s="4">
        <v>175.06</v>
      </c>
      <c r="F2462" s="3">
        <v>4</v>
      </c>
      <c r="G2462" s="6" t="s">
        <v>18</v>
      </c>
    </row>
    <row r="2463" spans="1:7" x14ac:dyDescent="0.3">
      <c r="A2463" s="2" t="s">
        <v>3100</v>
      </c>
      <c r="B2463" s="2" t="s">
        <v>3098</v>
      </c>
      <c r="C2463" s="6" t="s">
        <v>3099</v>
      </c>
      <c r="D2463" s="1">
        <v>45559</v>
      </c>
      <c r="E2463" s="4">
        <v>114.24</v>
      </c>
      <c r="F2463" s="3">
        <v>3</v>
      </c>
      <c r="G2463" s="6" t="s">
        <v>10</v>
      </c>
    </row>
    <row r="2464" spans="1:7" x14ac:dyDescent="0.3">
      <c r="A2464" s="2" t="s">
        <v>3101</v>
      </c>
      <c r="B2464" s="2" t="s">
        <v>3098</v>
      </c>
      <c r="C2464" s="6" t="s">
        <v>3099</v>
      </c>
      <c r="D2464" s="1">
        <v>45254</v>
      </c>
      <c r="E2464" s="4">
        <v>426.66</v>
      </c>
      <c r="F2464" s="3">
        <v>1</v>
      </c>
      <c r="G2464" s="6" t="s">
        <v>15</v>
      </c>
    </row>
    <row r="2465" spans="1:7" x14ac:dyDescent="0.3">
      <c r="A2465" s="2" t="s">
        <v>3102</v>
      </c>
      <c r="B2465" s="2" t="s">
        <v>3098</v>
      </c>
      <c r="C2465" s="6" t="s">
        <v>3099</v>
      </c>
      <c r="D2465" s="1">
        <v>45613</v>
      </c>
      <c r="E2465" s="4">
        <v>208.38</v>
      </c>
      <c r="F2465" s="3">
        <v>2</v>
      </c>
      <c r="G2465" s="6" t="s">
        <v>15</v>
      </c>
    </row>
    <row r="2466" spans="1:7" x14ac:dyDescent="0.3">
      <c r="A2466" s="2" t="s">
        <v>3103</v>
      </c>
      <c r="B2466" s="2" t="s">
        <v>3098</v>
      </c>
      <c r="C2466" s="6" t="s">
        <v>3099</v>
      </c>
      <c r="D2466" s="1">
        <v>45610</v>
      </c>
      <c r="E2466" s="4">
        <v>71.290000000000006</v>
      </c>
      <c r="F2466" s="3">
        <v>2</v>
      </c>
      <c r="G2466" s="6" t="s">
        <v>10</v>
      </c>
    </row>
    <row r="2467" spans="1:7" x14ac:dyDescent="0.3">
      <c r="A2467" s="2" t="s">
        <v>3104</v>
      </c>
      <c r="B2467" s="2" t="s">
        <v>3098</v>
      </c>
      <c r="C2467" s="6" t="s">
        <v>3099</v>
      </c>
      <c r="D2467" s="1">
        <v>45639</v>
      </c>
      <c r="E2467" s="4">
        <v>120.37</v>
      </c>
      <c r="F2467" s="3">
        <v>4</v>
      </c>
      <c r="G2467" s="6" t="s">
        <v>38</v>
      </c>
    </row>
    <row r="2468" spans="1:7" x14ac:dyDescent="0.3">
      <c r="A2468" s="2" t="s">
        <v>3105</v>
      </c>
      <c r="B2468" s="2" t="s">
        <v>3098</v>
      </c>
      <c r="C2468" s="6" t="s">
        <v>3099</v>
      </c>
      <c r="D2468" s="1">
        <v>45196</v>
      </c>
      <c r="E2468" s="4">
        <v>170.2</v>
      </c>
      <c r="F2468" s="3">
        <v>1</v>
      </c>
      <c r="G2468" s="6" t="s">
        <v>26</v>
      </c>
    </row>
    <row r="2469" spans="1:7" x14ac:dyDescent="0.3">
      <c r="A2469" s="2" t="s">
        <v>3106</v>
      </c>
      <c r="B2469" s="2" t="s">
        <v>3107</v>
      </c>
      <c r="C2469" s="6" t="s">
        <v>3108</v>
      </c>
      <c r="D2469" s="1">
        <v>45447</v>
      </c>
      <c r="E2469" s="4">
        <v>119.94</v>
      </c>
      <c r="F2469" s="3">
        <v>3</v>
      </c>
      <c r="G2469" s="6" t="s">
        <v>10</v>
      </c>
    </row>
    <row r="2470" spans="1:7" x14ac:dyDescent="0.3">
      <c r="A2470" s="2" t="s">
        <v>3109</v>
      </c>
      <c r="B2470" s="2" t="s">
        <v>3110</v>
      </c>
      <c r="C2470" s="6" t="s">
        <v>3111</v>
      </c>
      <c r="D2470" s="1">
        <v>45462</v>
      </c>
      <c r="E2470" s="4">
        <v>308.64</v>
      </c>
      <c r="F2470" s="3">
        <v>3</v>
      </c>
      <c r="G2470" s="6" t="s">
        <v>18</v>
      </c>
    </row>
    <row r="2471" spans="1:7" x14ac:dyDescent="0.3">
      <c r="A2471" s="2" t="s">
        <v>3112</v>
      </c>
      <c r="B2471" s="2" t="s">
        <v>3110</v>
      </c>
      <c r="C2471" s="6" t="s">
        <v>3111</v>
      </c>
      <c r="D2471" s="1">
        <v>45286</v>
      </c>
      <c r="E2471" s="4">
        <v>127.21</v>
      </c>
      <c r="F2471" s="3">
        <v>1</v>
      </c>
      <c r="G2471" s="6" t="s">
        <v>26</v>
      </c>
    </row>
    <row r="2472" spans="1:7" x14ac:dyDescent="0.3">
      <c r="A2472" s="2" t="s">
        <v>3113</v>
      </c>
      <c r="B2472" s="2" t="s">
        <v>3110</v>
      </c>
      <c r="C2472" s="6" t="s">
        <v>3111</v>
      </c>
      <c r="D2472" s="1">
        <v>45375</v>
      </c>
      <c r="E2472" s="4">
        <v>169.06</v>
      </c>
      <c r="F2472" s="3">
        <v>1</v>
      </c>
      <c r="G2472" s="6" t="s">
        <v>26</v>
      </c>
    </row>
    <row r="2473" spans="1:7" x14ac:dyDescent="0.3">
      <c r="A2473" s="2" t="s">
        <v>3114</v>
      </c>
      <c r="B2473" s="2" t="s">
        <v>3110</v>
      </c>
      <c r="C2473" s="6" t="s">
        <v>3111</v>
      </c>
      <c r="D2473" s="1">
        <v>45350</v>
      </c>
      <c r="E2473" s="4">
        <v>284.57</v>
      </c>
      <c r="F2473" s="3">
        <v>2</v>
      </c>
      <c r="G2473" s="6" t="s">
        <v>26</v>
      </c>
    </row>
    <row r="2474" spans="1:7" x14ac:dyDescent="0.3">
      <c r="A2474" s="2" t="s">
        <v>3115</v>
      </c>
      <c r="B2474" s="2" t="s">
        <v>3110</v>
      </c>
      <c r="C2474" s="6" t="s">
        <v>3111</v>
      </c>
      <c r="D2474" s="1">
        <v>45625</v>
      </c>
      <c r="E2474" s="4">
        <v>310.22000000000003</v>
      </c>
      <c r="F2474" s="3">
        <v>2</v>
      </c>
      <c r="G2474" s="6" t="s">
        <v>38</v>
      </c>
    </row>
    <row r="2475" spans="1:7" x14ac:dyDescent="0.3">
      <c r="A2475" s="2" t="s">
        <v>3116</v>
      </c>
      <c r="B2475" s="2" t="s">
        <v>3110</v>
      </c>
      <c r="C2475" s="6" t="s">
        <v>3111</v>
      </c>
      <c r="D2475" s="1">
        <v>45652</v>
      </c>
      <c r="E2475" s="4">
        <v>424.52</v>
      </c>
      <c r="F2475" s="3">
        <v>3</v>
      </c>
      <c r="G2475" s="6" t="s">
        <v>26</v>
      </c>
    </row>
    <row r="2476" spans="1:7" x14ac:dyDescent="0.3">
      <c r="A2476" s="2" t="s">
        <v>3117</v>
      </c>
      <c r="B2476" s="2" t="s">
        <v>3110</v>
      </c>
      <c r="C2476" s="6" t="s">
        <v>3111</v>
      </c>
      <c r="D2476" s="1">
        <v>45356</v>
      </c>
      <c r="E2476" s="4">
        <v>51.48</v>
      </c>
      <c r="F2476" s="3">
        <v>1</v>
      </c>
      <c r="G2476" s="6" t="s">
        <v>12</v>
      </c>
    </row>
    <row r="2477" spans="1:7" x14ac:dyDescent="0.3">
      <c r="A2477" s="2" t="s">
        <v>3118</v>
      </c>
      <c r="B2477" s="2" t="s">
        <v>3110</v>
      </c>
      <c r="C2477" s="6" t="s">
        <v>3111</v>
      </c>
      <c r="D2477" s="1">
        <v>45547</v>
      </c>
      <c r="E2477" s="4">
        <v>82.83</v>
      </c>
      <c r="F2477" s="3">
        <v>4</v>
      </c>
      <c r="G2477" s="6" t="s">
        <v>38</v>
      </c>
    </row>
    <row r="2478" spans="1:7" x14ac:dyDescent="0.3">
      <c r="A2478" s="2" t="s">
        <v>3119</v>
      </c>
      <c r="B2478" s="2" t="s">
        <v>3120</v>
      </c>
      <c r="C2478" s="6" t="s">
        <v>3121</v>
      </c>
      <c r="D2478" s="1">
        <v>45588</v>
      </c>
      <c r="E2478" s="4">
        <v>181.98</v>
      </c>
      <c r="F2478" s="3">
        <v>1</v>
      </c>
      <c r="G2478" s="6" t="s">
        <v>26</v>
      </c>
    </row>
    <row r="2479" spans="1:7" x14ac:dyDescent="0.3">
      <c r="A2479" s="2" t="s">
        <v>3122</v>
      </c>
      <c r="B2479" s="2" t="s">
        <v>3120</v>
      </c>
      <c r="C2479" s="6" t="s">
        <v>3121</v>
      </c>
      <c r="D2479" s="1">
        <v>45469</v>
      </c>
      <c r="E2479" s="4">
        <v>153.28</v>
      </c>
      <c r="F2479" s="3">
        <v>2</v>
      </c>
      <c r="G2479" s="6" t="s">
        <v>38</v>
      </c>
    </row>
    <row r="2480" spans="1:7" x14ac:dyDescent="0.3">
      <c r="A2480" s="2" t="s">
        <v>3123</v>
      </c>
      <c r="B2480" s="2" t="s">
        <v>3120</v>
      </c>
      <c r="C2480" s="6" t="s">
        <v>3121</v>
      </c>
      <c r="D2480" s="1">
        <v>45479</v>
      </c>
      <c r="E2480" s="4">
        <v>299.55</v>
      </c>
      <c r="F2480" s="3">
        <v>1</v>
      </c>
      <c r="G2480" s="6" t="s">
        <v>26</v>
      </c>
    </row>
    <row r="2481" spans="1:7" x14ac:dyDescent="0.3">
      <c r="A2481" s="2" t="s">
        <v>3124</v>
      </c>
      <c r="B2481" s="2" t="s">
        <v>3120</v>
      </c>
      <c r="C2481" s="6" t="s">
        <v>3121</v>
      </c>
      <c r="D2481" s="1">
        <v>45530</v>
      </c>
      <c r="E2481" s="4">
        <v>234.9</v>
      </c>
      <c r="F2481" s="3">
        <v>2</v>
      </c>
      <c r="G2481" s="6" t="s">
        <v>38</v>
      </c>
    </row>
    <row r="2482" spans="1:7" x14ac:dyDescent="0.3">
      <c r="A2482" s="2" t="s">
        <v>3125</v>
      </c>
      <c r="B2482" s="2" t="s">
        <v>3120</v>
      </c>
      <c r="C2482" s="6" t="s">
        <v>3121</v>
      </c>
      <c r="D2482" s="1">
        <v>45656</v>
      </c>
      <c r="E2482" s="4">
        <v>416.53</v>
      </c>
      <c r="F2482" s="3">
        <v>3</v>
      </c>
      <c r="G2482" s="6" t="s">
        <v>12</v>
      </c>
    </row>
    <row r="2483" spans="1:7" x14ac:dyDescent="0.3">
      <c r="A2483" s="2" t="s">
        <v>3126</v>
      </c>
      <c r="B2483" s="2" t="s">
        <v>3127</v>
      </c>
      <c r="C2483" s="6" t="s">
        <v>3128</v>
      </c>
      <c r="D2483" s="1">
        <v>45481</v>
      </c>
      <c r="E2483" s="4">
        <v>270.04000000000002</v>
      </c>
      <c r="F2483" s="3">
        <v>1</v>
      </c>
      <c r="G2483" s="6" t="s">
        <v>10</v>
      </c>
    </row>
    <row r="2484" spans="1:7" x14ac:dyDescent="0.3">
      <c r="A2484" s="2" t="s">
        <v>3129</v>
      </c>
      <c r="B2484" s="2" t="s">
        <v>3127</v>
      </c>
      <c r="C2484" s="6" t="s">
        <v>3128</v>
      </c>
      <c r="D2484" s="1">
        <v>45594</v>
      </c>
      <c r="E2484" s="4">
        <v>102.43</v>
      </c>
      <c r="F2484" s="3">
        <v>4</v>
      </c>
      <c r="G2484" s="6" t="s">
        <v>10</v>
      </c>
    </row>
    <row r="2485" spans="1:7" x14ac:dyDescent="0.3">
      <c r="A2485" s="2" t="s">
        <v>3130</v>
      </c>
      <c r="B2485" s="2" t="s">
        <v>3127</v>
      </c>
      <c r="C2485" s="6" t="s">
        <v>3128</v>
      </c>
      <c r="D2485" s="1">
        <v>45559</v>
      </c>
      <c r="E2485" s="4">
        <v>291.08</v>
      </c>
      <c r="F2485" s="3">
        <v>3</v>
      </c>
      <c r="G2485" s="6" t="s">
        <v>18</v>
      </c>
    </row>
    <row r="2486" spans="1:7" x14ac:dyDescent="0.3">
      <c r="A2486" s="2" t="s">
        <v>3131</v>
      </c>
      <c r="B2486" s="2" t="s">
        <v>3132</v>
      </c>
      <c r="C2486" s="6" t="s">
        <v>3133</v>
      </c>
      <c r="D2486" s="1">
        <v>45075</v>
      </c>
      <c r="E2486" s="4">
        <v>255.15</v>
      </c>
      <c r="F2486" s="3">
        <v>3</v>
      </c>
      <c r="G2486" s="6" t="s">
        <v>15</v>
      </c>
    </row>
    <row r="2487" spans="1:7" x14ac:dyDescent="0.3">
      <c r="A2487" s="2" t="s">
        <v>3134</v>
      </c>
      <c r="B2487" s="2" t="s">
        <v>3132</v>
      </c>
      <c r="C2487" s="6" t="s">
        <v>3133</v>
      </c>
      <c r="D2487" s="1">
        <v>45388</v>
      </c>
      <c r="E2487" s="4">
        <v>417.8</v>
      </c>
      <c r="F2487" s="3">
        <v>2</v>
      </c>
      <c r="G2487" s="6" t="s">
        <v>38</v>
      </c>
    </row>
    <row r="2488" spans="1:7" x14ac:dyDescent="0.3">
      <c r="A2488" s="2" t="s">
        <v>3135</v>
      </c>
      <c r="B2488" s="2" t="s">
        <v>3132</v>
      </c>
      <c r="C2488" s="6" t="s">
        <v>3133</v>
      </c>
      <c r="D2488" s="1">
        <v>45386</v>
      </c>
      <c r="E2488" s="4">
        <v>56.09</v>
      </c>
      <c r="F2488" s="3">
        <v>4</v>
      </c>
      <c r="G2488" s="6" t="s">
        <v>15</v>
      </c>
    </row>
    <row r="2489" spans="1:7" x14ac:dyDescent="0.3">
      <c r="A2489" s="2" t="s">
        <v>3136</v>
      </c>
      <c r="B2489" s="2" t="s">
        <v>3132</v>
      </c>
      <c r="C2489" s="6" t="s">
        <v>3133</v>
      </c>
      <c r="D2489" s="1">
        <v>45228</v>
      </c>
      <c r="E2489" s="4">
        <v>82.57</v>
      </c>
      <c r="F2489" s="3">
        <v>4</v>
      </c>
      <c r="G2489" s="6" t="s">
        <v>26</v>
      </c>
    </row>
    <row r="2490" spans="1:7" x14ac:dyDescent="0.3">
      <c r="A2490" s="2" t="s">
        <v>3137</v>
      </c>
      <c r="B2490" s="2" t="s">
        <v>3132</v>
      </c>
      <c r="C2490" s="6" t="s">
        <v>3133</v>
      </c>
      <c r="D2490" s="1">
        <v>45236</v>
      </c>
      <c r="E2490" s="4">
        <v>211.93</v>
      </c>
      <c r="F2490" s="3">
        <v>3</v>
      </c>
      <c r="G2490" s="6" t="s">
        <v>15</v>
      </c>
    </row>
    <row r="2491" spans="1:7" x14ac:dyDescent="0.3">
      <c r="A2491" s="2" t="s">
        <v>3138</v>
      </c>
      <c r="B2491" s="2" t="s">
        <v>3139</v>
      </c>
      <c r="C2491" s="6" t="s">
        <v>3140</v>
      </c>
      <c r="D2491" s="1">
        <v>45417</v>
      </c>
      <c r="E2491" s="4">
        <v>459.16</v>
      </c>
      <c r="F2491" s="3">
        <v>1</v>
      </c>
      <c r="G2491" s="6" t="s">
        <v>15</v>
      </c>
    </row>
    <row r="2492" spans="1:7" x14ac:dyDescent="0.3">
      <c r="A2492" s="2" t="s">
        <v>3141</v>
      </c>
      <c r="B2492" s="2" t="s">
        <v>3139</v>
      </c>
      <c r="C2492" s="6" t="s">
        <v>3140</v>
      </c>
      <c r="D2492" s="1">
        <v>45486</v>
      </c>
      <c r="E2492" s="4">
        <v>191.84</v>
      </c>
      <c r="F2492" s="3">
        <v>1</v>
      </c>
      <c r="G2492" s="6" t="s">
        <v>18</v>
      </c>
    </row>
    <row r="2493" spans="1:7" x14ac:dyDescent="0.3">
      <c r="A2493" s="2" t="s">
        <v>3142</v>
      </c>
      <c r="B2493" s="2" t="s">
        <v>3139</v>
      </c>
      <c r="C2493" s="6" t="s">
        <v>3140</v>
      </c>
      <c r="D2493" s="1">
        <v>44999</v>
      </c>
      <c r="E2493" s="4">
        <v>68.88</v>
      </c>
      <c r="F2493" s="3">
        <v>4</v>
      </c>
      <c r="G2493" s="6" t="s">
        <v>38</v>
      </c>
    </row>
    <row r="2494" spans="1:7" x14ac:dyDescent="0.3">
      <c r="A2494" s="2" t="s">
        <v>3143</v>
      </c>
      <c r="B2494" s="2" t="s">
        <v>3139</v>
      </c>
      <c r="C2494" s="6" t="s">
        <v>3140</v>
      </c>
      <c r="D2494" s="1">
        <v>44998</v>
      </c>
      <c r="E2494" s="4">
        <v>118.82</v>
      </c>
      <c r="F2494" s="3">
        <v>3</v>
      </c>
      <c r="G2494" s="6" t="s">
        <v>10</v>
      </c>
    </row>
    <row r="2495" spans="1:7" x14ac:dyDescent="0.3">
      <c r="A2495" s="2" t="s">
        <v>3144</v>
      </c>
      <c r="B2495" s="2" t="s">
        <v>3139</v>
      </c>
      <c r="C2495" s="6" t="s">
        <v>3140</v>
      </c>
      <c r="D2495" s="1">
        <v>45023</v>
      </c>
      <c r="E2495" s="4">
        <v>46.35</v>
      </c>
      <c r="F2495" s="3">
        <v>1</v>
      </c>
      <c r="G2495" s="6" t="s">
        <v>18</v>
      </c>
    </row>
    <row r="2496" spans="1:7" x14ac:dyDescent="0.3">
      <c r="A2496" s="2" t="s">
        <v>3145</v>
      </c>
      <c r="B2496" s="2" t="s">
        <v>3139</v>
      </c>
      <c r="C2496" s="6" t="s">
        <v>3140</v>
      </c>
      <c r="D2496" s="1">
        <v>45507</v>
      </c>
      <c r="E2496" s="4">
        <v>365.21</v>
      </c>
      <c r="F2496" s="3">
        <v>1</v>
      </c>
      <c r="G2496" s="6" t="s">
        <v>26</v>
      </c>
    </row>
    <row r="2497" spans="1:7" x14ac:dyDescent="0.3">
      <c r="A2497" s="2" t="s">
        <v>3146</v>
      </c>
      <c r="B2497" s="2" t="s">
        <v>3139</v>
      </c>
      <c r="C2497" s="6" t="s">
        <v>3140</v>
      </c>
      <c r="D2497" s="1">
        <v>45329</v>
      </c>
      <c r="E2497" s="4">
        <v>407.11</v>
      </c>
      <c r="F2497" s="3">
        <v>2</v>
      </c>
      <c r="G2497" s="6" t="s">
        <v>12</v>
      </c>
    </row>
    <row r="2498" spans="1:7" x14ac:dyDescent="0.3">
      <c r="A2498" s="2" t="s">
        <v>3147</v>
      </c>
      <c r="B2498" s="2" t="s">
        <v>3139</v>
      </c>
      <c r="C2498" s="6" t="s">
        <v>3140</v>
      </c>
      <c r="D2498" s="1">
        <v>45015</v>
      </c>
      <c r="E2498" s="4">
        <v>370.08</v>
      </c>
      <c r="F2498" s="3">
        <v>2</v>
      </c>
      <c r="G2498" s="6" t="s">
        <v>12</v>
      </c>
    </row>
    <row r="2499" spans="1:7" x14ac:dyDescent="0.3">
      <c r="A2499" s="2" t="s">
        <v>3148</v>
      </c>
      <c r="B2499" s="2" t="s">
        <v>3139</v>
      </c>
      <c r="C2499" s="6" t="s">
        <v>3140</v>
      </c>
      <c r="D2499" s="1">
        <v>45085</v>
      </c>
      <c r="E2499" s="4">
        <v>452.98</v>
      </c>
      <c r="F2499" s="3">
        <v>1</v>
      </c>
      <c r="G2499" s="6" t="s">
        <v>26</v>
      </c>
    </row>
    <row r="2500" spans="1:7" x14ac:dyDescent="0.3">
      <c r="A2500" s="2" t="s">
        <v>3149</v>
      </c>
      <c r="B2500" s="2" t="s">
        <v>3139</v>
      </c>
      <c r="C2500" s="6" t="s">
        <v>3140</v>
      </c>
      <c r="D2500" s="1">
        <v>45221</v>
      </c>
      <c r="E2500" s="4">
        <v>102.07</v>
      </c>
      <c r="F2500" s="3">
        <v>1</v>
      </c>
      <c r="G2500" s="6" t="s">
        <v>18</v>
      </c>
    </row>
    <row r="2501" spans="1:7" x14ac:dyDescent="0.3">
      <c r="A2501" s="2" t="s">
        <v>3150</v>
      </c>
      <c r="B2501" s="2" t="s">
        <v>3139</v>
      </c>
      <c r="C2501" s="6" t="s">
        <v>3140</v>
      </c>
      <c r="D2501" s="1">
        <v>45637</v>
      </c>
      <c r="E2501" s="4">
        <v>305.23</v>
      </c>
      <c r="F2501" s="3">
        <v>3</v>
      </c>
      <c r="G2501" s="6" t="s">
        <v>10</v>
      </c>
    </row>
    <row r="2502" spans="1:7" x14ac:dyDescent="0.3">
      <c r="A2502" s="2" t="s">
        <v>3151</v>
      </c>
      <c r="B2502" s="2" t="s">
        <v>3139</v>
      </c>
      <c r="C2502" s="6" t="s">
        <v>3140</v>
      </c>
      <c r="D2502" s="1">
        <v>45358</v>
      </c>
      <c r="E2502" s="4">
        <v>451.94</v>
      </c>
      <c r="F2502" s="3">
        <v>2</v>
      </c>
      <c r="G2502" s="6" t="s">
        <v>18</v>
      </c>
    </row>
    <row r="2503" spans="1:7" x14ac:dyDescent="0.3">
      <c r="A2503" s="2" t="s">
        <v>3152</v>
      </c>
      <c r="B2503" s="2" t="s">
        <v>3153</v>
      </c>
      <c r="C2503" s="6" t="s">
        <v>3154</v>
      </c>
      <c r="D2503" s="1">
        <v>45230</v>
      </c>
      <c r="E2503" s="4">
        <v>34.79</v>
      </c>
      <c r="F2503" s="3">
        <v>4</v>
      </c>
      <c r="G2503" s="6" t="s">
        <v>10</v>
      </c>
    </row>
    <row r="2504" spans="1:7" x14ac:dyDescent="0.3">
      <c r="A2504" s="2" t="s">
        <v>3155</v>
      </c>
      <c r="B2504" s="2" t="s">
        <v>3153</v>
      </c>
      <c r="C2504" s="6" t="s">
        <v>3154</v>
      </c>
      <c r="D2504" s="1">
        <v>45431</v>
      </c>
      <c r="E2504" s="4">
        <v>102.85</v>
      </c>
      <c r="F2504" s="3">
        <v>4</v>
      </c>
      <c r="G2504" s="6" t="s">
        <v>10</v>
      </c>
    </row>
    <row r="2505" spans="1:7" x14ac:dyDescent="0.3">
      <c r="A2505" s="2" t="s">
        <v>3156</v>
      </c>
      <c r="B2505" s="2" t="s">
        <v>3153</v>
      </c>
      <c r="C2505" s="6" t="s">
        <v>3154</v>
      </c>
      <c r="D2505" s="1">
        <v>45255</v>
      </c>
      <c r="E2505" s="4">
        <v>367.46</v>
      </c>
      <c r="F2505" s="3">
        <v>1</v>
      </c>
      <c r="G2505" s="6" t="s">
        <v>38</v>
      </c>
    </row>
    <row r="2506" spans="1:7" x14ac:dyDescent="0.3">
      <c r="A2506" s="2" t="s">
        <v>3157</v>
      </c>
      <c r="B2506" s="2" t="s">
        <v>3153</v>
      </c>
      <c r="C2506" s="6" t="s">
        <v>3154</v>
      </c>
      <c r="D2506" s="1">
        <v>45300</v>
      </c>
      <c r="E2506" s="4">
        <v>328.8</v>
      </c>
      <c r="F2506" s="3">
        <v>1</v>
      </c>
      <c r="G2506" s="6" t="s">
        <v>15</v>
      </c>
    </row>
    <row r="2507" spans="1:7" x14ac:dyDescent="0.3">
      <c r="A2507" s="2" t="s">
        <v>3158</v>
      </c>
      <c r="B2507" s="2" t="s">
        <v>3153</v>
      </c>
      <c r="C2507" s="6" t="s">
        <v>3154</v>
      </c>
      <c r="D2507" s="1">
        <v>45575</v>
      </c>
      <c r="E2507" s="4">
        <v>208.99</v>
      </c>
      <c r="F2507" s="3">
        <v>3</v>
      </c>
      <c r="G2507" s="6" t="s">
        <v>10</v>
      </c>
    </row>
    <row r="2508" spans="1:7" x14ac:dyDescent="0.3">
      <c r="A2508" s="2" t="s">
        <v>3159</v>
      </c>
      <c r="B2508" s="2" t="s">
        <v>3153</v>
      </c>
      <c r="C2508" s="6" t="s">
        <v>3154</v>
      </c>
      <c r="D2508" s="1">
        <v>45259</v>
      </c>
      <c r="E2508" s="4">
        <v>305.58</v>
      </c>
      <c r="F2508" s="3">
        <v>2</v>
      </c>
      <c r="G2508" s="6" t="s">
        <v>26</v>
      </c>
    </row>
    <row r="2509" spans="1:7" x14ac:dyDescent="0.3">
      <c r="A2509" s="2" t="s">
        <v>3160</v>
      </c>
      <c r="B2509" s="2" t="s">
        <v>3153</v>
      </c>
      <c r="C2509" s="6" t="s">
        <v>3154</v>
      </c>
      <c r="D2509" s="1">
        <v>45153</v>
      </c>
      <c r="E2509" s="4">
        <v>420.56</v>
      </c>
      <c r="F2509" s="3">
        <v>3</v>
      </c>
      <c r="G2509" s="6" t="s">
        <v>12</v>
      </c>
    </row>
    <row r="2510" spans="1:7" x14ac:dyDescent="0.3">
      <c r="A2510" s="2" t="s">
        <v>3161</v>
      </c>
      <c r="B2510" s="2" t="s">
        <v>3153</v>
      </c>
      <c r="C2510" s="6" t="s">
        <v>3154</v>
      </c>
      <c r="D2510" s="1">
        <v>45323</v>
      </c>
      <c r="E2510" s="4">
        <v>73.09</v>
      </c>
      <c r="F2510" s="3">
        <v>2</v>
      </c>
      <c r="G2510" s="6" t="s">
        <v>12</v>
      </c>
    </row>
    <row r="2511" spans="1:7" x14ac:dyDescent="0.3">
      <c r="A2511" s="2" t="s">
        <v>3162</v>
      </c>
      <c r="B2511" s="2" t="s">
        <v>3153</v>
      </c>
      <c r="C2511" s="6" t="s">
        <v>3154</v>
      </c>
      <c r="D2511" s="1">
        <v>45224</v>
      </c>
      <c r="E2511" s="4">
        <v>230.51</v>
      </c>
      <c r="F2511" s="3">
        <v>2</v>
      </c>
      <c r="G2511" s="6" t="s">
        <v>38</v>
      </c>
    </row>
    <row r="2512" spans="1:7" x14ac:dyDescent="0.3">
      <c r="A2512" s="2" t="s">
        <v>3163</v>
      </c>
      <c r="B2512" s="2" t="s">
        <v>3153</v>
      </c>
      <c r="C2512" s="6" t="s">
        <v>3154</v>
      </c>
      <c r="D2512" s="1">
        <v>45315</v>
      </c>
      <c r="E2512" s="4">
        <v>90.71</v>
      </c>
      <c r="F2512" s="3">
        <v>3</v>
      </c>
      <c r="G2512" s="6" t="s">
        <v>38</v>
      </c>
    </row>
    <row r="2513" spans="1:7" x14ac:dyDescent="0.3">
      <c r="A2513" s="2" t="s">
        <v>3164</v>
      </c>
      <c r="B2513" s="2" t="s">
        <v>3153</v>
      </c>
      <c r="C2513" s="6" t="s">
        <v>3154</v>
      </c>
      <c r="D2513" s="1">
        <v>45647</v>
      </c>
      <c r="E2513" s="4">
        <v>166.6</v>
      </c>
      <c r="F2513" s="3">
        <v>4</v>
      </c>
      <c r="G2513" s="6" t="s">
        <v>26</v>
      </c>
    </row>
    <row r="2514" spans="1:7" x14ac:dyDescent="0.3">
      <c r="A2514" s="2" t="s">
        <v>3165</v>
      </c>
      <c r="B2514" s="2" t="s">
        <v>3166</v>
      </c>
      <c r="C2514" s="6" t="s">
        <v>3167</v>
      </c>
      <c r="D2514" s="1">
        <v>45572</v>
      </c>
      <c r="E2514" s="4">
        <v>45.89</v>
      </c>
      <c r="F2514" s="3">
        <v>4</v>
      </c>
      <c r="G2514" s="6" t="s">
        <v>10</v>
      </c>
    </row>
    <row r="2515" spans="1:7" x14ac:dyDescent="0.3">
      <c r="A2515" s="2" t="s">
        <v>3168</v>
      </c>
      <c r="B2515" s="2" t="s">
        <v>3166</v>
      </c>
      <c r="C2515" s="6" t="s">
        <v>3167</v>
      </c>
      <c r="D2515" s="1">
        <v>45508</v>
      </c>
      <c r="E2515" s="4">
        <v>405.89</v>
      </c>
      <c r="F2515" s="3">
        <v>4</v>
      </c>
      <c r="G2515" s="6" t="s">
        <v>15</v>
      </c>
    </row>
    <row r="2516" spans="1:7" x14ac:dyDescent="0.3">
      <c r="A2516" s="2" t="s">
        <v>3169</v>
      </c>
      <c r="B2516" s="2" t="s">
        <v>3166</v>
      </c>
      <c r="C2516" s="6" t="s">
        <v>3167</v>
      </c>
      <c r="D2516" s="1">
        <v>45566</v>
      </c>
      <c r="E2516" s="4">
        <v>338</v>
      </c>
      <c r="F2516" s="3">
        <v>1</v>
      </c>
      <c r="G2516" s="6" t="s">
        <v>10</v>
      </c>
    </row>
    <row r="2517" spans="1:7" x14ac:dyDescent="0.3">
      <c r="A2517" s="2" t="s">
        <v>3170</v>
      </c>
      <c r="B2517" s="2" t="s">
        <v>3166</v>
      </c>
      <c r="C2517" s="6" t="s">
        <v>3167</v>
      </c>
      <c r="D2517" s="1">
        <v>45572</v>
      </c>
      <c r="E2517" s="4">
        <v>426.47</v>
      </c>
      <c r="F2517" s="3">
        <v>1</v>
      </c>
      <c r="G2517" s="6" t="s">
        <v>10</v>
      </c>
    </row>
    <row r="2518" spans="1:7" x14ac:dyDescent="0.3">
      <c r="A2518" s="2" t="s">
        <v>3171</v>
      </c>
      <c r="B2518" s="2" t="s">
        <v>3166</v>
      </c>
      <c r="C2518" s="6" t="s">
        <v>3167</v>
      </c>
      <c r="D2518" s="1">
        <v>45530</v>
      </c>
      <c r="E2518" s="4">
        <v>165.13</v>
      </c>
      <c r="F2518" s="3">
        <v>1</v>
      </c>
      <c r="G2518" s="6" t="s">
        <v>18</v>
      </c>
    </row>
    <row r="2519" spans="1:7" x14ac:dyDescent="0.3">
      <c r="A2519" s="2" t="s">
        <v>3172</v>
      </c>
      <c r="B2519" s="2" t="s">
        <v>3166</v>
      </c>
      <c r="C2519" s="6" t="s">
        <v>3167</v>
      </c>
      <c r="D2519" s="1">
        <v>45596</v>
      </c>
      <c r="E2519" s="4">
        <v>324.97000000000003</v>
      </c>
      <c r="F2519" s="3">
        <v>2</v>
      </c>
      <c r="G2519" s="6" t="s">
        <v>26</v>
      </c>
    </row>
    <row r="2520" spans="1:7" x14ac:dyDescent="0.3">
      <c r="A2520" s="2" t="s">
        <v>3173</v>
      </c>
      <c r="B2520" s="2" t="s">
        <v>3166</v>
      </c>
      <c r="C2520" s="6" t="s">
        <v>3167</v>
      </c>
      <c r="D2520" s="1">
        <v>45593</v>
      </c>
      <c r="E2520" s="4">
        <v>213.43</v>
      </c>
      <c r="F2520" s="3">
        <v>1</v>
      </c>
      <c r="G2520" s="6" t="s">
        <v>10</v>
      </c>
    </row>
    <row r="2521" spans="1:7" x14ac:dyDescent="0.3">
      <c r="A2521" s="2" t="s">
        <v>3174</v>
      </c>
      <c r="B2521" s="2" t="s">
        <v>3166</v>
      </c>
      <c r="C2521" s="6" t="s">
        <v>3167</v>
      </c>
      <c r="D2521" s="1">
        <v>45481</v>
      </c>
      <c r="E2521" s="4">
        <v>285.06</v>
      </c>
      <c r="F2521" s="3">
        <v>4</v>
      </c>
      <c r="G2521" s="6" t="s">
        <v>18</v>
      </c>
    </row>
    <row r="2522" spans="1:7" x14ac:dyDescent="0.3">
      <c r="A2522" s="2" t="s">
        <v>3175</v>
      </c>
      <c r="B2522" s="2" t="s">
        <v>3176</v>
      </c>
      <c r="C2522" s="6" t="s">
        <v>3177</v>
      </c>
      <c r="D2522" s="1">
        <v>45537</v>
      </c>
      <c r="E2522" s="4">
        <v>261.18</v>
      </c>
      <c r="F2522" s="3">
        <v>3</v>
      </c>
      <c r="G2522" s="6" t="s">
        <v>26</v>
      </c>
    </row>
    <row r="2523" spans="1:7" x14ac:dyDescent="0.3">
      <c r="A2523" s="2" t="s">
        <v>3178</v>
      </c>
      <c r="B2523" s="2" t="s">
        <v>3176</v>
      </c>
      <c r="C2523" s="6" t="s">
        <v>3177</v>
      </c>
      <c r="D2523" s="1">
        <v>45514</v>
      </c>
      <c r="E2523" s="4">
        <v>482.7</v>
      </c>
      <c r="F2523" s="3">
        <v>1</v>
      </c>
      <c r="G2523" s="6" t="s">
        <v>10</v>
      </c>
    </row>
    <row r="2524" spans="1:7" x14ac:dyDescent="0.3">
      <c r="A2524" s="2" t="s">
        <v>3179</v>
      </c>
      <c r="B2524" s="2" t="s">
        <v>3176</v>
      </c>
      <c r="C2524" s="6" t="s">
        <v>3177</v>
      </c>
      <c r="D2524" s="1">
        <v>45632</v>
      </c>
      <c r="E2524" s="4">
        <v>465.46</v>
      </c>
      <c r="F2524" s="3">
        <v>3</v>
      </c>
      <c r="G2524" s="6" t="s">
        <v>12</v>
      </c>
    </row>
    <row r="2525" spans="1:7" x14ac:dyDescent="0.3">
      <c r="A2525" s="2" t="s">
        <v>3180</v>
      </c>
      <c r="B2525" s="2" t="s">
        <v>3176</v>
      </c>
      <c r="C2525" s="6" t="s">
        <v>3177</v>
      </c>
      <c r="D2525" s="1">
        <v>45645</v>
      </c>
      <c r="E2525" s="4">
        <v>311.3</v>
      </c>
      <c r="F2525" s="3">
        <v>1</v>
      </c>
      <c r="G2525" s="6" t="s">
        <v>12</v>
      </c>
    </row>
    <row r="2526" spans="1:7" x14ac:dyDescent="0.3">
      <c r="A2526" s="2" t="s">
        <v>3181</v>
      </c>
      <c r="B2526" s="2" t="s">
        <v>3176</v>
      </c>
      <c r="C2526" s="6" t="s">
        <v>3177</v>
      </c>
      <c r="D2526" s="1">
        <v>45447</v>
      </c>
      <c r="E2526" s="4">
        <v>386.36</v>
      </c>
      <c r="F2526" s="3">
        <v>3</v>
      </c>
      <c r="G2526" s="6" t="s">
        <v>12</v>
      </c>
    </row>
    <row r="2527" spans="1:7" x14ac:dyDescent="0.3">
      <c r="A2527" s="2" t="s">
        <v>3182</v>
      </c>
      <c r="B2527" s="2" t="s">
        <v>3176</v>
      </c>
      <c r="C2527" s="6" t="s">
        <v>3177</v>
      </c>
      <c r="D2527" s="1">
        <v>45477</v>
      </c>
      <c r="E2527" s="4">
        <v>160.06</v>
      </c>
      <c r="F2527" s="3">
        <v>1</v>
      </c>
      <c r="G2527" s="6" t="s">
        <v>38</v>
      </c>
    </row>
    <row r="2528" spans="1:7" x14ac:dyDescent="0.3">
      <c r="A2528" s="2" t="s">
        <v>3183</v>
      </c>
      <c r="B2528" s="2" t="s">
        <v>3176</v>
      </c>
      <c r="C2528" s="6" t="s">
        <v>3177</v>
      </c>
      <c r="D2528" s="1">
        <v>45491</v>
      </c>
      <c r="E2528" s="4">
        <v>371.79</v>
      </c>
      <c r="F2528" s="3">
        <v>3</v>
      </c>
      <c r="G2528" s="6" t="s">
        <v>12</v>
      </c>
    </row>
    <row r="2529" spans="1:7" x14ac:dyDescent="0.3">
      <c r="A2529" s="2" t="s">
        <v>3184</v>
      </c>
      <c r="B2529" s="2" t="s">
        <v>3176</v>
      </c>
      <c r="C2529" s="6" t="s">
        <v>3177</v>
      </c>
      <c r="D2529" s="1">
        <v>45453</v>
      </c>
      <c r="E2529" s="4">
        <v>295.37</v>
      </c>
      <c r="F2529" s="3">
        <v>1</v>
      </c>
      <c r="G2529" s="6" t="s">
        <v>38</v>
      </c>
    </row>
    <row r="2530" spans="1:7" x14ac:dyDescent="0.3">
      <c r="A2530" s="2" t="s">
        <v>3185</v>
      </c>
      <c r="B2530" s="2" t="s">
        <v>3176</v>
      </c>
      <c r="C2530" s="6" t="s">
        <v>3177</v>
      </c>
      <c r="D2530" s="1">
        <v>45652</v>
      </c>
      <c r="E2530" s="4">
        <v>213.07</v>
      </c>
      <c r="F2530" s="3">
        <v>4</v>
      </c>
      <c r="G2530" s="6" t="s">
        <v>26</v>
      </c>
    </row>
    <row r="2531" spans="1:7" x14ac:dyDescent="0.3">
      <c r="A2531" s="2" t="s">
        <v>3186</v>
      </c>
      <c r="B2531" s="2" t="s">
        <v>3176</v>
      </c>
      <c r="C2531" s="6" t="s">
        <v>3177</v>
      </c>
      <c r="D2531" s="1">
        <v>45581</v>
      </c>
      <c r="E2531" s="4">
        <v>139.68</v>
      </c>
      <c r="F2531" s="3">
        <v>1</v>
      </c>
      <c r="G2531" s="6" t="s">
        <v>10</v>
      </c>
    </row>
    <row r="2532" spans="1:7" x14ac:dyDescent="0.3">
      <c r="A2532" s="2" t="s">
        <v>3187</v>
      </c>
      <c r="B2532" s="2" t="s">
        <v>3176</v>
      </c>
      <c r="C2532" s="6" t="s">
        <v>3177</v>
      </c>
      <c r="D2532" s="1">
        <v>45422</v>
      </c>
      <c r="E2532" s="4">
        <v>377.89</v>
      </c>
      <c r="F2532" s="3">
        <v>3</v>
      </c>
      <c r="G2532" s="6" t="s">
        <v>12</v>
      </c>
    </row>
    <row r="2533" spans="1:7" x14ac:dyDescent="0.3">
      <c r="A2533" s="2" t="s">
        <v>3188</v>
      </c>
      <c r="B2533" s="2" t="s">
        <v>3189</v>
      </c>
      <c r="C2533" s="6" t="s">
        <v>3190</v>
      </c>
      <c r="D2533" s="1">
        <v>45606</v>
      </c>
      <c r="E2533" s="4">
        <v>281.55</v>
      </c>
      <c r="F2533" s="3">
        <v>2</v>
      </c>
      <c r="G2533" s="6" t="s">
        <v>15</v>
      </c>
    </row>
    <row r="2534" spans="1:7" x14ac:dyDescent="0.3">
      <c r="A2534" s="2" t="s">
        <v>3191</v>
      </c>
      <c r="B2534" s="2" t="s">
        <v>3189</v>
      </c>
      <c r="C2534" s="6" t="s">
        <v>3190</v>
      </c>
      <c r="D2534" s="1">
        <v>45618</v>
      </c>
      <c r="E2534" s="4">
        <v>421.98</v>
      </c>
      <c r="F2534" s="3">
        <v>1</v>
      </c>
      <c r="G2534" s="6" t="s">
        <v>10</v>
      </c>
    </row>
    <row r="2535" spans="1:7" x14ac:dyDescent="0.3">
      <c r="A2535" s="2" t="s">
        <v>3192</v>
      </c>
      <c r="B2535" s="2" t="s">
        <v>3189</v>
      </c>
      <c r="C2535" s="6" t="s">
        <v>3190</v>
      </c>
      <c r="D2535" s="1">
        <v>45583</v>
      </c>
      <c r="E2535" s="4">
        <v>146.94</v>
      </c>
      <c r="F2535" s="3">
        <v>4</v>
      </c>
      <c r="G2535" s="6" t="s">
        <v>26</v>
      </c>
    </row>
    <row r="2536" spans="1:7" x14ac:dyDescent="0.3">
      <c r="A2536" s="2" t="s">
        <v>3193</v>
      </c>
      <c r="B2536" s="2" t="s">
        <v>3189</v>
      </c>
      <c r="C2536" s="6" t="s">
        <v>3190</v>
      </c>
      <c r="D2536" s="1">
        <v>45618</v>
      </c>
      <c r="E2536" s="4">
        <v>477.52</v>
      </c>
      <c r="F2536" s="3">
        <v>2</v>
      </c>
      <c r="G2536" s="6" t="s">
        <v>12</v>
      </c>
    </row>
    <row r="2537" spans="1:7" x14ac:dyDescent="0.3">
      <c r="A2537" s="2" t="s">
        <v>3194</v>
      </c>
      <c r="B2537" s="2" t="s">
        <v>3189</v>
      </c>
      <c r="C2537" s="6" t="s">
        <v>3190</v>
      </c>
      <c r="D2537" s="1">
        <v>45632</v>
      </c>
      <c r="E2537" s="4">
        <v>323.49</v>
      </c>
      <c r="F2537" s="3">
        <v>2</v>
      </c>
      <c r="G2537" s="6" t="s">
        <v>12</v>
      </c>
    </row>
    <row r="2538" spans="1:7" x14ac:dyDescent="0.3">
      <c r="A2538" s="2" t="s">
        <v>3195</v>
      </c>
      <c r="B2538" s="2" t="s">
        <v>3189</v>
      </c>
      <c r="C2538" s="6" t="s">
        <v>3190</v>
      </c>
      <c r="D2538" s="1">
        <v>45647</v>
      </c>
      <c r="E2538" s="4">
        <v>466.11</v>
      </c>
      <c r="F2538" s="3">
        <v>4</v>
      </c>
      <c r="G2538" s="6" t="s">
        <v>18</v>
      </c>
    </row>
    <row r="2539" spans="1:7" x14ac:dyDescent="0.3">
      <c r="A2539" s="2" t="s">
        <v>3196</v>
      </c>
      <c r="B2539" s="2" t="s">
        <v>3189</v>
      </c>
      <c r="C2539" s="6" t="s">
        <v>3190</v>
      </c>
      <c r="D2539" s="1">
        <v>45563</v>
      </c>
      <c r="E2539" s="4">
        <v>36.85</v>
      </c>
      <c r="F2539" s="3">
        <v>1</v>
      </c>
      <c r="G2539" s="6" t="s">
        <v>12</v>
      </c>
    </row>
    <row r="2540" spans="1:7" x14ac:dyDescent="0.3">
      <c r="A2540" s="2" t="s">
        <v>3197</v>
      </c>
      <c r="B2540" s="2" t="s">
        <v>3189</v>
      </c>
      <c r="C2540" s="6" t="s">
        <v>3190</v>
      </c>
      <c r="D2540" s="1">
        <v>45630</v>
      </c>
      <c r="E2540" s="4">
        <v>405.18</v>
      </c>
      <c r="F2540" s="3">
        <v>4</v>
      </c>
      <c r="G2540" s="6" t="s">
        <v>18</v>
      </c>
    </row>
    <row r="2541" spans="1:7" x14ac:dyDescent="0.3">
      <c r="A2541" s="2" t="s">
        <v>3198</v>
      </c>
      <c r="B2541" s="2" t="s">
        <v>3189</v>
      </c>
      <c r="C2541" s="6" t="s">
        <v>3190</v>
      </c>
      <c r="D2541" s="1">
        <v>45598</v>
      </c>
      <c r="E2541" s="4">
        <v>10.39</v>
      </c>
      <c r="F2541" s="3">
        <v>2</v>
      </c>
      <c r="G2541" s="6" t="s">
        <v>26</v>
      </c>
    </row>
    <row r="2542" spans="1:7" x14ac:dyDescent="0.3">
      <c r="A2542" s="2" t="s">
        <v>3199</v>
      </c>
      <c r="B2542" s="2" t="s">
        <v>3189</v>
      </c>
      <c r="C2542" s="6" t="s">
        <v>3190</v>
      </c>
      <c r="D2542" s="1">
        <v>45603</v>
      </c>
      <c r="E2542" s="4">
        <v>438.56</v>
      </c>
      <c r="F2542" s="3">
        <v>1</v>
      </c>
      <c r="G2542" s="6" t="s">
        <v>10</v>
      </c>
    </row>
    <row r="2543" spans="1:7" x14ac:dyDescent="0.3">
      <c r="A2543" s="2" t="s">
        <v>3200</v>
      </c>
      <c r="B2543" s="2" t="s">
        <v>3189</v>
      </c>
      <c r="C2543" s="6" t="s">
        <v>3190</v>
      </c>
      <c r="D2543" s="1">
        <v>45613</v>
      </c>
      <c r="E2543" s="4">
        <v>112.24</v>
      </c>
      <c r="F2543" s="3">
        <v>4</v>
      </c>
      <c r="G2543" s="6" t="s">
        <v>15</v>
      </c>
    </row>
    <row r="2544" spans="1:7" x14ac:dyDescent="0.3">
      <c r="A2544" s="2" t="s">
        <v>3201</v>
      </c>
      <c r="B2544" s="2" t="s">
        <v>3189</v>
      </c>
      <c r="C2544" s="6" t="s">
        <v>3190</v>
      </c>
      <c r="D2544" s="1">
        <v>45537</v>
      </c>
      <c r="E2544" s="4">
        <v>89.63</v>
      </c>
      <c r="F2544" s="3">
        <v>1</v>
      </c>
      <c r="G2544" s="6" t="s">
        <v>15</v>
      </c>
    </row>
    <row r="2545" spans="1:7" x14ac:dyDescent="0.3">
      <c r="A2545" s="2" t="s">
        <v>3202</v>
      </c>
      <c r="B2545" s="2" t="s">
        <v>3189</v>
      </c>
      <c r="C2545" s="6" t="s">
        <v>3190</v>
      </c>
      <c r="D2545" s="1">
        <v>45579</v>
      </c>
      <c r="E2545" s="4">
        <v>370.62</v>
      </c>
      <c r="F2545" s="3">
        <v>4</v>
      </c>
      <c r="G2545" s="6" t="s">
        <v>12</v>
      </c>
    </row>
    <row r="2546" spans="1:7" x14ac:dyDescent="0.3">
      <c r="A2546" s="2" t="s">
        <v>3203</v>
      </c>
      <c r="B2546" s="2" t="s">
        <v>3189</v>
      </c>
      <c r="C2546" s="6" t="s">
        <v>3190</v>
      </c>
      <c r="D2546" s="1">
        <v>45548</v>
      </c>
      <c r="E2546" s="4">
        <v>32.75</v>
      </c>
      <c r="F2546" s="3">
        <v>2</v>
      </c>
      <c r="G2546" s="6" t="s">
        <v>10</v>
      </c>
    </row>
    <row r="2547" spans="1:7" x14ac:dyDescent="0.3">
      <c r="A2547" s="2" t="s">
        <v>3204</v>
      </c>
      <c r="B2547" s="2" t="s">
        <v>3205</v>
      </c>
      <c r="C2547" s="6" t="s">
        <v>3206</v>
      </c>
      <c r="D2547" s="1">
        <v>45456</v>
      </c>
      <c r="E2547" s="4">
        <v>228.43</v>
      </c>
      <c r="F2547" s="3">
        <v>1</v>
      </c>
      <c r="G2547" s="6" t="s">
        <v>15</v>
      </c>
    </row>
    <row r="2548" spans="1:7" x14ac:dyDescent="0.3">
      <c r="A2548" s="2" t="s">
        <v>3207</v>
      </c>
      <c r="B2548" s="2" t="s">
        <v>3205</v>
      </c>
      <c r="C2548" s="6" t="s">
        <v>3206</v>
      </c>
      <c r="D2548" s="1">
        <v>45462</v>
      </c>
      <c r="E2548" s="4">
        <v>218.42</v>
      </c>
      <c r="F2548" s="3">
        <v>2</v>
      </c>
      <c r="G2548" s="6" t="s">
        <v>38</v>
      </c>
    </row>
    <row r="2549" spans="1:7" x14ac:dyDescent="0.3">
      <c r="A2549" s="2" t="s">
        <v>3208</v>
      </c>
      <c r="B2549" s="2" t="s">
        <v>3205</v>
      </c>
      <c r="C2549" s="6" t="s">
        <v>3206</v>
      </c>
      <c r="D2549" s="1">
        <v>45524</v>
      </c>
      <c r="E2549" s="4">
        <v>338.15</v>
      </c>
      <c r="F2549" s="3">
        <v>1</v>
      </c>
      <c r="G2549" s="6" t="s">
        <v>38</v>
      </c>
    </row>
    <row r="2550" spans="1:7" x14ac:dyDescent="0.3">
      <c r="A2550" s="2" t="s">
        <v>3209</v>
      </c>
      <c r="B2550" s="2" t="s">
        <v>3205</v>
      </c>
      <c r="C2550" s="6" t="s">
        <v>3206</v>
      </c>
      <c r="D2550" s="1">
        <v>45225</v>
      </c>
      <c r="E2550" s="4">
        <v>446.99</v>
      </c>
      <c r="F2550" s="3">
        <v>4</v>
      </c>
      <c r="G2550" s="6" t="s">
        <v>15</v>
      </c>
    </row>
    <row r="2551" spans="1:7" x14ac:dyDescent="0.3">
      <c r="A2551" s="2" t="s">
        <v>3210</v>
      </c>
      <c r="B2551" s="2" t="s">
        <v>3205</v>
      </c>
      <c r="C2551" s="6" t="s">
        <v>3206</v>
      </c>
      <c r="D2551" s="1">
        <v>45222</v>
      </c>
      <c r="E2551" s="4">
        <v>49.67</v>
      </c>
      <c r="F2551" s="3">
        <v>3</v>
      </c>
      <c r="G2551" s="6" t="s">
        <v>10</v>
      </c>
    </row>
    <row r="2552" spans="1:7" x14ac:dyDescent="0.3">
      <c r="A2552" s="2" t="s">
        <v>3211</v>
      </c>
      <c r="B2552" s="2" t="s">
        <v>3205</v>
      </c>
      <c r="C2552" s="6" t="s">
        <v>3206</v>
      </c>
      <c r="D2552" s="1">
        <v>45506</v>
      </c>
      <c r="E2552" s="4">
        <v>359.53</v>
      </c>
      <c r="F2552" s="3">
        <v>3</v>
      </c>
      <c r="G2552" s="6" t="s">
        <v>38</v>
      </c>
    </row>
    <row r="2553" spans="1:7" x14ac:dyDescent="0.3">
      <c r="A2553" s="2" t="s">
        <v>3212</v>
      </c>
      <c r="B2553" s="2" t="s">
        <v>3205</v>
      </c>
      <c r="C2553" s="6" t="s">
        <v>3206</v>
      </c>
      <c r="D2553" s="1">
        <v>45224</v>
      </c>
      <c r="E2553" s="4">
        <v>268.64</v>
      </c>
      <c r="F2553" s="3">
        <v>3</v>
      </c>
      <c r="G2553" s="6" t="s">
        <v>18</v>
      </c>
    </row>
    <row r="2554" spans="1:7" x14ac:dyDescent="0.3">
      <c r="A2554" s="2" t="s">
        <v>3213</v>
      </c>
      <c r="B2554" s="2" t="s">
        <v>3205</v>
      </c>
      <c r="C2554" s="6" t="s">
        <v>3206</v>
      </c>
      <c r="D2554" s="1">
        <v>45648</v>
      </c>
      <c r="E2554" s="4">
        <v>327.54000000000002</v>
      </c>
      <c r="F2554" s="3">
        <v>2</v>
      </c>
      <c r="G2554" s="6" t="s">
        <v>18</v>
      </c>
    </row>
    <row r="2555" spans="1:7" x14ac:dyDescent="0.3">
      <c r="A2555" s="2" t="s">
        <v>3214</v>
      </c>
      <c r="B2555" s="2" t="s">
        <v>3205</v>
      </c>
      <c r="C2555" s="6" t="s">
        <v>3206</v>
      </c>
      <c r="D2555" s="1">
        <v>45236</v>
      </c>
      <c r="E2555" s="4">
        <v>430.38</v>
      </c>
      <c r="F2555" s="3">
        <v>4</v>
      </c>
      <c r="G2555" s="6" t="s">
        <v>10</v>
      </c>
    </row>
    <row r="2556" spans="1:7" x14ac:dyDescent="0.3">
      <c r="A2556" s="2" t="s">
        <v>3215</v>
      </c>
      <c r="B2556" s="2" t="s">
        <v>3205</v>
      </c>
      <c r="C2556" s="6" t="s">
        <v>3206</v>
      </c>
      <c r="D2556" s="1">
        <v>45212</v>
      </c>
      <c r="E2556" s="4">
        <v>173.77</v>
      </c>
      <c r="F2556" s="3">
        <v>3</v>
      </c>
      <c r="G2556" s="6" t="s">
        <v>26</v>
      </c>
    </row>
    <row r="2557" spans="1:7" x14ac:dyDescent="0.3">
      <c r="A2557" s="2" t="s">
        <v>3216</v>
      </c>
      <c r="B2557" s="2" t="s">
        <v>3217</v>
      </c>
      <c r="C2557" s="6" t="s">
        <v>3218</v>
      </c>
      <c r="D2557" s="1">
        <v>45185</v>
      </c>
      <c r="E2557" s="4">
        <v>466.99</v>
      </c>
      <c r="F2557" s="3">
        <v>4</v>
      </c>
      <c r="G2557" s="6" t="s">
        <v>18</v>
      </c>
    </row>
    <row r="2558" spans="1:7" x14ac:dyDescent="0.3">
      <c r="A2558" s="2" t="s">
        <v>3219</v>
      </c>
      <c r="B2558" s="2" t="s">
        <v>3217</v>
      </c>
      <c r="C2558" s="6" t="s">
        <v>3218</v>
      </c>
      <c r="D2558" s="1">
        <v>45272</v>
      </c>
      <c r="E2558" s="4">
        <v>440.81</v>
      </c>
      <c r="F2558" s="3">
        <v>3</v>
      </c>
      <c r="G2558" s="6" t="s">
        <v>15</v>
      </c>
    </row>
    <row r="2559" spans="1:7" x14ac:dyDescent="0.3">
      <c r="A2559" s="2" t="s">
        <v>3220</v>
      </c>
      <c r="B2559" s="2" t="s">
        <v>3217</v>
      </c>
      <c r="C2559" s="6" t="s">
        <v>3218</v>
      </c>
      <c r="D2559" s="1">
        <v>45084</v>
      </c>
      <c r="E2559" s="4">
        <v>153.88</v>
      </c>
      <c r="F2559" s="3">
        <v>2</v>
      </c>
      <c r="G2559" s="6" t="s">
        <v>12</v>
      </c>
    </row>
    <row r="2560" spans="1:7" x14ac:dyDescent="0.3">
      <c r="A2560" s="2" t="s">
        <v>3221</v>
      </c>
      <c r="B2560" s="2" t="s">
        <v>3217</v>
      </c>
      <c r="C2560" s="6" t="s">
        <v>3218</v>
      </c>
      <c r="D2560" s="1">
        <v>45130</v>
      </c>
      <c r="E2560" s="4">
        <v>255.15</v>
      </c>
      <c r="F2560" s="3">
        <v>1</v>
      </c>
      <c r="G2560" s="6" t="s">
        <v>10</v>
      </c>
    </row>
    <row r="2561" spans="1:7" x14ac:dyDescent="0.3">
      <c r="A2561" s="2" t="s">
        <v>3222</v>
      </c>
      <c r="B2561" s="2" t="s">
        <v>3217</v>
      </c>
      <c r="C2561" s="6" t="s">
        <v>3218</v>
      </c>
      <c r="D2561" s="1">
        <v>45425</v>
      </c>
      <c r="E2561" s="4">
        <v>117.47</v>
      </c>
      <c r="F2561" s="3">
        <v>2</v>
      </c>
      <c r="G2561" s="6" t="s">
        <v>15</v>
      </c>
    </row>
    <row r="2562" spans="1:7" x14ac:dyDescent="0.3">
      <c r="A2562" s="2" t="s">
        <v>3223</v>
      </c>
      <c r="B2562" s="2" t="s">
        <v>3224</v>
      </c>
      <c r="C2562" s="6" t="s">
        <v>3225</v>
      </c>
      <c r="D2562" s="1">
        <v>45546</v>
      </c>
      <c r="E2562" s="4">
        <v>81.98</v>
      </c>
      <c r="F2562" s="3">
        <v>3</v>
      </c>
      <c r="G2562" s="6" t="s">
        <v>18</v>
      </c>
    </row>
    <row r="2563" spans="1:7" x14ac:dyDescent="0.3">
      <c r="A2563" s="2" t="s">
        <v>3226</v>
      </c>
      <c r="B2563" s="2" t="s">
        <v>3224</v>
      </c>
      <c r="C2563" s="6" t="s">
        <v>3225</v>
      </c>
      <c r="D2563" s="1">
        <v>45632</v>
      </c>
      <c r="E2563" s="4">
        <v>124.45</v>
      </c>
      <c r="F2563" s="3">
        <v>1</v>
      </c>
      <c r="G2563" s="6" t="s">
        <v>18</v>
      </c>
    </row>
    <row r="2564" spans="1:7" x14ac:dyDescent="0.3">
      <c r="A2564" s="2" t="s">
        <v>3227</v>
      </c>
      <c r="B2564" s="2" t="s">
        <v>3224</v>
      </c>
      <c r="C2564" s="6" t="s">
        <v>3225</v>
      </c>
      <c r="D2564" s="1">
        <v>45463</v>
      </c>
      <c r="E2564" s="4">
        <v>402.33</v>
      </c>
      <c r="F2564" s="3">
        <v>1</v>
      </c>
      <c r="G2564" s="6" t="s">
        <v>10</v>
      </c>
    </row>
    <row r="2565" spans="1:7" x14ac:dyDescent="0.3">
      <c r="A2565" s="2" t="s">
        <v>3228</v>
      </c>
      <c r="B2565" s="2" t="s">
        <v>3229</v>
      </c>
      <c r="C2565" s="6" t="s">
        <v>3230</v>
      </c>
      <c r="D2565" s="1">
        <v>45528</v>
      </c>
      <c r="E2565" s="4">
        <v>196.8</v>
      </c>
      <c r="F2565" s="3">
        <v>4</v>
      </c>
      <c r="G2565" s="6" t="s">
        <v>15</v>
      </c>
    </row>
    <row r="2566" spans="1:7" x14ac:dyDescent="0.3">
      <c r="A2566" s="2" t="s">
        <v>3231</v>
      </c>
      <c r="B2566" s="2" t="s">
        <v>3229</v>
      </c>
      <c r="C2566" s="6" t="s">
        <v>3230</v>
      </c>
      <c r="D2566" s="1">
        <v>45482</v>
      </c>
      <c r="E2566" s="4">
        <v>258.16000000000003</v>
      </c>
      <c r="F2566" s="3">
        <v>3</v>
      </c>
      <c r="G2566" s="6" t="s">
        <v>12</v>
      </c>
    </row>
    <row r="2567" spans="1:7" x14ac:dyDescent="0.3">
      <c r="A2567" s="2" t="s">
        <v>3232</v>
      </c>
      <c r="B2567" s="2" t="s">
        <v>3229</v>
      </c>
      <c r="C2567" s="6" t="s">
        <v>3230</v>
      </c>
      <c r="D2567" s="1">
        <v>45606</v>
      </c>
      <c r="E2567" s="4">
        <v>119.31</v>
      </c>
      <c r="F2567" s="3">
        <v>3</v>
      </c>
      <c r="G2567" s="6" t="s">
        <v>38</v>
      </c>
    </row>
    <row r="2568" spans="1:7" x14ac:dyDescent="0.3">
      <c r="A2568" s="2" t="s">
        <v>3233</v>
      </c>
      <c r="B2568" s="2" t="s">
        <v>3229</v>
      </c>
      <c r="C2568" s="6" t="s">
        <v>3230</v>
      </c>
      <c r="D2568" s="1">
        <v>45512</v>
      </c>
      <c r="E2568" s="4">
        <v>245.78</v>
      </c>
      <c r="F2568" s="3">
        <v>4</v>
      </c>
      <c r="G2568" s="6" t="s">
        <v>38</v>
      </c>
    </row>
    <row r="2569" spans="1:7" x14ac:dyDescent="0.3">
      <c r="A2569" s="2" t="s">
        <v>3234</v>
      </c>
      <c r="B2569" s="2" t="s">
        <v>3229</v>
      </c>
      <c r="C2569" s="6" t="s">
        <v>3230</v>
      </c>
      <c r="D2569" s="1">
        <v>45483</v>
      </c>
      <c r="E2569" s="4">
        <v>262.81</v>
      </c>
      <c r="F2569" s="3">
        <v>2</v>
      </c>
      <c r="G2569" s="6" t="s">
        <v>15</v>
      </c>
    </row>
    <row r="2570" spans="1:7" x14ac:dyDescent="0.3">
      <c r="A2570" s="2" t="s">
        <v>3235</v>
      </c>
      <c r="B2570" s="2" t="s">
        <v>3229</v>
      </c>
      <c r="C2570" s="6" t="s">
        <v>3230</v>
      </c>
      <c r="D2570" s="1">
        <v>45549</v>
      </c>
      <c r="E2570" s="4">
        <v>330.11</v>
      </c>
      <c r="F2570" s="3">
        <v>3</v>
      </c>
      <c r="G2570" s="6" t="s">
        <v>12</v>
      </c>
    </row>
    <row r="2571" spans="1:7" x14ac:dyDescent="0.3">
      <c r="A2571" s="2" t="s">
        <v>3236</v>
      </c>
      <c r="B2571" s="2" t="s">
        <v>3229</v>
      </c>
      <c r="C2571" s="6" t="s">
        <v>3230</v>
      </c>
      <c r="D2571" s="1">
        <v>45643</v>
      </c>
      <c r="E2571" s="4">
        <v>183.67</v>
      </c>
      <c r="F2571" s="3">
        <v>2</v>
      </c>
      <c r="G2571" s="6" t="s">
        <v>38</v>
      </c>
    </row>
    <row r="2572" spans="1:7" x14ac:dyDescent="0.3">
      <c r="A2572" s="2" t="s">
        <v>3237</v>
      </c>
      <c r="B2572" s="2" t="s">
        <v>3229</v>
      </c>
      <c r="C2572" s="6" t="s">
        <v>3230</v>
      </c>
      <c r="D2572" s="1">
        <v>45619</v>
      </c>
      <c r="E2572" s="4">
        <v>360.48</v>
      </c>
      <c r="F2572" s="3">
        <v>1</v>
      </c>
      <c r="G2572" s="6" t="s">
        <v>18</v>
      </c>
    </row>
    <row r="2573" spans="1:7" x14ac:dyDescent="0.3">
      <c r="A2573" s="2" t="s">
        <v>3238</v>
      </c>
      <c r="B2573" s="2" t="s">
        <v>3229</v>
      </c>
      <c r="C2573" s="6" t="s">
        <v>3230</v>
      </c>
      <c r="D2573" s="1">
        <v>45546</v>
      </c>
      <c r="E2573" s="4">
        <v>465.5</v>
      </c>
      <c r="F2573" s="3">
        <v>1</v>
      </c>
      <c r="G2573" s="6" t="s">
        <v>12</v>
      </c>
    </row>
    <row r="2574" spans="1:7" x14ac:dyDescent="0.3">
      <c r="A2574" s="2" t="s">
        <v>3239</v>
      </c>
      <c r="B2574" s="2" t="s">
        <v>3229</v>
      </c>
      <c r="C2574" s="6" t="s">
        <v>3230</v>
      </c>
      <c r="D2574" s="1">
        <v>45496</v>
      </c>
      <c r="E2574" s="4">
        <v>284.74</v>
      </c>
      <c r="F2574" s="3">
        <v>4</v>
      </c>
      <c r="G2574" s="6" t="s">
        <v>38</v>
      </c>
    </row>
    <row r="2575" spans="1:7" x14ac:dyDescent="0.3">
      <c r="A2575" s="2" t="s">
        <v>3240</v>
      </c>
      <c r="B2575" s="2" t="s">
        <v>3241</v>
      </c>
      <c r="C2575" s="6" t="s">
        <v>3242</v>
      </c>
      <c r="D2575" s="1">
        <v>45645</v>
      </c>
      <c r="E2575" s="4">
        <v>27.53</v>
      </c>
      <c r="F2575" s="3">
        <v>3</v>
      </c>
      <c r="G2575" s="6" t="s">
        <v>10</v>
      </c>
    </row>
    <row r="2576" spans="1:7" x14ac:dyDescent="0.3">
      <c r="A2576" s="2" t="s">
        <v>3243</v>
      </c>
      <c r="B2576" s="2" t="s">
        <v>3241</v>
      </c>
      <c r="C2576" s="6" t="s">
        <v>3242</v>
      </c>
      <c r="D2576" s="1">
        <v>45514</v>
      </c>
      <c r="E2576" s="4">
        <v>111.66</v>
      </c>
      <c r="F2576" s="3">
        <v>2</v>
      </c>
      <c r="G2576" s="6" t="s">
        <v>18</v>
      </c>
    </row>
    <row r="2577" spans="1:7" x14ac:dyDescent="0.3">
      <c r="A2577" s="2" t="s">
        <v>3244</v>
      </c>
      <c r="B2577" s="2" t="s">
        <v>3241</v>
      </c>
      <c r="C2577" s="6" t="s">
        <v>3242</v>
      </c>
      <c r="D2577" s="1">
        <v>45577</v>
      </c>
      <c r="E2577" s="4">
        <v>197.7</v>
      </c>
      <c r="F2577" s="3">
        <v>1</v>
      </c>
      <c r="G2577" s="6" t="s">
        <v>18</v>
      </c>
    </row>
    <row r="2578" spans="1:7" x14ac:dyDescent="0.3">
      <c r="A2578" s="2" t="s">
        <v>3245</v>
      </c>
      <c r="B2578" s="2" t="s">
        <v>3241</v>
      </c>
      <c r="C2578" s="6" t="s">
        <v>3242</v>
      </c>
      <c r="D2578" s="1">
        <v>45575</v>
      </c>
      <c r="E2578" s="4">
        <v>125.92</v>
      </c>
      <c r="F2578" s="3">
        <v>3</v>
      </c>
      <c r="G2578" s="6" t="s">
        <v>10</v>
      </c>
    </row>
    <row r="2579" spans="1:7" x14ac:dyDescent="0.3">
      <c r="A2579" s="2" t="s">
        <v>3246</v>
      </c>
      <c r="B2579" s="2" t="s">
        <v>3247</v>
      </c>
      <c r="C2579" s="6" t="s">
        <v>3248</v>
      </c>
      <c r="D2579" s="1">
        <v>45260</v>
      </c>
      <c r="E2579" s="4">
        <v>417.76</v>
      </c>
      <c r="F2579" s="3">
        <v>3</v>
      </c>
      <c r="G2579" s="6" t="s">
        <v>26</v>
      </c>
    </row>
    <row r="2580" spans="1:7" x14ac:dyDescent="0.3">
      <c r="A2580" s="2" t="s">
        <v>3249</v>
      </c>
      <c r="B2580" s="2" t="s">
        <v>3247</v>
      </c>
      <c r="C2580" s="6" t="s">
        <v>3248</v>
      </c>
      <c r="D2580" s="1">
        <v>45173</v>
      </c>
      <c r="E2580" s="4">
        <v>158.58000000000001</v>
      </c>
      <c r="F2580" s="3">
        <v>3</v>
      </c>
      <c r="G2580" s="6" t="s">
        <v>38</v>
      </c>
    </row>
    <row r="2581" spans="1:7" x14ac:dyDescent="0.3">
      <c r="A2581" s="2" t="s">
        <v>3250</v>
      </c>
      <c r="B2581" s="2" t="s">
        <v>3247</v>
      </c>
      <c r="C2581" s="6" t="s">
        <v>3248</v>
      </c>
      <c r="D2581" s="1">
        <v>45275</v>
      </c>
      <c r="E2581" s="4">
        <v>419.91</v>
      </c>
      <c r="F2581" s="3">
        <v>3</v>
      </c>
      <c r="G2581" s="6" t="s">
        <v>12</v>
      </c>
    </row>
    <row r="2582" spans="1:7" x14ac:dyDescent="0.3">
      <c r="A2582" s="2" t="s">
        <v>3251</v>
      </c>
      <c r="B2582" s="2" t="s">
        <v>3247</v>
      </c>
      <c r="C2582" s="6" t="s">
        <v>3248</v>
      </c>
      <c r="D2582" s="1">
        <v>45238</v>
      </c>
      <c r="E2582" s="4">
        <v>211.16</v>
      </c>
      <c r="F2582" s="3">
        <v>4</v>
      </c>
      <c r="G2582" s="6" t="s">
        <v>10</v>
      </c>
    </row>
    <row r="2583" spans="1:7" x14ac:dyDescent="0.3">
      <c r="A2583" s="2" t="s">
        <v>3252</v>
      </c>
      <c r="B2583" s="2" t="s">
        <v>3247</v>
      </c>
      <c r="C2583" s="6" t="s">
        <v>3248</v>
      </c>
      <c r="D2583" s="1">
        <v>45495</v>
      </c>
      <c r="E2583" s="4">
        <v>106.38</v>
      </c>
      <c r="F2583" s="3">
        <v>3</v>
      </c>
      <c r="G2583" s="6" t="s">
        <v>26</v>
      </c>
    </row>
    <row r="2584" spans="1:7" x14ac:dyDescent="0.3">
      <c r="A2584" s="2" t="s">
        <v>3253</v>
      </c>
      <c r="B2584" s="2" t="s">
        <v>3247</v>
      </c>
      <c r="C2584" s="6" t="s">
        <v>3248</v>
      </c>
      <c r="D2584" s="1">
        <v>45596</v>
      </c>
      <c r="E2584" s="4">
        <v>17.11</v>
      </c>
      <c r="F2584" s="3">
        <v>1</v>
      </c>
      <c r="G2584" s="6" t="s">
        <v>15</v>
      </c>
    </row>
    <row r="2585" spans="1:7" x14ac:dyDescent="0.3">
      <c r="A2585" s="2" t="s">
        <v>3254</v>
      </c>
      <c r="B2585" s="2" t="s">
        <v>3247</v>
      </c>
      <c r="C2585" s="6" t="s">
        <v>3248</v>
      </c>
      <c r="D2585" s="1">
        <v>45650</v>
      </c>
      <c r="E2585" s="4">
        <v>193.58</v>
      </c>
      <c r="F2585" s="3">
        <v>2</v>
      </c>
      <c r="G2585" s="6" t="s">
        <v>15</v>
      </c>
    </row>
    <row r="2586" spans="1:7" x14ac:dyDescent="0.3">
      <c r="A2586" s="2" t="s">
        <v>3255</v>
      </c>
      <c r="B2586" s="2" t="s">
        <v>3247</v>
      </c>
      <c r="C2586" s="6" t="s">
        <v>3248</v>
      </c>
      <c r="D2586" s="1">
        <v>45150</v>
      </c>
      <c r="E2586" s="4">
        <v>492.38</v>
      </c>
      <c r="F2586" s="3">
        <v>3</v>
      </c>
      <c r="G2586" s="6" t="s">
        <v>38</v>
      </c>
    </row>
    <row r="2587" spans="1:7" x14ac:dyDescent="0.3">
      <c r="A2587" s="2" t="s">
        <v>3256</v>
      </c>
      <c r="B2587" s="2" t="s">
        <v>3247</v>
      </c>
      <c r="C2587" s="6" t="s">
        <v>3248</v>
      </c>
      <c r="D2587" s="1">
        <v>45630</v>
      </c>
      <c r="E2587" s="4">
        <v>421.21</v>
      </c>
      <c r="F2587" s="3">
        <v>3</v>
      </c>
      <c r="G2587" s="6" t="s">
        <v>12</v>
      </c>
    </row>
    <row r="2588" spans="1:7" x14ac:dyDescent="0.3">
      <c r="A2588" s="2" t="s">
        <v>3257</v>
      </c>
      <c r="B2588" s="2" t="s">
        <v>3247</v>
      </c>
      <c r="C2588" s="6" t="s">
        <v>3248</v>
      </c>
      <c r="D2588" s="1">
        <v>45045</v>
      </c>
      <c r="E2588" s="4">
        <v>171.1</v>
      </c>
      <c r="F2588" s="3">
        <v>2</v>
      </c>
      <c r="G2588" s="6" t="s">
        <v>38</v>
      </c>
    </row>
    <row r="2589" spans="1:7" x14ac:dyDescent="0.3">
      <c r="A2589" s="2" t="s">
        <v>3258</v>
      </c>
      <c r="B2589" s="2" t="s">
        <v>3247</v>
      </c>
      <c r="C2589" s="6" t="s">
        <v>3248</v>
      </c>
      <c r="D2589" s="1">
        <v>45114</v>
      </c>
      <c r="E2589" s="4">
        <v>17.57</v>
      </c>
      <c r="F2589" s="3">
        <v>2</v>
      </c>
      <c r="G2589" s="6" t="s">
        <v>15</v>
      </c>
    </row>
    <row r="2590" spans="1:7" x14ac:dyDescent="0.3">
      <c r="A2590" s="2" t="s">
        <v>3259</v>
      </c>
      <c r="B2590" s="2" t="s">
        <v>3260</v>
      </c>
      <c r="C2590" s="6" t="s">
        <v>3261</v>
      </c>
      <c r="D2590" s="1">
        <v>45549</v>
      </c>
      <c r="E2590" s="4">
        <v>375.87</v>
      </c>
      <c r="F2590" s="3">
        <v>1</v>
      </c>
      <c r="G2590" s="6" t="s">
        <v>26</v>
      </c>
    </row>
    <row r="2591" spans="1:7" x14ac:dyDescent="0.3">
      <c r="A2591" s="2" t="s">
        <v>3262</v>
      </c>
      <c r="B2591" s="2" t="s">
        <v>3260</v>
      </c>
      <c r="C2591" s="6" t="s">
        <v>3261</v>
      </c>
      <c r="D2591" s="1">
        <v>45599</v>
      </c>
      <c r="E2591" s="4">
        <v>445.03</v>
      </c>
      <c r="F2591" s="3">
        <v>2</v>
      </c>
      <c r="G2591" s="6" t="s">
        <v>10</v>
      </c>
    </row>
    <row r="2592" spans="1:7" x14ac:dyDescent="0.3">
      <c r="A2592" s="2" t="s">
        <v>3263</v>
      </c>
      <c r="B2592" s="2" t="s">
        <v>3260</v>
      </c>
      <c r="C2592" s="6" t="s">
        <v>3261</v>
      </c>
      <c r="D2592" s="1">
        <v>45590</v>
      </c>
      <c r="E2592" s="4">
        <v>203.1</v>
      </c>
      <c r="F2592" s="3">
        <v>4</v>
      </c>
      <c r="G2592" s="6" t="s">
        <v>10</v>
      </c>
    </row>
    <row r="2593" spans="1:7" x14ac:dyDescent="0.3">
      <c r="A2593" s="2" t="s">
        <v>3264</v>
      </c>
      <c r="B2593" s="2" t="s">
        <v>3260</v>
      </c>
      <c r="C2593" s="6" t="s">
        <v>3261</v>
      </c>
      <c r="D2593" s="1">
        <v>45624</v>
      </c>
      <c r="E2593" s="4">
        <v>256.75</v>
      </c>
      <c r="F2593" s="3">
        <v>4</v>
      </c>
      <c r="G2593" s="6" t="s">
        <v>12</v>
      </c>
    </row>
    <row r="2594" spans="1:7" x14ac:dyDescent="0.3">
      <c r="A2594" s="2" t="s">
        <v>3265</v>
      </c>
      <c r="B2594" s="2" t="s">
        <v>3266</v>
      </c>
      <c r="C2594" s="6" t="s">
        <v>3267</v>
      </c>
      <c r="D2594" s="1">
        <v>45409</v>
      </c>
      <c r="E2594" s="4">
        <v>449.29</v>
      </c>
      <c r="F2594" s="3">
        <v>1</v>
      </c>
      <c r="G2594" s="6" t="s">
        <v>18</v>
      </c>
    </row>
    <row r="2595" spans="1:7" x14ac:dyDescent="0.3">
      <c r="A2595" s="2" t="s">
        <v>3268</v>
      </c>
      <c r="B2595" s="2" t="s">
        <v>3266</v>
      </c>
      <c r="C2595" s="6" t="s">
        <v>3267</v>
      </c>
      <c r="D2595" s="1">
        <v>45288</v>
      </c>
      <c r="E2595" s="4">
        <v>292.74</v>
      </c>
      <c r="F2595" s="3">
        <v>3</v>
      </c>
      <c r="G2595" s="6" t="s">
        <v>12</v>
      </c>
    </row>
    <row r="2596" spans="1:7" x14ac:dyDescent="0.3">
      <c r="A2596" s="2" t="s">
        <v>3269</v>
      </c>
      <c r="B2596" s="2" t="s">
        <v>3266</v>
      </c>
      <c r="C2596" s="6" t="s">
        <v>3267</v>
      </c>
      <c r="D2596" s="1">
        <v>45180</v>
      </c>
      <c r="E2596" s="4">
        <v>381.91</v>
      </c>
      <c r="F2596" s="3">
        <v>1</v>
      </c>
      <c r="G2596" s="6" t="s">
        <v>15</v>
      </c>
    </row>
    <row r="2597" spans="1:7" x14ac:dyDescent="0.3">
      <c r="A2597" s="2" t="s">
        <v>3270</v>
      </c>
      <c r="B2597" s="2" t="s">
        <v>3266</v>
      </c>
      <c r="C2597" s="6" t="s">
        <v>3267</v>
      </c>
      <c r="D2597" s="1">
        <v>45368</v>
      </c>
      <c r="E2597" s="4">
        <v>161.68</v>
      </c>
      <c r="F2597" s="3">
        <v>3</v>
      </c>
      <c r="G2597" s="6" t="s">
        <v>38</v>
      </c>
    </row>
    <row r="2598" spans="1:7" x14ac:dyDescent="0.3">
      <c r="A2598" s="2" t="s">
        <v>3271</v>
      </c>
      <c r="B2598" s="2" t="s">
        <v>3266</v>
      </c>
      <c r="C2598" s="6" t="s">
        <v>3267</v>
      </c>
      <c r="D2598" s="1">
        <v>45428</v>
      </c>
      <c r="E2598" s="4">
        <v>404.78</v>
      </c>
      <c r="F2598" s="3">
        <v>3</v>
      </c>
      <c r="G2598" s="6" t="s">
        <v>18</v>
      </c>
    </row>
    <row r="2599" spans="1:7" x14ac:dyDescent="0.3">
      <c r="A2599" s="2" t="s">
        <v>3272</v>
      </c>
      <c r="B2599" s="2" t="s">
        <v>3266</v>
      </c>
      <c r="C2599" s="6" t="s">
        <v>3267</v>
      </c>
      <c r="D2599" s="1">
        <v>45320</v>
      </c>
      <c r="E2599" s="4">
        <v>221.78</v>
      </c>
      <c r="F2599" s="3">
        <v>1</v>
      </c>
      <c r="G2599" s="6" t="s">
        <v>38</v>
      </c>
    </row>
    <row r="2600" spans="1:7" x14ac:dyDescent="0.3">
      <c r="A2600" s="2" t="s">
        <v>3273</v>
      </c>
      <c r="B2600" s="2" t="s">
        <v>3266</v>
      </c>
      <c r="C2600" s="6" t="s">
        <v>3267</v>
      </c>
      <c r="D2600" s="1">
        <v>45221</v>
      </c>
      <c r="E2600" s="4">
        <v>386.8</v>
      </c>
      <c r="F2600" s="3">
        <v>3</v>
      </c>
      <c r="G2600" s="6" t="s">
        <v>26</v>
      </c>
    </row>
    <row r="2601" spans="1:7" x14ac:dyDescent="0.3">
      <c r="A2601" s="2" t="s">
        <v>3274</v>
      </c>
      <c r="B2601" s="2" t="s">
        <v>3266</v>
      </c>
      <c r="C2601" s="6" t="s">
        <v>3267</v>
      </c>
      <c r="D2601" s="1">
        <v>45554</v>
      </c>
      <c r="E2601" s="4">
        <v>65.739999999999995</v>
      </c>
      <c r="F2601" s="3">
        <v>2</v>
      </c>
      <c r="G2601" s="6" t="s">
        <v>15</v>
      </c>
    </row>
    <row r="2602" spans="1:7" x14ac:dyDescent="0.3">
      <c r="A2602" s="2" t="s">
        <v>3275</v>
      </c>
      <c r="B2602" s="2" t="s">
        <v>3266</v>
      </c>
      <c r="C2602" s="6" t="s">
        <v>3267</v>
      </c>
      <c r="D2602" s="1">
        <v>45606</v>
      </c>
      <c r="E2602" s="4">
        <v>223.76</v>
      </c>
      <c r="F2602" s="3">
        <v>4</v>
      </c>
      <c r="G2602" s="6" t="s">
        <v>18</v>
      </c>
    </row>
    <row r="2603" spans="1:7" x14ac:dyDescent="0.3">
      <c r="A2603" s="2" t="s">
        <v>3276</v>
      </c>
      <c r="B2603" s="2" t="s">
        <v>3266</v>
      </c>
      <c r="C2603" s="6" t="s">
        <v>3267</v>
      </c>
      <c r="D2603" s="1">
        <v>45176</v>
      </c>
      <c r="E2603" s="4">
        <v>163.91</v>
      </c>
      <c r="F2603" s="3">
        <v>1</v>
      </c>
      <c r="G2603" s="6" t="s">
        <v>12</v>
      </c>
    </row>
    <row r="2604" spans="1:7" x14ac:dyDescent="0.3">
      <c r="A2604" s="2" t="s">
        <v>3277</v>
      </c>
      <c r="B2604" s="2" t="s">
        <v>3266</v>
      </c>
      <c r="C2604" s="6" t="s">
        <v>3267</v>
      </c>
      <c r="D2604" s="1">
        <v>45606</v>
      </c>
      <c r="E2604" s="4">
        <v>56.53</v>
      </c>
      <c r="F2604" s="3">
        <v>1</v>
      </c>
      <c r="G2604" s="6" t="s">
        <v>15</v>
      </c>
    </row>
    <row r="2605" spans="1:7" x14ac:dyDescent="0.3">
      <c r="A2605" s="2" t="s">
        <v>3278</v>
      </c>
      <c r="B2605" s="2" t="s">
        <v>3266</v>
      </c>
      <c r="C2605" s="6" t="s">
        <v>3267</v>
      </c>
      <c r="D2605" s="1">
        <v>45596</v>
      </c>
      <c r="E2605" s="4">
        <v>302.39</v>
      </c>
      <c r="F2605" s="3">
        <v>1</v>
      </c>
      <c r="G2605" s="6" t="s">
        <v>18</v>
      </c>
    </row>
    <row r="2606" spans="1:7" x14ac:dyDescent="0.3">
      <c r="A2606" s="2" t="s">
        <v>3279</v>
      </c>
      <c r="B2606" s="2" t="s">
        <v>3266</v>
      </c>
      <c r="C2606" s="6" t="s">
        <v>3267</v>
      </c>
      <c r="D2606" s="1">
        <v>45564</v>
      </c>
      <c r="E2606" s="4">
        <v>65.44</v>
      </c>
      <c r="F2606" s="3">
        <v>1</v>
      </c>
      <c r="G2606" s="6" t="s">
        <v>10</v>
      </c>
    </row>
    <row r="2607" spans="1:7" x14ac:dyDescent="0.3">
      <c r="A2607" s="2" t="s">
        <v>3280</v>
      </c>
      <c r="B2607" s="2" t="s">
        <v>3281</v>
      </c>
      <c r="C2607" s="6" t="s">
        <v>3282</v>
      </c>
      <c r="D2607" s="1">
        <v>45443</v>
      </c>
      <c r="E2607" s="4">
        <v>188.12</v>
      </c>
      <c r="F2607" s="3">
        <v>2</v>
      </c>
      <c r="G2607" s="6" t="s">
        <v>26</v>
      </c>
    </row>
    <row r="2608" spans="1:7" x14ac:dyDescent="0.3">
      <c r="A2608" s="2" t="s">
        <v>3283</v>
      </c>
      <c r="B2608" s="2" t="s">
        <v>3281</v>
      </c>
      <c r="C2608" s="6" t="s">
        <v>3282</v>
      </c>
      <c r="D2608" s="1">
        <v>45268</v>
      </c>
      <c r="E2608" s="4">
        <v>112.67</v>
      </c>
      <c r="F2608" s="3">
        <v>1</v>
      </c>
      <c r="G2608" s="6" t="s">
        <v>38</v>
      </c>
    </row>
    <row r="2609" spans="1:7" x14ac:dyDescent="0.3">
      <c r="A2609" s="2" t="s">
        <v>3284</v>
      </c>
      <c r="B2609" s="2" t="s">
        <v>3281</v>
      </c>
      <c r="C2609" s="6" t="s">
        <v>3282</v>
      </c>
      <c r="D2609" s="1">
        <v>45603</v>
      </c>
      <c r="E2609" s="4">
        <v>79.03</v>
      </c>
      <c r="F2609" s="3">
        <v>4</v>
      </c>
      <c r="G2609" s="6" t="s">
        <v>18</v>
      </c>
    </row>
    <row r="2610" spans="1:7" x14ac:dyDescent="0.3">
      <c r="A2610" s="2" t="s">
        <v>3285</v>
      </c>
      <c r="B2610" s="2" t="s">
        <v>3281</v>
      </c>
      <c r="C2610" s="6" t="s">
        <v>3282</v>
      </c>
      <c r="D2610" s="1">
        <v>45621</v>
      </c>
      <c r="E2610" s="4">
        <v>466.64</v>
      </c>
      <c r="F2610" s="3">
        <v>2</v>
      </c>
      <c r="G2610" s="6" t="s">
        <v>10</v>
      </c>
    </row>
    <row r="2611" spans="1:7" x14ac:dyDescent="0.3">
      <c r="A2611" s="2" t="s">
        <v>3286</v>
      </c>
      <c r="B2611" s="2" t="s">
        <v>3281</v>
      </c>
      <c r="C2611" s="6" t="s">
        <v>3282</v>
      </c>
      <c r="D2611" s="1">
        <v>45327</v>
      </c>
      <c r="E2611" s="4">
        <v>93.99</v>
      </c>
      <c r="F2611" s="3">
        <v>3</v>
      </c>
      <c r="G2611" s="6" t="s">
        <v>26</v>
      </c>
    </row>
    <row r="2612" spans="1:7" x14ac:dyDescent="0.3">
      <c r="A2612" s="2" t="s">
        <v>3287</v>
      </c>
      <c r="B2612" s="2" t="s">
        <v>3281</v>
      </c>
      <c r="C2612" s="6" t="s">
        <v>3282</v>
      </c>
      <c r="D2612" s="1">
        <v>45530</v>
      </c>
      <c r="E2612" s="4">
        <v>38</v>
      </c>
      <c r="F2612" s="3">
        <v>2</v>
      </c>
      <c r="G2612" s="6" t="s">
        <v>12</v>
      </c>
    </row>
    <row r="2613" spans="1:7" x14ac:dyDescent="0.3">
      <c r="A2613" s="2" t="s">
        <v>3288</v>
      </c>
      <c r="B2613" s="2" t="s">
        <v>3281</v>
      </c>
      <c r="C2613" s="6" t="s">
        <v>3282</v>
      </c>
      <c r="D2613" s="1">
        <v>45418</v>
      </c>
      <c r="E2613" s="4">
        <v>457.74</v>
      </c>
      <c r="F2613" s="3">
        <v>3</v>
      </c>
      <c r="G2613" s="6" t="s">
        <v>15</v>
      </c>
    </row>
    <row r="2614" spans="1:7" x14ac:dyDescent="0.3">
      <c r="A2614" s="2" t="s">
        <v>3289</v>
      </c>
      <c r="B2614" s="2" t="s">
        <v>3281</v>
      </c>
      <c r="C2614" s="6" t="s">
        <v>3282</v>
      </c>
      <c r="D2614" s="1">
        <v>45641</v>
      </c>
      <c r="E2614" s="4">
        <v>129.59</v>
      </c>
      <c r="F2614" s="3">
        <v>3</v>
      </c>
      <c r="G2614" s="6" t="s">
        <v>18</v>
      </c>
    </row>
    <row r="2615" spans="1:7" x14ac:dyDescent="0.3">
      <c r="A2615" s="2" t="s">
        <v>3290</v>
      </c>
      <c r="B2615" s="2" t="s">
        <v>3281</v>
      </c>
      <c r="C2615" s="6" t="s">
        <v>3282</v>
      </c>
      <c r="D2615" s="1">
        <v>45647</v>
      </c>
      <c r="E2615" s="4">
        <v>164.32</v>
      </c>
      <c r="F2615" s="3">
        <v>3</v>
      </c>
      <c r="G2615" s="6" t="s">
        <v>15</v>
      </c>
    </row>
    <row r="2616" spans="1:7" x14ac:dyDescent="0.3">
      <c r="A2616" s="2" t="s">
        <v>3291</v>
      </c>
      <c r="B2616" s="2" t="s">
        <v>3281</v>
      </c>
      <c r="C2616" s="6" t="s">
        <v>3282</v>
      </c>
      <c r="D2616" s="1">
        <v>45487</v>
      </c>
      <c r="E2616" s="4">
        <v>449.97</v>
      </c>
      <c r="F2616" s="3">
        <v>1</v>
      </c>
      <c r="G2616" s="6" t="s">
        <v>15</v>
      </c>
    </row>
    <row r="2617" spans="1:7" x14ac:dyDescent="0.3">
      <c r="A2617" s="2" t="s">
        <v>3292</v>
      </c>
      <c r="B2617" s="2" t="s">
        <v>3281</v>
      </c>
      <c r="C2617" s="6" t="s">
        <v>3282</v>
      </c>
      <c r="D2617" s="1">
        <v>45218</v>
      </c>
      <c r="E2617" s="4">
        <v>144.69999999999999</v>
      </c>
      <c r="F2617" s="3">
        <v>1</v>
      </c>
      <c r="G2617" s="6" t="s">
        <v>18</v>
      </c>
    </row>
    <row r="2618" spans="1:7" x14ac:dyDescent="0.3">
      <c r="A2618" s="2" t="s">
        <v>3293</v>
      </c>
      <c r="B2618" s="2" t="s">
        <v>3281</v>
      </c>
      <c r="C2618" s="6" t="s">
        <v>3282</v>
      </c>
      <c r="D2618" s="1">
        <v>45573</v>
      </c>
      <c r="E2618" s="4">
        <v>468.55</v>
      </c>
      <c r="F2618" s="3">
        <v>3</v>
      </c>
      <c r="G2618" s="6" t="s">
        <v>10</v>
      </c>
    </row>
    <row r="2619" spans="1:7" x14ac:dyDescent="0.3">
      <c r="A2619" s="2" t="s">
        <v>3294</v>
      </c>
      <c r="B2619" s="2" t="s">
        <v>3281</v>
      </c>
      <c r="C2619" s="6" t="s">
        <v>3282</v>
      </c>
      <c r="D2619" s="1">
        <v>45385</v>
      </c>
      <c r="E2619" s="4">
        <v>322.14999999999998</v>
      </c>
      <c r="F2619" s="3">
        <v>3</v>
      </c>
      <c r="G2619" s="6" t="s">
        <v>18</v>
      </c>
    </row>
    <row r="2620" spans="1:7" x14ac:dyDescent="0.3">
      <c r="A2620" s="2" t="s">
        <v>3295</v>
      </c>
      <c r="B2620" s="2" t="s">
        <v>3296</v>
      </c>
      <c r="C2620" s="6" t="s">
        <v>3297</v>
      </c>
      <c r="D2620" s="1">
        <v>45548</v>
      </c>
      <c r="E2620" s="4">
        <v>458.28</v>
      </c>
      <c r="F2620" s="3">
        <v>1</v>
      </c>
      <c r="G2620" s="6" t="s">
        <v>38</v>
      </c>
    </row>
    <row r="2621" spans="1:7" x14ac:dyDescent="0.3">
      <c r="A2621" s="2" t="s">
        <v>3298</v>
      </c>
      <c r="B2621" s="2" t="s">
        <v>3296</v>
      </c>
      <c r="C2621" s="6" t="s">
        <v>3297</v>
      </c>
      <c r="D2621" s="1">
        <v>45578</v>
      </c>
      <c r="E2621" s="4">
        <v>381.16</v>
      </c>
      <c r="F2621" s="3">
        <v>1</v>
      </c>
      <c r="G2621" s="6" t="s">
        <v>26</v>
      </c>
    </row>
    <row r="2622" spans="1:7" x14ac:dyDescent="0.3">
      <c r="A2622" s="2" t="s">
        <v>3299</v>
      </c>
      <c r="B2622" s="2" t="s">
        <v>3296</v>
      </c>
      <c r="C2622" s="6" t="s">
        <v>3297</v>
      </c>
      <c r="D2622" s="1">
        <v>45632</v>
      </c>
      <c r="E2622" s="4">
        <v>311.58999999999997</v>
      </c>
      <c r="F2622" s="3">
        <v>3</v>
      </c>
      <c r="G2622" s="6" t="s">
        <v>12</v>
      </c>
    </row>
    <row r="2623" spans="1:7" x14ac:dyDescent="0.3">
      <c r="A2623" s="2" t="s">
        <v>3300</v>
      </c>
      <c r="B2623" s="2" t="s">
        <v>3296</v>
      </c>
      <c r="C2623" s="6" t="s">
        <v>3297</v>
      </c>
      <c r="D2623" s="1">
        <v>45513</v>
      </c>
      <c r="E2623" s="4">
        <v>161.77000000000001</v>
      </c>
      <c r="F2623" s="3">
        <v>1</v>
      </c>
      <c r="G2623" s="6" t="s">
        <v>26</v>
      </c>
    </row>
    <row r="2624" spans="1:7" x14ac:dyDescent="0.3">
      <c r="A2624" s="2" t="s">
        <v>3301</v>
      </c>
      <c r="B2624" s="2" t="s">
        <v>3296</v>
      </c>
      <c r="C2624" s="6" t="s">
        <v>3297</v>
      </c>
      <c r="D2624" s="1">
        <v>45598</v>
      </c>
      <c r="E2624" s="4">
        <v>232.1</v>
      </c>
      <c r="F2624" s="3">
        <v>4</v>
      </c>
      <c r="G2624" s="6" t="s">
        <v>18</v>
      </c>
    </row>
    <row r="2625" spans="1:7" x14ac:dyDescent="0.3">
      <c r="A2625" s="2" t="s">
        <v>3302</v>
      </c>
      <c r="B2625" s="2" t="s">
        <v>3296</v>
      </c>
      <c r="C2625" s="6" t="s">
        <v>3297</v>
      </c>
      <c r="D2625" s="1">
        <v>45534</v>
      </c>
      <c r="E2625" s="4">
        <v>77.12</v>
      </c>
      <c r="F2625" s="3">
        <v>2</v>
      </c>
      <c r="G2625" s="6" t="s">
        <v>18</v>
      </c>
    </row>
    <row r="2626" spans="1:7" x14ac:dyDescent="0.3">
      <c r="A2626" s="2" t="s">
        <v>3303</v>
      </c>
      <c r="B2626" s="2" t="s">
        <v>3296</v>
      </c>
      <c r="C2626" s="6" t="s">
        <v>3297</v>
      </c>
      <c r="D2626" s="1">
        <v>45654</v>
      </c>
      <c r="E2626" s="4">
        <v>144.27000000000001</v>
      </c>
      <c r="F2626" s="3">
        <v>2</v>
      </c>
      <c r="G2626" s="6" t="s">
        <v>26</v>
      </c>
    </row>
    <row r="2627" spans="1:7" x14ac:dyDescent="0.3">
      <c r="A2627" s="2" t="s">
        <v>3304</v>
      </c>
      <c r="B2627" s="2" t="s">
        <v>3296</v>
      </c>
      <c r="C2627" s="6" t="s">
        <v>3297</v>
      </c>
      <c r="D2627" s="1">
        <v>45636</v>
      </c>
      <c r="E2627" s="4">
        <v>112.66</v>
      </c>
      <c r="F2627" s="3">
        <v>3</v>
      </c>
      <c r="G2627" s="6" t="s">
        <v>15</v>
      </c>
    </row>
    <row r="2628" spans="1:7" x14ac:dyDescent="0.3">
      <c r="A2628" s="2" t="s">
        <v>3305</v>
      </c>
      <c r="B2628" s="2" t="s">
        <v>3296</v>
      </c>
      <c r="C2628" s="6" t="s">
        <v>3297</v>
      </c>
      <c r="D2628" s="1">
        <v>45611</v>
      </c>
      <c r="E2628" s="4">
        <v>179.22</v>
      </c>
      <c r="F2628" s="3">
        <v>2</v>
      </c>
      <c r="G2628" s="6" t="s">
        <v>38</v>
      </c>
    </row>
    <row r="2629" spans="1:7" x14ac:dyDescent="0.3">
      <c r="A2629" s="2" t="s">
        <v>3306</v>
      </c>
      <c r="B2629" s="2" t="s">
        <v>3296</v>
      </c>
      <c r="C2629" s="6" t="s">
        <v>3297</v>
      </c>
      <c r="D2629" s="1">
        <v>45528</v>
      </c>
      <c r="E2629" s="4">
        <v>188.23</v>
      </c>
      <c r="F2629" s="3">
        <v>1</v>
      </c>
      <c r="G2629" s="6" t="s">
        <v>15</v>
      </c>
    </row>
    <row r="2630" spans="1:7" x14ac:dyDescent="0.3">
      <c r="A2630" s="2" t="s">
        <v>3307</v>
      </c>
      <c r="B2630" s="2" t="s">
        <v>3296</v>
      </c>
      <c r="C2630" s="6" t="s">
        <v>3297</v>
      </c>
      <c r="D2630" s="1">
        <v>45507</v>
      </c>
      <c r="E2630" s="4">
        <v>349.82</v>
      </c>
      <c r="F2630" s="3">
        <v>2</v>
      </c>
      <c r="G2630" s="6" t="s">
        <v>12</v>
      </c>
    </row>
    <row r="2631" spans="1:7" x14ac:dyDescent="0.3">
      <c r="A2631" s="2" t="s">
        <v>3308</v>
      </c>
      <c r="B2631" s="2" t="s">
        <v>3309</v>
      </c>
      <c r="C2631" s="6" t="s">
        <v>3310</v>
      </c>
      <c r="D2631" s="1">
        <v>45278</v>
      </c>
      <c r="E2631" s="4">
        <v>321.98</v>
      </c>
      <c r="F2631" s="3">
        <v>4</v>
      </c>
      <c r="G2631" s="6" t="s">
        <v>12</v>
      </c>
    </row>
    <row r="2632" spans="1:7" x14ac:dyDescent="0.3">
      <c r="A2632" s="2" t="s">
        <v>3311</v>
      </c>
      <c r="B2632" s="2" t="s">
        <v>3309</v>
      </c>
      <c r="C2632" s="6" t="s">
        <v>3310</v>
      </c>
      <c r="D2632" s="1">
        <v>45165</v>
      </c>
      <c r="E2632" s="4">
        <v>388.4</v>
      </c>
      <c r="F2632" s="3">
        <v>2</v>
      </c>
      <c r="G2632" s="6" t="s">
        <v>26</v>
      </c>
    </row>
    <row r="2633" spans="1:7" x14ac:dyDescent="0.3">
      <c r="A2633" s="2" t="s">
        <v>3312</v>
      </c>
      <c r="B2633" s="2" t="s">
        <v>3309</v>
      </c>
      <c r="C2633" s="6" t="s">
        <v>3310</v>
      </c>
      <c r="D2633" s="1">
        <v>45580</v>
      </c>
      <c r="E2633" s="4">
        <v>143.28</v>
      </c>
      <c r="F2633" s="3">
        <v>1</v>
      </c>
      <c r="G2633" s="6" t="s">
        <v>15</v>
      </c>
    </row>
    <row r="2634" spans="1:7" x14ac:dyDescent="0.3">
      <c r="A2634" s="2" t="s">
        <v>3313</v>
      </c>
      <c r="B2634" s="2" t="s">
        <v>3309</v>
      </c>
      <c r="C2634" s="6" t="s">
        <v>3310</v>
      </c>
      <c r="D2634" s="1">
        <v>45271</v>
      </c>
      <c r="E2634" s="4">
        <v>253.96</v>
      </c>
      <c r="F2634" s="3">
        <v>4</v>
      </c>
      <c r="G2634" s="6" t="s">
        <v>12</v>
      </c>
    </row>
    <row r="2635" spans="1:7" x14ac:dyDescent="0.3">
      <c r="A2635" s="2" t="s">
        <v>3314</v>
      </c>
      <c r="B2635" s="2" t="s">
        <v>3309</v>
      </c>
      <c r="C2635" s="6" t="s">
        <v>3310</v>
      </c>
      <c r="D2635" s="1">
        <v>45185</v>
      </c>
      <c r="E2635" s="4">
        <v>298.69</v>
      </c>
      <c r="F2635" s="3">
        <v>4</v>
      </c>
      <c r="G2635" s="6" t="s">
        <v>38</v>
      </c>
    </row>
    <row r="2636" spans="1:7" x14ac:dyDescent="0.3">
      <c r="A2636" s="2" t="s">
        <v>3315</v>
      </c>
      <c r="B2636" s="2" t="s">
        <v>3309</v>
      </c>
      <c r="C2636" s="6" t="s">
        <v>3310</v>
      </c>
      <c r="D2636" s="1">
        <v>45199</v>
      </c>
      <c r="E2636" s="4">
        <v>414.85</v>
      </c>
      <c r="F2636" s="3">
        <v>1</v>
      </c>
      <c r="G2636" s="6" t="s">
        <v>10</v>
      </c>
    </row>
    <row r="2637" spans="1:7" x14ac:dyDescent="0.3">
      <c r="A2637" s="2" t="s">
        <v>3316</v>
      </c>
      <c r="B2637" s="2" t="s">
        <v>3309</v>
      </c>
      <c r="C2637" s="6" t="s">
        <v>3310</v>
      </c>
      <c r="D2637" s="1">
        <v>45493</v>
      </c>
      <c r="E2637" s="4">
        <v>412.61</v>
      </c>
      <c r="F2637" s="3">
        <v>4</v>
      </c>
      <c r="G2637" s="6" t="s">
        <v>12</v>
      </c>
    </row>
    <row r="2638" spans="1:7" x14ac:dyDescent="0.3">
      <c r="A2638" s="2" t="s">
        <v>3317</v>
      </c>
      <c r="B2638" s="2" t="s">
        <v>3309</v>
      </c>
      <c r="C2638" s="6" t="s">
        <v>3310</v>
      </c>
      <c r="D2638" s="1">
        <v>45503</v>
      </c>
      <c r="E2638" s="4">
        <v>195.32</v>
      </c>
      <c r="F2638" s="3">
        <v>1</v>
      </c>
      <c r="G2638" s="6" t="s">
        <v>38</v>
      </c>
    </row>
    <row r="2639" spans="1:7" x14ac:dyDescent="0.3">
      <c r="A2639" s="2" t="s">
        <v>3318</v>
      </c>
      <c r="B2639" s="2" t="s">
        <v>3309</v>
      </c>
      <c r="C2639" s="6" t="s">
        <v>3310</v>
      </c>
      <c r="D2639" s="1">
        <v>45510</v>
      </c>
      <c r="E2639" s="4">
        <v>399.25</v>
      </c>
      <c r="F2639" s="3">
        <v>3</v>
      </c>
      <c r="G2639" s="6" t="s">
        <v>18</v>
      </c>
    </row>
    <row r="2640" spans="1:7" x14ac:dyDescent="0.3">
      <c r="A2640" s="2" t="s">
        <v>3319</v>
      </c>
      <c r="B2640" s="2" t="s">
        <v>3320</v>
      </c>
      <c r="C2640" s="6" t="s">
        <v>3321</v>
      </c>
      <c r="D2640" s="1">
        <v>45117</v>
      </c>
      <c r="E2640" s="4">
        <v>35.85</v>
      </c>
      <c r="F2640" s="3">
        <v>4</v>
      </c>
      <c r="G2640" s="6" t="s">
        <v>38</v>
      </c>
    </row>
    <row r="2641" spans="1:7" x14ac:dyDescent="0.3">
      <c r="A2641" s="2" t="s">
        <v>3322</v>
      </c>
      <c r="B2641" s="2" t="s">
        <v>3320</v>
      </c>
      <c r="C2641" s="6" t="s">
        <v>3321</v>
      </c>
      <c r="D2641" s="1">
        <v>45219</v>
      </c>
      <c r="E2641" s="4">
        <v>445.05</v>
      </c>
      <c r="F2641" s="3">
        <v>4</v>
      </c>
      <c r="G2641" s="6" t="s">
        <v>12</v>
      </c>
    </row>
    <row r="2642" spans="1:7" x14ac:dyDescent="0.3">
      <c r="A2642" s="2" t="s">
        <v>3323</v>
      </c>
      <c r="B2642" s="2" t="s">
        <v>3324</v>
      </c>
      <c r="C2642" s="6" t="s">
        <v>3325</v>
      </c>
      <c r="D2642" s="1">
        <v>45612</v>
      </c>
      <c r="E2642" s="4">
        <v>142.97999999999999</v>
      </c>
      <c r="F2642" s="3">
        <v>4</v>
      </c>
      <c r="G2642" s="6" t="s">
        <v>38</v>
      </c>
    </row>
    <row r="2643" spans="1:7" x14ac:dyDescent="0.3">
      <c r="A2643" s="2" t="s">
        <v>3326</v>
      </c>
      <c r="B2643" s="2" t="s">
        <v>3327</v>
      </c>
      <c r="C2643" s="6" t="s">
        <v>3328</v>
      </c>
      <c r="D2643" s="1">
        <v>45150</v>
      </c>
      <c r="E2643" s="4">
        <v>355.88</v>
      </c>
      <c r="F2643" s="3">
        <v>3</v>
      </c>
      <c r="G2643" s="6" t="s">
        <v>15</v>
      </c>
    </row>
    <row r="2644" spans="1:7" x14ac:dyDescent="0.3">
      <c r="A2644" s="2" t="s">
        <v>3329</v>
      </c>
      <c r="B2644" s="2" t="s">
        <v>3327</v>
      </c>
      <c r="C2644" s="6" t="s">
        <v>3328</v>
      </c>
      <c r="D2644" s="1">
        <v>45126</v>
      </c>
      <c r="E2644" s="4">
        <v>185.6</v>
      </c>
      <c r="F2644" s="3">
        <v>1</v>
      </c>
      <c r="G2644" s="6" t="s">
        <v>15</v>
      </c>
    </row>
    <row r="2645" spans="1:7" x14ac:dyDescent="0.3">
      <c r="A2645" s="2" t="s">
        <v>3330</v>
      </c>
      <c r="B2645" s="2" t="s">
        <v>3327</v>
      </c>
      <c r="C2645" s="6" t="s">
        <v>3328</v>
      </c>
      <c r="D2645" s="1">
        <v>45211</v>
      </c>
      <c r="E2645" s="4">
        <v>280.39999999999998</v>
      </c>
      <c r="F2645" s="3">
        <v>4</v>
      </c>
      <c r="G2645" s="6" t="s">
        <v>15</v>
      </c>
    </row>
    <row r="2646" spans="1:7" x14ac:dyDescent="0.3">
      <c r="A2646" s="2" t="s">
        <v>3331</v>
      </c>
      <c r="B2646" s="2" t="s">
        <v>3327</v>
      </c>
      <c r="C2646" s="6" t="s">
        <v>3328</v>
      </c>
      <c r="D2646" s="1">
        <v>45641</v>
      </c>
      <c r="E2646" s="4">
        <v>474.84</v>
      </c>
      <c r="F2646" s="3">
        <v>1</v>
      </c>
      <c r="G2646" s="6" t="s">
        <v>12</v>
      </c>
    </row>
    <row r="2647" spans="1:7" x14ac:dyDescent="0.3">
      <c r="A2647" s="2" t="s">
        <v>3332</v>
      </c>
      <c r="B2647" s="2" t="s">
        <v>3327</v>
      </c>
      <c r="C2647" s="6" t="s">
        <v>3328</v>
      </c>
      <c r="D2647" s="1">
        <v>45230</v>
      </c>
      <c r="E2647" s="4">
        <v>14.82</v>
      </c>
      <c r="F2647" s="3">
        <v>4</v>
      </c>
      <c r="G2647" s="6" t="s">
        <v>38</v>
      </c>
    </row>
    <row r="2648" spans="1:7" x14ac:dyDescent="0.3">
      <c r="A2648" s="2" t="s">
        <v>3333</v>
      </c>
      <c r="B2648" s="2" t="s">
        <v>3327</v>
      </c>
      <c r="C2648" s="6" t="s">
        <v>3328</v>
      </c>
      <c r="D2648" s="1">
        <v>45270</v>
      </c>
      <c r="E2648" s="4">
        <v>112.57</v>
      </c>
      <c r="F2648" s="3">
        <v>3</v>
      </c>
      <c r="G2648" s="6" t="s">
        <v>26</v>
      </c>
    </row>
    <row r="2649" spans="1:7" x14ac:dyDescent="0.3">
      <c r="A2649" s="2" t="s">
        <v>3334</v>
      </c>
      <c r="B2649" s="2" t="s">
        <v>3327</v>
      </c>
      <c r="C2649" s="6" t="s">
        <v>3328</v>
      </c>
      <c r="D2649" s="1">
        <v>45444</v>
      </c>
      <c r="E2649" s="4">
        <v>418.3</v>
      </c>
      <c r="F2649" s="3">
        <v>2</v>
      </c>
      <c r="G2649" s="6" t="s">
        <v>18</v>
      </c>
    </row>
    <row r="2650" spans="1:7" x14ac:dyDescent="0.3">
      <c r="A2650" s="2" t="s">
        <v>3335</v>
      </c>
      <c r="B2650" s="2" t="s">
        <v>3327</v>
      </c>
      <c r="C2650" s="6" t="s">
        <v>3328</v>
      </c>
      <c r="D2650" s="1">
        <v>45167</v>
      </c>
      <c r="E2650" s="4">
        <v>248.17</v>
      </c>
      <c r="F2650" s="3">
        <v>1</v>
      </c>
      <c r="G2650" s="6" t="s">
        <v>12</v>
      </c>
    </row>
    <row r="2651" spans="1:7" x14ac:dyDescent="0.3">
      <c r="A2651" s="2" t="s">
        <v>3336</v>
      </c>
      <c r="B2651" s="2" t="s">
        <v>3327</v>
      </c>
      <c r="C2651" s="6" t="s">
        <v>3328</v>
      </c>
      <c r="D2651" s="1">
        <v>45390</v>
      </c>
      <c r="E2651" s="4">
        <v>372.01</v>
      </c>
      <c r="F2651" s="3">
        <v>4</v>
      </c>
      <c r="G2651" s="6" t="s">
        <v>38</v>
      </c>
    </row>
    <row r="2652" spans="1:7" x14ac:dyDescent="0.3">
      <c r="A2652" s="2" t="s">
        <v>3337</v>
      </c>
      <c r="B2652" s="2" t="s">
        <v>3327</v>
      </c>
      <c r="C2652" s="6" t="s">
        <v>3328</v>
      </c>
      <c r="D2652" s="1">
        <v>45222</v>
      </c>
      <c r="E2652" s="4">
        <v>213.73</v>
      </c>
      <c r="F2652" s="3">
        <v>2</v>
      </c>
      <c r="G2652" s="6" t="s">
        <v>18</v>
      </c>
    </row>
    <row r="2653" spans="1:7" x14ac:dyDescent="0.3">
      <c r="A2653" s="2" t="s">
        <v>3338</v>
      </c>
      <c r="B2653" s="2" t="s">
        <v>3327</v>
      </c>
      <c r="C2653" s="6" t="s">
        <v>3328</v>
      </c>
      <c r="D2653" s="1">
        <v>45461</v>
      </c>
      <c r="E2653" s="4">
        <v>443.28</v>
      </c>
      <c r="F2653" s="3">
        <v>1</v>
      </c>
      <c r="G2653" s="6" t="s">
        <v>18</v>
      </c>
    </row>
    <row r="2654" spans="1:7" x14ac:dyDescent="0.3">
      <c r="A2654" s="2" t="s">
        <v>3339</v>
      </c>
      <c r="B2654" s="2" t="s">
        <v>3327</v>
      </c>
      <c r="C2654" s="6" t="s">
        <v>3328</v>
      </c>
      <c r="D2654" s="1">
        <v>45333</v>
      </c>
      <c r="E2654" s="4">
        <v>122.87</v>
      </c>
      <c r="F2654" s="3">
        <v>2</v>
      </c>
      <c r="G2654" s="6" t="s">
        <v>10</v>
      </c>
    </row>
    <row r="2655" spans="1:7" x14ac:dyDescent="0.3">
      <c r="A2655" s="2" t="s">
        <v>3340</v>
      </c>
      <c r="B2655" s="2" t="s">
        <v>3341</v>
      </c>
      <c r="C2655" s="6" t="s">
        <v>3342</v>
      </c>
      <c r="D2655" s="1">
        <v>45640</v>
      </c>
      <c r="E2655" s="4">
        <v>453.61</v>
      </c>
      <c r="F2655" s="3">
        <v>2</v>
      </c>
      <c r="G2655" s="6" t="s">
        <v>15</v>
      </c>
    </row>
    <row r="2656" spans="1:7" x14ac:dyDescent="0.3">
      <c r="A2656" s="2" t="s">
        <v>3343</v>
      </c>
      <c r="B2656" s="2" t="s">
        <v>3341</v>
      </c>
      <c r="C2656" s="6" t="s">
        <v>3342</v>
      </c>
      <c r="D2656" s="1">
        <v>45421</v>
      </c>
      <c r="E2656" s="4">
        <v>376.63</v>
      </c>
      <c r="F2656" s="3">
        <v>4</v>
      </c>
      <c r="G2656" s="6" t="s">
        <v>38</v>
      </c>
    </row>
    <row r="2657" spans="1:7" x14ac:dyDescent="0.3">
      <c r="A2657" s="2" t="s">
        <v>3344</v>
      </c>
      <c r="B2657" s="2" t="s">
        <v>3341</v>
      </c>
      <c r="C2657" s="6" t="s">
        <v>3342</v>
      </c>
      <c r="D2657" s="1">
        <v>45531</v>
      </c>
      <c r="E2657" s="4">
        <v>405.6</v>
      </c>
      <c r="F2657" s="3">
        <v>2</v>
      </c>
      <c r="G2657" s="6" t="s">
        <v>15</v>
      </c>
    </row>
    <row r="2658" spans="1:7" x14ac:dyDescent="0.3">
      <c r="A2658" s="2" t="s">
        <v>3345</v>
      </c>
      <c r="B2658" s="2" t="s">
        <v>3341</v>
      </c>
      <c r="C2658" s="6" t="s">
        <v>3342</v>
      </c>
      <c r="D2658" s="1">
        <v>45641</v>
      </c>
      <c r="E2658" s="4">
        <v>33.229999999999997</v>
      </c>
      <c r="F2658" s="3">
        <v>4</v>
      </c>
      <c r="G2658" s="6" t="s">
        <v>15</v>
      </c>
    </row>
    <row r="2659" spans="1:7" x14ac:dyDescent="0.3">
      <c r="A2659" s="2" t="s">
        <v>3346</v>
      </c>
      <c r="B2659" s="2" t="s">
        <v>3341</v>
      </c>
      <c r="C2659" s="6" t="s">
        <v>3342</v>
      </c>
      <c r="D2659" s="1">
        <v>45411</v>
      </c>
      <c r="E2659" s="4">
        <v>219.68</v>
      </c>
      <c r="F2659" s="3">
        <v>2</v>
      </c>
      <c r="G2659" s="6" t="s">
        <v>15</v>
      </c>
    </row>
    <row r="2660" spans="1:7" x14ac:dyDescent="0.3">
      <c r="A2660" s="2" t="s">
        <v>3347</v>
      </c>
      <c r="B2660" s="2" t="s">
        <v>3341</v>
      </c>
      <c r="C2660" s="6" t="s">
        <v>3342</v>
      </c>
      <c r="D2660" s="1">
        <v>45642</v>
      </c>
      <c r="E2660" s="4">
        <v>387.5</v>
      </c>
      <c r="F2660" s="3">
        <v>2</v>
      </c>
      <c r="G2660" s="6" t="s">
        <v>18</v>
      </c>
    </row>
    <row r="2661" spans="1:7" x14ac:dyDescent="0.3">
      <c r="A2661" s="2" t="s">
        <v>3348</v>
      </c>
      <c r="B2661" s="2" t="s">
        <v>3341</v>
      </c>
      <c r="C2661" s="6" t="s">
        <v>3342</v>
      </c>
      <c r="D2661" s="1">
        <v>45312</v>
      </c>
      <c r="E2661" s="4">
        <v>395.38</v>
      </c>
      <c r="F2661" s="3">
        <v>1</v>
      </c>
      <c r="G2661" s="6" t="s">
        <v>26</v>
      </c>
    </row>
    <row r="2662" spans="1:7" x14ac:dyDescent="0.3">
      <c r="A2662" s="2" t="s">
        <v>3349</v>
      </c>
      <c r="B2662" s="2" t="s">
        <v>3341</v>
      </c>
      <c r="C2662" s="6" t="s">
        <v>3342</v>
      </c>
      <c r="D2662" s="1">
        <v>45406</v>
      </c>
      <c r="E2662" s="4">
        <v>210.04</v>
      </c>
      <c r="F2662" s="3">
        <v>2</v>
      </c>
      <c r="G2662" s="6" t="s">
        <v>12</v>
      </c>
    </row>
    <row r="2663" spans="1:7" x14ac:dyDescent="0.3">
      <c r="A2663" s="2" t="s">
        <v>3350</v>
      </c>
      <c r="B2663" s="2" t="s">
        <v>3341</v>
      </c>
      <c r="C2663" s="6" t="s">
        <v>3342</v>
      </c>
      <c r="D2663" s="1">
        <v>45463</v>
      </c>
      <c r="E2663" s="4">
        <v>163.25</v>
      </c>
      <c r="F2663" s="3">
        <v>4</v>
      </c>
      <c r="G2663" s="6" t="s">
        <v>12</v>
      </c>
    </row>
    <row r="2664" spans="1:7" x14ac:dyDescent="0.3">
      <c r="A2664" s="2" t="s">
        <v>3351</v>
      </c>
      <c r="B2664" s="2" t="s">
        <v>3341</v>
      </c>
      <c r="C2664" s="6" t="s">
        <v>3342</v>
      </c>
      <c r="D2664" s="1">
        <v>45606</v>
      </c>
      <c r="E2664" s="4">
        <v>269.62</v>
      </c>
      <c r="F2664" s="3">
        <v>3</v>
      </c>
      <c r="G2664" s="6" t="s">
        <v>26</v>
      </c>
    </row>
    <row r="2665" spans="1:7" x14ac:dyDescent="0.3">
      <c r="A2665" s="2" t="s">
        <v>3352</v>
      </c>
      <c r="B2665" s="2" t="s">
        <v>3353</v>
      </c>
      <c r="C2665" s="6" t="s">
        <v>3354</v>
      </c>
      <c r="D2665" s="1">
        <v>45069</v>
      </c>
      <c r="E2665" s="4">
        <v>330.92</v>
      </c>
      <c r="F2665" s="3">
        <v>3</v>
      </c>
      <c r="G2665" s="6" t="s">
        <v>38</v>
      </c>
    </row>
    <row r="2666" spans="1:7" x14ac:dyDescent="0.3">
      <c r="A2666" s="2" t="s">
        <v>3355</v>
      </c>
      <c r="B2666" s="2" t="s">
        <v>3353</v>
      </c>
      <c r="C2666" s="6" t="s">
        <v>3354</v>
      </c>
      <c r="D2666" s="1">
        <v>45444</v>
      </c>
      <c r="E2666" s="4">
        <v>72.2</v>
      </c>
      <c r="F2666" s="3">
        <v>1</v>
      </c>
      <c r="G2666" s="6" t="s">
        <v>26</v>
      </c>
    </row>
    <row r="2667" spans="1:7" x14ac:dyDescent="0.3">
      <c r="A2667" s="2" t="s">
        <v>3356</v>
      </c>
      <c r="B2667" s="2" t="s">
        <v>3353</v>
      </c>
      <c r="C2667" s="6" t="s">
        <v>3354</v>
      </c>
      <c r="D2667" s="1">
        <v>45091</v>
      </c>
      <c r="E2667" s="4">
        <v>25.84</v>
      </c>
      <c r="F2667" s="3">
        <v>1</v>
      </c>
      <c r="G2667" s="6" t="s">
        <v>26</v>
      </c>
    </row>
    <row r="2668" spans="1:7" x14ac:dyDescent="0.3">
      <c r="A2668" s="2" t="s">
        <v>3357</v>
      </c>
      <c r="B2668" s="2" t="s">
        <v>3353</v>
      </c>
      <c r="C2668" s="6" t="s">
        <v>3354</v>
      </c>
      <c r="D2668" s="1">
        <v>45234</v>
      </c>
      <c r="E2668" s="4">
        <v>308.2</v>
      </c>
      <c r="F2668" s="3">
        <v>2</v>
      </c>
      <c r="G2668" s="6" t="s">
        <v>10</v>
      </c>
    </row>
    <row r="2669" spans="1:7" x14ac:dyDescent="0.3">
      <c r="A2669" s="2" t="s">
        <v>3358</v>
      </c>
      <c r="B2669" s="2" t="s">
        <v>3353</v>
      </c>
      <c r="C2669" s="6" t="s">
        <v>3354</v>
      </c>
      <c r="D2669" s="1">
        <v>45210</v>
      </c>
      <c r="E2669" s="4">
        <v>343.92</v>
      </c>
      <c r="F2669" s="3">
        <v>3</v>
      </c>
      <c r="G2669" s="6" t="s">
        <v>10</v>
      </c>
    </row>
    <row r="2670" spans="1:7" x14ac:dyDescent="0.3">
      <c r="A2670" s="2" t="s">
        <v>3359</v>
      </c>
      <c r="B2670" s="2" t="s">
        <v>3360</v>
      </c>
      <c r="C2670" s="6" t="s">
        <v>3361</v>
      </c>
      <c r="D2670" s="1">
        <v>45639</v>
      </c>
      <c r="E2670" s="4">
        <v>348.57</v>
      </c>
      <c r="F2670" s="3">
        <v>2</v>
      </c>
      <c r="G2670" s="6" t="s">
        <v>12</v>
      </c>
    </row>
    <row r="2671" spans="1:7" x14ac:dyDescent="0.3">
      <c r="A2671" s="2" t="s">
        <v>3362</v>
      </c>
      <c r="B2671" s="2" t="s">
        <v>3360</v>
      </c>
      <c r="C2671" s="6" t="s">
        <v>3361</v>
      </c>
      <c r="D2671" s="1">
        <v>45582</v>
      </c>
      <c r="E2671" s="4">
        <v>68.930000000000007</v>
      </c>
      <c r="F2671" s="3">
        <v>1</v>
      </c>
      <c r="G2671" s="6" t="s">
        <v>26</v>
      </c>
    </row>
    <row r="2672" spans="1:7" x14ac:dyDescent="0.3">
      <c r="A2672" s="2" t="s">
        <v>3363</v>
      </c>
      <c r="B2672" s="2" t="s">
        <v>3360</v>
      </c>
      <c r="C2672" s="6" t="s">
        <v>3361</v>
      </c>
      <c r="D2672" s="1">
        <v>45640</v>
      </c>
      <c r="E2672" s="4">
        <v>193.23</v>
      </c>
      <c r="F2672" s="3">
        <v>1</v>
      </c>
      <c r="G2672" s="6" t="s">
        <v>38</v>
      </c>
    </row>
    <row r="2673" spans="1:7" x14ac:dyDescent="0.3">
      <c r="A2673" s="2" t="s">
        <v>3364</v>
      </c>
      <c r="B2673" s="2" t="s">
        <v>3360</v>
      </c>
      <c r="C2673" s="6" t="s">
        <v>3361</v>
      </c>
      <c r="D2673" s="1">
        <v>45565</v>
      </c>
      <c r="E2673" s="4">
        <v>159.66</v>
      </c>
      <c r="F2673" s="3">
        <v>3</v>
      </c>
      <c r="G2673" s="6" t="s">
        <v>12</v>
      </c>
    </row>
    <row r="2674" spans="1:7" x14ac:dyDescent="0.3">
      <c r="A2674" s="2" t="s">
        <v>3365</v>
      </c>
      <c r="B2674" s="2" t="s">
        <v>3366</v>
      </c>
      <c r="C2674" s="6" t="s">
        <v>3367</v>
      </c>
      <c r="D2674" s="1">
        <v>45597</v>
      </c>
      <c r="E2674" s="4">
        <v>271.77</v>
      </c>
      <c r="F2674" s="3">
        <v>4</v>
      </c>
      <c r="G2674" s="6" t="s">
        <v>10</v>
      </c>
    </row>
    <row r="2675" spans="1:7" x14ac:dyDescent="0.3">
      <c r="A2675" s="2" t="s">
        <v>3368</v>
      </c>
      <c r="B2675" s="2" t="s">
        <v>3366</v>
      </c>
      <c r="C2675" s="6" t="s">
        <v>3367</v>
      </c>
      <c r="D2675" s="1">
        <v>45642</v>
      </c>
      <c r="E2675" s="4">
        <v>448.87</v>
      </c>
      <c r="F2675" s="3">
        <v>4</v>
      </c>
      <c r="G2675" s="6" t="s">
        <v>12</v>
      </c>
    </row>
    <row r="2676" spans="1:7" x14ac:dyDescent="0.3">
      <c r="A2676" s="2" t="s">
        <v>3369</v>
      </c>
      <c r="B2676" s="2" t="s">
        <v>3366</v>
      </c>
      <c r="C2676" s="6" t="s">
        <v>3367</v>
      </c>
      <c r="D2676" s="1">
        <v>45637</v>
      </c>
      <c r="E2676" s="4">
        <v>358.88</v>
      </c>
      <c r="F2676" s="3">
        <v>2</v>
      </c>
      <c r="G2676" s="6" t="s">
        <v>15</v>
      </c>
    </row>
    <row r="2677" spans="1:7" x14ac:dyDescent="0.3">
      <c r="A2677" s="2" t="s">
        <v>3370</v>
      </c>
      <c r="B2677" s="2" t="s">
        <v>3366</v>
      </c>
      <c r="C2677" s="6" t="s">
        <v>3367</v>
      </c>
      <c r="D2677" s="1">
        <v>45581</v>
      </c>
      <c r="E2677" s="4">
        <v>342.17</v>
      </c>
      <c r="F2677" s="3">
        <v>1</v>
      </c>
      <c r="G2677" s="6" t="s">
        <v>12</v>
      </c>
    </row>
    <row r="2678" spans="1:7" x14ac:dyDescent="0.3">
      <c r="A2678" s="2" t="s">
        <v>3371</v>
      </c>
      <c r="B2678" s="2" t="s">
        <v>3366</v>
      </c>
      <c r="C2678" s="6" t="s">
        <v>3367</v>
      </c>
      <c r="D2678" s="1">
        <v>45557</v>
      </c>
      <c r="E2678" s="4">
        <v>72.06</v>
      </c>
      <c r="F2678" s="3">
        <v>1</v>
      </c>
      <c r="G2678" s="6" t="s">
        <v>38</v>
      </c>
    </row>
    <row r="2679" spans="1:7" x14ac:dyDescent="0.3">
      <c r="A2679" s="2" t="s">
        <v>3372</v>
      </c>
      <c r="B2679" s="2" t="s">
        <v>3366</v>
      </c>
      <c r="C2679" s="6" t="s">
        <v>3367</v>
      </c>
      <c r="D2679" s="1">
        <v>45619</v>
      </c>
      <c r="E2679" s="4">
        <v>194.39</v>
      </c>
      <c r="F2679" s="3">
        <v>3</v>
      </c>
      <c r="G2679" s="6" t="s">
        <v>18</v>
      </c>
    </row>
    <row r="2680" spans="1:7" x14ac:dyDescent="0.3">
      <c r="A2680" s="2" t="s">
        <v>3373</v>
      </c>
      <c r="B2680" s="2" t="s">
        <v>3366</v>
      </c>
      <c r="C2680" s="6" t="s">
        <v>3367</v>
      </c>
      <c r="D2680" s="1">
        <v>45633</v>
      </c>
      <c r="E2680" s="4">
        <v>345.91</v>
      </c>
      <c r="F2680" s="3">
        <v>1</v>
      </c>
      <c r="G2680" s="6" t="s">
        <v>12</v>
      </c>
    </row>
    <row r="2681" spans="1:7" x14ac:dyDescent="0.3">
      <c r="A2681" s="2" t="s">
        <v>3374</v>
      </c>
      <c r="B2681" s="2" t="s">
        <v>3366</v>
      </c>
      <c r="C2681" s="6" t="s">
        <v>3367</v>
      </c>
      <c r="D2681" s="1">
        <v>45597</v>
      </c>
      <c r="E2681" s="4">
        <v>313.48</v>
      </c>
      <c r="F2681" s="3">
        <v>2</v>
      </c>
      <c r="G2681" s="6" t="s">
        <v>15</v>
      </c>
    </row>
    <row r="2682" spans="1:7" x14ac:dyDescent="0.3">
      <c r="A2682" s="2" t="s">
        <v>3375</v>
      </c>
      <c r="B2682" s="2" t="s">
        <v>3366</v>
      </c>
      <c r="C2682" s="6" t="s">
        <v>3367</v>
      </c>
      <c r="D2682" s="1">
        <v>45564</v>
      </c>
      <c r="E2682" s="4">
        <v>248.33</v>
      </c>
      <c r="F2682" s="3">
        <v>1</v>
      </c>
      <c r="G2682" s="6" t="s">
        <v>15</v>
      </c>
    </row>
    <row r="2683" spans="1:7" x14ac:dyDescent="0.3">
      <c r="A2683" s="2" t="s">
        <v>3376</v>
      </c>
      <c r="B2683" s="2" t="s">
        <v>3366</v>
      </c>
      <c r="C2683" s="6" t="s">
        <v>3367</v>
      </c>
      <c r="D2683" s="1">
        <v>45544</v>
      </c>
      <c r="E2683" s="4">
        <v>491.37</v>
      </c>
      <c r="F2683" s="3">
        <v>3</v>
      </c>
      <c r="G2683" s="6" t="s">
        <v>38</v>
      </c>
    </row>
    <row r="2684" spans="1:7" x14ac:dyDescent="0.3">
      <c r="A2684" s="2" t="s">
        <v>3377</v>
      </c>
      <c r="B2684" s="2" t="s">
        <v>3366</v>
      </c>
      <c r="C2684" s="6" t="s">
        <v>3367</v>
      </c>
      <c r="D2684" s="1">
        <v>45645</v>
      </c>
      <c r="E2684" s="4">
        <v>29.76</v>
      </c>
      <c r="F2684" s="3">
        <v>3</v>
      </c>
      <c r="G2684" s="6" t="s">
        <v>38</v>
      </c>
    </row>
    <row r="2685" spans="1:7" x14ac:dyDescent="0.3">
      <c r="A2685" s="2" t="s">
        <v>3378</v>
      </c>
      <c r="B2685" s="2" t="s">
        <v>3366</v>
      </c>
      <c r="C2685" s="6" t="s">
        <v>3367</v>
      </c>
      <c r="D2685" s="1">
        <v>45593</v>
      </c>
      <c r="E2685" s="4">
        <v>154.41</v>
      </c>
      <c r="F2685" s="3">
        <v>3</v>
      </c>
      <c r="G2685" s="6" t="s">
        <v>12</v>
      </c>
    </row>
    <row r="2686" spans="1:7" x14ac:dyDescent="0.3">
      <c r="A2686" s="2" t="s">
        <v>3379</v>
      </c>
      <c r="B2686" s="2" t="s">
        <v>3366</v>
      </c>
      <c r="C2686" s="6" t="s">
        <v>3367</v>
      </c>
      <c r="D2686" s="1">
        <v>45631</v>
      </c>
      <c r="E2686" s="4">
        <v>497.94</v>
      </c>
      <c r="F2686" s="3">
        <v>1</v>
      </c>
      <c r="G2686" s="6" t="s">
        <v>15</v>
      </c>
    </row>
    <row r="2687" spans="1:7" x14ac:dyDescent="0.3">
      <c r="A2687" s="2" t="s">
        <v>3380</v>
      </c>
      <c r="B2687" s="2" t="s">
        <v>3366</v>
      </c>
      <c r="C2687" s="6" t="s">
        <v>3367</v>
      </c>
      <c r="D2687" s="1">
        <v>45609</v>
      </c>
      <c r="E2687" s="4">
        <v>110.31</v>
      </c>
      <c r="F2687" s="3">
        <v>2</v>
      </c>
      <c r="G2687" s="6" t="s">
        <v>10</v>
      </c>
    </row>
    <row r="2688" spans="1:7" x14ac:dyDescent="0.3">
      <c r="A2688" s="2" t="s">
        <v>3381</v>
      </c>
      <c r="B2688" s="2" t="s">
        <v>3366</v>
      </c>
      <c r="C2688" s="6" t="s">
        <v>3367</v>
      </c>
      <c r="D2688" s="1">
        <v>45548</v>
      </c>
      <c r="E2688" s="4">
        <v>19.670000000000002</v>
      </c>
      <c r="F2688" s="3">
        <v>1</v>
      </c>
      <c r="G2688" s="6" t="s">
        <v>18</v>
      </c>
    </row>
    <row r="2689" spans="1:7" x14ac:dyDescent="0.3">
      <c r="A2689" s="2" t="s">
        <v>3382</v>
      </c>
      <c r="B2689" s="2" t="s">
        <v>3383</v>
      </c>
      <c r="C2689" s="6" t="s">
        <v>3384</v>
      </c>
      <c r="D2689" s="1">
        <v>45607</v>
      </c>
      <c r="E2689" s="4">
        <v>123.06</v>
      </c>
      <c r="F2689" s="3">
        <v>4</v>
      </c>
      <c r="G2689" s="6" t="s">
        <v>18</v>
      </c>
    </row>
    <row r="2690" spans="1:7" x14ac:dyDescent="0.3">
      <c r="A2690" s="2" t="s">
        <v>3385</v>
      </c>
      <c r="B2690" s="2" t="s">
        <v>3383</v>
      </c>
      <c r="C2690" s="6" t="s">
        <v>3384</v>
      </c>
      <c r="D2690" s="1">
        <v>45617</v>
      </c>
      <c r="E2690" s="4">
        <v>341.88</v>
      </c>
      <c r="F2690" s="3">
        <v>4</v>
      </c>
      <c r="G2690" s="6" t="s">
        <v>10</v>
      </c>
    </row>
    <row r="2691" spans="1:7" x14ac:dyDescent="0.3">
      <c r="A2691" s="2" t="s">
        <v>3386</v>
      </c>
      <c r="B2691" s="2" t="s">
        <v>3387</v>
      </c>
      <c r="C2691" s="6" t="s">
        <v>3388</v>
      </c>
      <c r="D2691" s="1">
        <v>45558</v>
      </c>
      <c r="E2691" s="4">
        <v>344.96</v>
      </c>
      <c r="F2691" s="3">
        <v>3</v>
      </c>
      <c r="G2691" s="6" t="s">
        <v>12</v>
      </c>
    </row>
    <row r="2692" spans="1:7" x14ac:dyDescent="0.3">
      <c r="A2692" s="2" t="s">
        <v>3389</v>
      </c>
      <c r="B2692" s="2" t="s">
        <v>3387</v>
      </c>
      <c r="C2692" s="6" t="s">
        <v>3388</v>
      </c>
      <c r="D2692" s="1">
        <v>45580</v>
      </c>
      <c r="E2692" s="4">
        <v>469.11</v>
      </c>
      <c r="F2692" s="3">
        <v>2</v>
      </c>
      <c r="G2692" s="6" t="s">
        <v>10</v>
      </c>
    </row>
    <row r="2693" spans="1:7" x14ac:dyDescent="0.3">
      <c r="A2693" s="2" t="s">
        <v>3390</v>
      </c>
      <c r="B2693" s="2" t="s">
        <v>3387</v>
      </c>
      <c r="C2693" s="6" t="s">
        <v>3388</v>
      </c>
      <c r="D2693" s="1">
        <v>45648</v>
      </c>
      <c r="E2693" s="4">
        <v>387.81</v>
      </c>
      <c r="F2693" s="3">
        <v>4</v>
      </c>
      <c r="G2693" s="6" t="s">
        <v>38</v>
      </c>
    </row>
    <row r="2694" spans="1:7" x14ac:dyDescent="0.3">
      <c r="A2694" s="2" t="s">
        <v>3391</v>
      </c>
      <c r="B2694" s="2" t="s">
        <v>3387</v>
      </c>
      <c r="C2694" s="6" t="s">
        <v>3388</v>
      </c>
      <c r="D2694" s="1">
        <v>45548</v>
      </c>
      <c r="E2694" s="4">
        <v>38.68</v>
      </c>
      <c r="F2694" s="3">
        <v>3</v>
      </c>
      <c r="G2694" s="6" t="s">
        <v>26</v>
      </c>
    </row>
    <row r="2695" spans="1:7" x14ac:dyDescent="0.3">
      <c r="A2695" s="2" t="s">
        <v>3392</v>
      </c>
      <c r="B2695" s="2" t="s">
        <v>3387</v>
      </c>
      <c r="C2695" s="6" t="s">
        <v>3388</v>
      </c>
      <c r="D2695" s="1">
        <v>45557</v>
      </c>
      <c r="E2695" s="4">
        <v>407.31</v>
      </c>
      <c r="F2695" s="3">
        <v>1</v>
      </c>
      <c r="G2695" s="6" t="s">
        <v>10</v>
      </c>
    </row>
    <row r="2696" spans="1:7" x14ac:dyDescent="0.3">
      <c r="A2696" s="2" t="s">
        <v>3393</v>
      </c>
      <c r="B2696" s="2" t="s">
        <v>3387</v>
      </c>
      <c r="C2696" s="6" t="s">
        <v>3388</v>
      </c>
      <c r="D2696" s="1">
        <v>45559</v>
      </c>
      <c r="E2696" s="4">
        <v>195.94</v>
      </c>
      <c r="F2696" s="3">
        <v>2</v>
      </c>
      <c r="G2696" s="6" t="s">
        <v>15</v>
      </c>
    </row>
    <row r="2697" spans="1:7" x14ac:dyDescent="0.3">
      <c r="A2697" s="2" t="s">
        <v>3394</v>
      </c>
      <c r="B2697" s="2" t="s">
        <v>3387</v>
      </c>
      <c r="C2697" s="6" t="s">
        <v>3388</v>
      </c>
      <c r="D2697" s="1">
        <v>45630</v>
      </c>
      <c r="E2697" s="4">
        <v>163.55000000000001</v>
      </c>
      <c r="F2697" s="3">
        <v>1</v>
      </c>
      <c r="G2697" s="6" t="s">
        <v>15</v>
      </c>
    </row>
    <row r="2698" spans="1:7" x14ac:dyDescent="0.3">
      <c r="A2698" s="2" t="s">
        <v>3395</v>
      </c>
      <c r="B2698" s="2" t="s">
        <v>3387</v>
      </c>
      <c r="C2698" s="6" t="s">
        <v>3388</v>
      </c>
      <c r="D2698" s="1">
        <v>45589</v>
      </c>
      <c r="E2698" s="4">
        <v>465.08</v>
      </c>
      <c r="F2698" s="3">
        <v>2</v>
      </c>
      <c r="G2698" s="6" t="s">
        <v>10</v>
      </c>
    </row>
    <row r="2699" spans="1:7" x14ac:dyDescent="0.3">
      <c r="A2699" s="2" t="s">
        <v>3396</v>
      </c>
      <c r="B2699" s="2" t="s">
        <v>3397</v>
      </c>
      <c r="C2699" s="6" t="s">
        <v>3398</v>
      </c>
      <c r="D2699" s="1">
        <v>45297</v>
      </c>
      <c r="E2699" s="4">
        <v>177.51</v>
      </c>
      <c r="F2699" s="3">
        <v>3</v>
      </c>
      <c r="G2699" s="6" t="s">
        <v>26</v>
      </c>
    </row>
    <row r="2700" spans="1:7" x14ac:dyDescent="0.3">
      <c r="A2700" s="2" t="s">
        <v>3399</v>
      </c>
      <c r="B2700" s="2" t="s">
        <v>3397</v>
      </c>
      <c r="C2700" s="6" t="s">
        <v>3398</v>
      </c>
      <c r="D2700" s="1">
        <v>45287</v>
      </c>
      <c r="E2700" s="4">
        <v>186.18</v>
      </c>
      <c r="F2700" s="3">
        <v>3</v>
      </c>
      <c r="G2700" s="6" t="s">
        <v>12</v>
      </c>
    </row>
    <row r="2701" spans="1:7" x14ac:dyDescent="0.3">
      <c r="A2701" s="2" t="s">
        <v>3400</v>
      </c>
      <c r="B2701" s="2" t="s">
        <v>3401</v>
      </c>
      <c r="C2701" s="6" t="s">
        <v>3402</v>
      </c>
      <c r="D2701" s="1">
        <v>45417</v>
      </c>
      <c r="E2701" s="4">
        <v>109.47</v>
      </c>
      <c r="F2701" s="3">
        <v>3</v>
      </c>
      <c r="G2701" s="6" t="s">
        <v>10</v>
      </c>
    </row>
    <row r="2702" spans="1:7" x14ac:dyDescent="0.3">
      <c r="A2702" s="2" t="s">
        <v>3403</v>
      </c>
      <c r="B2702" s="2" t="s">
        <v>3401</v>
      </c>
      <c r="C2702" s="6" t="s">
        <v>3402</v>
      </c>
      <c r="D2702" s="1">
        <v>45358</v>
      </c>
      <c r="E2702" s="4">
        <v>168.88</v>
      </c>
      <c r="F2702" s="3">
        <v>4</v>
      </c>
      <c r="G2702" s="6" t="s">
        <v>18</v>
      </c>
    </row>
    <row r="2703" spans="1:7" x14ac:dyDescent="0.3">
      <c r="A2703" s="2" t="s">
        <v>3404</v>
      </c>
      <c r="B2703" s="2" t="s">
        <v>3401</v>
      </c>
      <c r="C2703" s="6" t="s">
        <v>3402</v>
      </c>
      <c r="D2703" s="1">
        <v>45525</v>
      </c>
      <c r="E2703" s="4">
        <v>134.09</v>
      </c>
      <c r="F2703" s="3">
        <v>1</v>
      </c>
      <c r="G2703" s="6" t="s">
        <v>18</v>
      </c>
    </row>
    <row r="2704" spans="1:7" x14ac:dyDescent="0.3">
      <c r="A2704" s="2" t="s">
        <v>3405</v>
      </c>
      <c r="B2704" s="2" t="s">
        <v>3401</v>
      </c>
      <c r="C2704" s="6" t="s">
        <v>3402</v>
      </c>
      <c r="D2704" s="1">
        <v>45625</v>
      </c>
      <c r="E2704" s="4">
        <v>34.08</v>
      </c>
      <c r="F2704" s="3">
        <v>1</v>
      </c>
      <c r="G2704" s="6" t="s">
        <v>12</v>
      </c>
    </row>
    <row r="2705" spans="1:7" x14ac:dyDescent="0.3">
      <c r="A2705" s="2" t="s">
        <v>3406</v>
      </c>
      <c r="B2705" s="2" t="s">
        <v>3401</v>
      </c>
      <c r="C2705" s="6" t="s">
        <v>3402</v>
      </c>
      <c r="D2705" s="1">
        <v>45351</v>
      </c>
      <c r="E2705" s="4">
        <v>333.59</v>
      </c>
      <c r="F2705" s="3">
        <v>1</v>
      </c>
      <c r="G2705" s="6" t="s">
        <v>26</v>
      </c>
    </row>
    <row r="2706" spans="1:7" x14ac:dyDescent="0.3">
      <c r="A2706" s="2" t="s">
        <v>3407</v>
      </c>
      <c r="B2706" s="2" t="s">
        <v>3401</v>
      </c>
      <c r="C2706" s="6" t="s">
        <v>3402</v>
      </c>
      <c r="D2706" s="1">
        <v>45555</v>
      </c>
      <c r="E2706" s="4">
        <v>173.15</v>
      </c>
      <c r="F2706" s="3">
        <v>3</v>
      </c>
      <c r="G2706" s="6" t="s">
        <v>10</v>
      </c>
    </row>
    <row r="2707" spans="1:7" x14ac:dyDescent="0.3">
      <c r="A2707" s="2" t="s">
        <v>3408</v>
      </c>
      <c r="B2707" s="2" t="s">
        <v>3409</v>
      </c>
      <c r="C2707" s="6" t="s">
        <v>3410</v>
      </c>
      <c r="D2707" s="1">
        <v>45625</v>
      </c>
      <c r="E2707" s="4">
        <v>400.92</v>
      </c>
      <c r="F2707" s="3">
        <v>4</v>
      </c>
      <c r="G2707" s="6" t="s">
        <v>15</v>
      </c>
    </row>
    <row r="2708" spans="1:7" x14ac:dyDescent="0.3">
      <c r="A2708" s="2" t="s">
        <v>3411</v>
      </c>
      <c r="B2708" s="2" t="s">
        <v>3409</v>
      </c>
      <c r="C2708" s="6" t="s">
        <v>3410</v>
      </c>
      <c r="D2708" s="1">
        <v>45556</v>
      </c>
      <c r="E2708" s="4">
        <v>15.23</v>
      </c>
      <c r="F2708" s="3">
        <v>4</v>
      </c>
      <c r="G2708" s="6" t="s">
        <v>15</v>
      </c>
    </row>
    <row r="2709" spans="1:7" x14ac:dyDescent="0.3">
      <c r="A2709" s="2" t="s">
        <v>3412</v>
      </c>
      <c r="B2709" s="2" t="s">
        <v>3409</v>
      </c>
      <c r="C2709" s="6" t="s">
        <v>3410</v>
      </c>
      <c r="D2709" s="1">
        <v>45488</v>
      </c>
      <c r="E2709" s="4">
        <v>60.66</v>
      </c>
      <c r="F2709" s="3">
        <v>4</v>
      </c>
      <c r="G2709" s="6" t="s">
        <v>38</v>
      </c>
    </row>
    <row r="2710" spans="1:7" x14ac:dyDescent="0.3">
      <c r="A2710" s="2" t="s">
        <v>3413</v>
      </c>
      <c r="B2710" s="2" t="s">
        <v>3409</v>
      </c>
      <c r="C2710" s="6" t="s">
        <v>3410</v>
      </c>
      <c r="D2710" s="1">
        <v>45469</v>
      </c>
      <c r="E2710" s="4">
        <v>310.72000000000003</v>
      </c>
      <c r="F2710" s="3">
        <v>4</v>
      </c>
      <c r="G2710" s="6" t="s">
        <v>10</v>
      </c>
    </row>
    <row r="2711" spans="1:7" x14ac:dyDescent="0.3">
      <c r="A2711" s="2" t="s">
        <v>3414</v>
      </c>
      <c r="B2711" s="2" t="s">
        <v>3409</v>
      </c>
      <c r="C2711" s="6" t="s">
        <v>3410</v>
      </c>
      <c r="D2711" s="1">
        <v>45460</v>
      </c>
      <c r="E2711" s="4">
        <v>99.89</v>
      </c>
      <c r="F2711" s="3">
        <v>4</v>
      </c>
      <c r="G2711" s="6" t="s">
        <v>26</v>
      </c>
    </row>
    <row r="2712" spans="1:7" x14ac:dyDescent="0.3">
      <c r="A2712" s="2" t="s">
        <v>3415</v>
      </c>
      <c r="B2712" s="2" t="s">
        <v>3416</v>
      </c>
      <c r="C2712" s="6" t="s">
        <v>3417</v>
      </c>
      <c r="D2712" s="1">
        <v>45218</v>
      </c>
      <c r="E2712" s="4">
        <v>16.84</v>
      </c>
      <c r="F2712" s="3">
        <v>4</v>
      </c>
      <c r="G2712" s="6" t="s">
        <v>15</v>
      </c>
    </row>
    <row r="2713" spans="1:7" x14ac:dyDescent="0.3">
      <c r="A2713" s="2" t="s">
        <v>3418</v>
      </c>
      <c r="B2713" s="2" t="s">
        <v>3416</v>
      </c>
      <c r="C2713" s="6" t="s">
        <v>3417</v>
      </c>
      <c r="D2713" s="1">
        <v>45364</v>
      </c>
      <c r="E2713" s="4">
        <v>309.63</v>
      </c>
      <c r="F2713" s="3">
        <v>2</v>
      </c>
      <c r="G2713" s="6" t="s">
        <v>15</v>
      </c>
    </row>
    <row r="2714" spans="1:7" x14ac:dyDescent="0.3">
      <c r="A2714" s="2" t="s">
        <v>3419</v>
      </c>
      <c r="B2714" s="2" t="s">
        <v>3416</v>
      </c>
      <c r="C2714" s="6" t="s">
        <v>3417</v>
      </c>
      <c r="D2714" s="1">
        <v>45641</v>
      </c>
      <c r="E2714" s="4">
        <v>62.9</v>
      </c>
      <c r="F2714" s="3">
        <v>2</v>
      </c>
      <c r="G2714" s="6" t="s">
        <v>10</v>
      </c>
    </row>
    <row r="2715" spans="1:7" x14ac:dyDescent="0.3">
      <c r="A2715" s="2" t="s">
        <v>3420</v>
      </c>
      <c r="B2715" s="2" t="s">
        <v>3416</v>
      </c>
      <c r="C2715" s="6" t="s">
        <v>3417</v>
      </c>
      <c r="D2715" s="1">
        <v>45100</v>
      </c>
      <c r="E2715" s="4">
        <v>265.12</v>
      </c>
      <c r="F2715" s="3">
        <v>3</v>
      </c>
      <c r="G2715" s="6" t="s">
        <v>26</v>
      </c>
    </row>
    <row r="2716" spans="1:7" x14ac:dyDescent="0.3">
      <c r="A2716" s="2" t="s">
        <v>3421</v>
      </c>
      <c r="B2716" s="2" t="s">
        <v>3416</v>
      </c>
      <c r="C2716" s="6" t="s">
        <v>3417</v>
      </c>
      <c r="D2716" s="1">
        <v>45191</v>
      </c>
      <c r="E2716" s="4">
        <v>217</v>
      </c>
      <c r="F2716" s="3">
        <v>1</v>
      </c>
      <c r="G2716" s="6" t="s">
        <v>38</v>
      </c>
    </row>
    <row r="2717" spans="1:7" x14ac:dyDescent="0.3">
      <c r="A2717" s="2" t="s">
        <v>3422</v>
      </c>
      <c r="B2717" s="2" t="s">
        <v>3416</v>
      </c>
      <c r="C2717" s="6" t="s">
        <v>3417</v>
      </c>
      <c r="D2717" s="1">
        <v>45360</v>
      </c>
      <c r="E2717" s="4">
        <v>97.86</v>
      </c>
      <c r="F2717" s="3">
        <v>3</v>
      </c>
      <c r="G2717" s="6" t="s">
        <v>38</v>
      </c>
    </row>
    <row r="2718" spans="1:7" x14ac:dyDescent="0.3">
      <c r="A2718" s="2" t="s">
        <v>3423</v>
      </c>
      <c r="B2718" s="2" t="s">
        <v>3416</v>
      </c>
      <c r="C2718" s="6" t="s">
        <v>3417</v>
      </c>
      <c r="D2718" s="1">
        <v>45026</v>
      </c>
      <c r="E2718" s="4">
        <v>171.4</v>
      </c>
      <c r="F2718" s="3">
        <v>3</v>
      </c>
      <c r="G2718" s="6" t="s">
        <v>26</v>
      </c>
    </row>
    <row r="2719" spans="1:7" x14ac:dyDescent="0.3">
      <c r="A2719" s="2" t="s">
        <v>3424</v>
      </c>
      <c r="B2719" s="2" t="s">
        <v>3416</v>
      </c>
      <c r="C2719" s="6" t="s">
        <v>3417</v>
      </c>
      <c r="D2719" s="1">
        <v>45146</v>
      </c>
      <c r="E2719" s="4">
        <v>72.510000000000005</v>
      </c>
      <c r="F2719" s="3">
        <v>2</v>
      </c>
      <c r="G2719" s="6" t="s">
        <v>10</v>
      </c>
    </row>
    <row r="2720" spans="1:7" x14ac:dyDescent="0.3">
      <c r="A2720" s="2" t="s">
        <v>3425</v>
      </c>
      <c r="B2720" s="2" t="s">
        <v>3416</v>
      </c>
      <c r="C2720" s="6" t="s">
        <v>3417</v>
      </c>
      <c r="D2720" s="1">
        <v>45532</v>
      </c>
      <c r="E2720" s="4">
        <v>449.79</v>
      </c>
      <c r="F2720" s="3">
        <v>2</v>
      </c>
      <c r="G2720" s="6" t="s">
        <v>10</v>
      </c>
    </row>
    <row r="2721" spans="1:7" x14ac:dyDescent="0.3">
      <c r="A2721" s="2" t="s">
        <v>3426</v>
      </c>
      <c r="B2721" s="2" t="s">
        <v>3416</v>
      </c>
      <c r="C2721" s="6" t="s">
        <v>3417</v>
      </c>
      <c r="D2721" s="1">
        <v>45539</v>
      </c>
      <c r="E2721" s="4">
        <v>349.67</v>
      </c>
      <c r="F2721" s="3">
        <v>4</v>
      </c>
      <c r="G2721" s="6" t="s">
        <v>15</v>
      </c>
    </row>
    <row r="2722" spans="1:7" x14ac:dyDescent="0.3">
      <c r="A2722" s="2" t="s">
        <v>3427</v>
      </c>
      <c r="B2722" s="2" t="s">
        <v>3416</v>
      </c>
      <c r="C2722" s="6" t="s">
        <v>3417</v>
      </c>
      <c r="D2722" s="1">
        <v>45076</v>
      </c>
      <c r="E2722" s="4">
        <v>265.23</v>
      </c>
      <c r="F2722" s="3">
        <v>4</v>
      </c>
      <c r="G2722" s="6" t="s">
        <v>15</v>
      </c>
    </row>
    <row r="2723" spans="1:7" x14ac:dyDescent="0.3">
      <c r="A2723" s="2" t="s">
        <v>3428</v>
      </c>
      <c r="B2723" s="2" t="s">
        <v>3416</v>
      </c>
      <c r="C2723" s="6" t="s">
        <v>3417</v>
      </c>
      <c r="D2723" s="1">
        <v>45573</v>
      </c>
      <c r="E2723" s="4">
        <v>23.89</v>
      </c>
      <c r="F2723" s="3">
        <v>1</v>
      </c>
      <c r="G2723" s="6" t="s">
        <v>38</v>
      </c>
    </row>
    <row r="2724" spans="1:7" x14ac:dyDescent="0.3">
      <c r="A2724" s="2" t="s">
        <v>3429</v>
      </c>
      <c r="B2724" s="2" t="s">
        <v>3416</v>
      </c>
      <c r="C2724" s="6" t="s">
        <v>3417</v>
      </c>
      <c r="D2724" s="1">
        <v>45625</v>
      </c>
      <c r="E2724" s="4">
        <v>136.93</v>
      </c>
      <c r="F2724" s="3">
        <v>3</v>
      </c>
      <c r="G2724" s="6" t="s">
        <v>18</v>
      </c>
    </row>
    <row r="2725" spans="1:7" x14ac:dyDescent="0.3">
      <c r="A2725" s="2" t="s">
        <v>3430</v>
      </c>
      <c r="B2725" s="2" t="s">
        <v>3416</v>
      </c>
      <c r="C2725" s="6" t="s">
        <v>3417</v>
      </c>
      <c r="D2725" s="1">
        <v>45012</v>
      </c>
      <c r="E2725" s="4">
        <v>29.76</v>
      </c>
      <c r="F2725" s="3">
        <v>2</v>
      </c>
      <c r="G2725" s="6" t="s">
        <v>15</v>
      </c>
    </row>
    <row r="2726" spans="1:7" x14ac:dyDescent="0.3">
      <c r="A2726" s="2" t="s">
        <v>3431</v>
      </c>
      <c r="B2726" s="2" t="s">
        <v>3416</v>
      </c>
      <c r="C2726" s="6" t="s">
        <v>3417</v>
      </c>
      <c r="D2726" s="1">
        <v>45250</v>
      </c>
      <c r="E2726" s="4">
        <v>175.5</v>
      </c>
      <c r="F2726" s="3">
        <v>3</v>
      </c>
      <c r="G2726" s="6" t="s">
        <v>12</v>
      </c>
    </row>
    <row r="2727" spans="1:7" x14ac:dyDescent="0.3">
      <c r="A2727" s="2" t="s">
        <v>3432</v>
      </c>
      <c r="B2727" s="2" t="s">
        <v>3433</v>
      </c>
      <c r="C2727" s="6" t="s">
        <v>3434</v>
      </c>
      <c r="D2727" s="1">
        <v>45324</v>
      </c>
      <c r="E2727" s="4">
        <v>142.63</v>
      </c>
      <c r="F2727" s="3">
        <v>2</v>
      </c>
      <c r="G2727" s="6" t="s">
        <v>10</v>
      </c>
    </row>
    <row r="2728" spans="1:7" x14ac:dyDescent="0.3">
      <c r="A2728" s="2" t="s">
        <v>3435</v>
      </c>
      <c r="B2728" s="2" t="s">
        <v>3433</v>
      </c>
      <c r="C2728" s="6" t="s">
        <v>3434</v>
      </c>
      <c r="D2728" s="1">
        <v>45091</v>
      </c>
      <c r="E2728" s="4">
        <v>473.43</v>
      </c>
      <c r="F2728" s="3">
        <v>3</v>
      </c>
      <c r="G2728" s="6" t="s">
        <v>15</v>
      </c>
    </row>
    <row r="2729" spans="1:7" x14ac:dyDescent="0.3">
      <c r="A2729" s="2" t="s">
        <v>3436</v>
      </c>
      <c r="B2729" s="2" t="s">
        <v>3433</v>
      </c>
      <c r="C2729" s="6" t="s">
        <v>3434</v>
      </c>
      <c r="D2729" s="1">
        <v>45256</v>
      </c>
      <c r="E2729" s="4">
        <v>48.54</v>
      </c>
      <c r="F2729" s="3">
        <v>4</v>
      </c>
      <c r="G2729" s="6" t="s">
        <v>26</v>
      </c>
    </row>
    <row r="2730" spans="1:7" x14ac:dyDescent="0.3">
      <c r="A2730" s="2" t="s">
        <v>3437</v>
      </c>
      <c r="B2730" s="2" t="s">
        <v>3433</v>
      </c>
      <c r="C2730" s="6" t="s">
        <v>3434</v>
      </c>
      <c r="D2730" s="1">
        <v>45520</v>
      </c>
      <c r="E2730" s="4">
        <v>252.54</v>
      </c>
      <c r="F2730" s="3">
        <v>2</v>
      </c>
      <c r="G2730" s="6" t="s">
        <v>38</v>
      </c>
    </row>
    <row r="2731" spans="1:7" x14ac:dyDescent="0.3">
      <c r="A2731" s="2" t="s">
        <v>3438</v>
      </c>
      <c r="B2731" s="2" t="s">
        <v>3433</v>
      </c>
      <c r="C2731" s="6" t="s">
        <v>3434</v>
      </c>
      <c r="D2731" s="1">
        <v>45225</v>
      </c>
      <c r="E2731" s="4">
        <v>110.98</v>
      </c>
      <c r="F2731" s="3">
        <v>1</v>
      </c>
      <c r="G2731" s="6" t="s">
        <v>18</v>
      </c>
    </row>
    <row r="2732" spans="1:7" x14ac:dyDescent="0.3">
      <c r="A2732" s="2" t="s">
        <v>3439</v>
      </c>
      <c r="B2732" s="2" t="s">
        <v>3433</v>
      </c>
      <c r="C2732" s="6" t="s">
        <v>3434</v>
      </c>
      <c r="D2732" s="1">
        <v>45039</v>
      </c>
      <c r="E2732" s="4">
        <v>113.35</v>
      </c>
      <c r="F2732" s="3">
        <v>4</v>
      </c>
      <c r="G2732" s="6" t="s">
        <v>10</v>
      </c>
    </row>
    <row r="2733" spans="1:7" x14ac:dyDescent="0.3">
      <c r="A2733" s="2" t="s">
        <v>3440</v>
      </c>
      <c r="B2733" s="2" t="s">
        <v>3433</v>
      </c>
      <c r="C2733" s="6" t="s">
        <v>3434</v>
      </c>
      <c r="D2733" s="1">
        <v>45609</v>
      </c>
      <c r="E2733" s="4">
        <v>452.52</v>
      </c>
      <c r="F2733" s="3">
        <v>4</v>
      </c>
      <c r="G2733" s="6" t="s">
        <v>15</v>
      </c>
    </row>
    <row r="2734" spans="1:7" x14ac:dyDescent="0.3">
      <c r="A2734" s="2" t="s">
        <v>3441</v>
      </c>
      <c r="B2734" s="2" t="s">
        <v>3442</v>
      </c>
      <c r="C2734" s="6" t="s">
        <v>3443</v>
      </c>
      <c r="D2734" s="1">
        <v>45307</v>
      </c>
      <c r="E2734" s="4">
        <v>313.52999999999997</v>
      </c>
      <c r="F2734" s="3">
        <v>1</v>
      </c>
      <c r="G2734" s="6" t="s">
        <v>18</v>
      </c>
    </row>
    <row r="2735" spans="1:7" x14ac:dyDescent="0.3">
      <c r="A2735" s="2" t="s">
        <v>3444</v>
      </c>
      <c r="B2735" s="2" t="s">
        <v>3442</v>
      </c>
      <c r="C2735" s="6" t="s">
        <v>3443</v>
      </c>
      <c r="D2735" s="1">
        <v>45223</v>
      </c>
      <c r="E2735" s="4">
        <v>395.05</v>
      </c>
      <c r="F2735" s="3">
        <v>4</v>
      </c>
      <c r="G2735" s="6" t="s">
        <v>15</v>
      </c>
    </row>
    <row r="2736" spans="1:7" x14ac:dyDescent="0.3">
      <c r="A2736" s="2" t="s">
        <v>3445</v>
      </c>
      <c r="B2736" s="2" t="s">
        <v>3442</v>
      </c>
      <c r="C2736" s="6" t="s">
        <v>3443</v>
      </c>
      <c r="D2736" s="1">
        <v>45512</v>
      </c>
      <c r="E2736" s="4">
        <v>174.32</v>
      </c>
      <c r="F2736" s="3">
        <v>1</v>
      </c>
      <c r="G2736" s="6" t="s">
        <v>10</v>
      </c>
    </row>
    <row r="2737" spans="1:7" x14ac:dyDescent="0.3">
      <c r="A2737" s="2" t="s">
        <v>3446</v>
      </c>
      <c r="B2737" s="2" t="s">
        <v>3442</v>
      </c>
      <c r="C2737" s="6" t="s">
        <v>3443</v>
      </c>
      <c r="D2737" s="1">
        <v>45271</v>
      </c>
      <c r="E2737" s="4">
        <v>412.57</v>
      </c>
      <c r="F2737" s="3">
        <v>1</v>
      </c>
      <c r="G2737" s="6" t="s">
        <v>15</v>
      </c>
    </row>
    <row r="2738" spans="1:7" x14ac:dyDescent="0.3">
      <c r="A2738" s="2" t="s">
        <v>3447</v>
      </c>
      <c r="B2738" s="2" t="s">
        <v>3442</v>
      </c>
      <c r="C2738" s="6" t="s">
        <v>3443</v>
      </c>
      <c r="D2738" s="1">
        <v>45517</v>
      </c>
      <c r="E2738" s="4">
        <v>239.2</v>
      </c>
      <c r="F2738" s="3">
        <v>1</v>
      </c>
      <c r="G2738" s="6" t="s">
        <v>10</v>
      </c>
    </row>
    <row r="2739" spans="1:7" x14ac:dyDescent="0.3">
      <c r="A2739" s="2" t="s">
        <v>3448</v>
      </c>
      <c r="B2739" s="2" t="s">
        <v>3442</v>
      </c>
      <c r="C2739" s="6" t="s">
        <v>3443</v>
      </c>
      <c r="D2739" s="1">
        <v>45084</v>
      </c>
      <c r="E2739" s="4">
        <v>32.090000000000003</v>
      </c>
      <c r="F2739" s="3">
        <v>4</v>
      </c>
      <c r="G2739" s="6" t="s">
        <v>18</v>
      </c>
    </row>
    <row r="2740" spans="1:7" x14ac:dyDescent="0.3">
      <c r="A2740" s="2" t="s">
        <v>3449</v>
      </c>
      <c r="B2740" s="2" t="s">
        <v>3442</v>
      </c>
      <c r="C2740" s="6" t="s">
        <v>3443</v>
      </c>
      <c r="D2740" s="1">
        <v>45637</v>
      </c>
      <c r="E2740" s="4">
        <v>239.25</v>
      </c>
      <c r="F2740" s="3">
        <v>1</v>
      </c>
      <c r="G2740" s="6" t="s">
        <v>15</v>
      </c>
    </row>
    <row r="2741" spans="1:7" x14ac:dyDescent="0.3">
      <c r="A2741" s="2" t="s">
        <v>3450</v>
      </c>
      <c r="B2741" s="2" t="s">
        <v>3451</v>
      </c>
      <c r="C2741" s="6" t="s">
        <v>3452</v>
      </c>
      <c r="D2741" s="1">
        <v>45526</v>
      </c>
      <c r="E2741" s="4">
        <v>418.73</v>
      </c>
      <c r="F2741" s="3">
        <v>4</v>
      </c>
      <c r="G2741" s="6" t="s">
        <v>26</v>
      </c>
    </row>
    <row r="2742" spans="1:7" x14ac:dyDescent="0.3">
      <c r="A2742" s="2" t="s">
        <v>3453</v>
      </c>
      <c r="B2742" s="2" t="s">
        <v>3451</v>
      </c>
      <c r="C2742" s="6" t="s">
        <v>3452</v>
      </c>
      <c r="D2742" s="1">
        <v>45436</v>
      </c>
      <c r="E2742" s="4">
        <v>106.68</v>
      </c>
      <c r="F2742" s="3">
        <v>3</v>
      </c>
      <c r="G2742" s="6" t="s">
        <v>18</v>
      </c>
    </row>
    <row r="2743" spans="1:7" x14ac:dyDescent="0.3">
      <c r="A2743" s="2" t="s">
        <v>3454</v>
      </c>
      <c r="B2743" s="2" t="s">
        <v>3451</v>
      </c>
      <c r="C2743" s="6" t="s">
        <v>3452</v>
      </c>
      <c r="D2743" s="1">
        <v>45590</v>
      </c>
      <c r="E2743" s="4">
        <v>447.15</v>
      </c>
      <c r="F2743" s="3">
        <v>2</v>
      </c>
      <c r="G2743" s="6" t="s">
        <v>10</v>
      </c>
    </row>
    <row r="2744" spans="1:7" x14ac:dyDescent="0.3">
      <c r="A2744" s="2" t="s">
        <v>3455</v>
      </c>
      <c r="B2744" s="2" t="s">
        <v>3451</v>
      </c>
      <c r="C2744" s="6" t="s">
        <v>3452</v>
      </c>
      <c r="D2744" s="1">
        <v>45414</v>
      </c>
      <c r="E2744" s="4">
        <v>87.68</v>
      </c>
      <c r="F2744" s="3">
        <v>4</v>
      </c>
      <c r="G2744" s="6" t="s">
        <v>38</v>
      </c>
    </row>
    <row r="2745" spans="1:7" x14ac:dyDescent="0.3">
      <c r="A2745" s="2" t="s">
        <v>3456</v>
      </c>
      <c r="B2745" s="2" t="s">
        <v>3451</v>
      </c>
      <c r="C2745" s="6" t="s">
        <v>3452</v>
      </c>
      <c r="D2745" s="1">
        <v>45435</v>
      </c>
      <c r="E2745" s="4">
        <v>232.15</v>
      </c>
      <c r="F2745" s="3">
        <v>4</v>
      </c>
      <c r="G2745" s="6" t="s">
        <v>10</v>
      </c>
    </row>
    <row r="2746" spans="1:7" x14ac:dyDescent="0.3">
      <c r="A2746" s="2" t="s">
        <v>3457</v>
      </c>
      <c r="B2746" s="2" t="s">
        <v>3451</v>
      </c>
      <c r="C2746" s="6" t="s">
        <v>3452</v>
      </c>
      <c r="D2746" s="1">
        <v>45521</v>
      </c>
      <c r="E2746" s="4">
        <v>484.25</v>
      </c>
      <c r="F2746" s="3">
        <v>2</v>
      </c>
      <c r="G2746" s="6" t="s">
        <v>38</v>
      </c>
    </row>
    <row r="2747" spans="1:7" x14ac:dyDescent="0.3">
      <c r="A2747" s="2" t="s">
        <v>3458</v>
      </c>
      <c r="B2747" s="2" t="s">
        <v>3451</v>
      </c>
      <c r="C2747" s="6" t="s">
        <v>3452</v>
      </c>
      <c r="D2747" s="1">
        <v>45426</v>
      </c>
      <c r="E2747" s="4">
        <v>65.42</v>
      </c>
      <c r="F2747" s="3">
        <v>1</v>
      </c>
      <c r="G2747" s="6" t="s">
        <v>38</v>
      </c>
    </row>
    <row r="2748" spans="1:7" x14ac:dyDescent="0.3">
      <c r="A2748" s="2" t="s">
        <v>3459</v>
      </c>
      <c r="B2748" s="2" t="s">
        <v>3451</v>
      </c>
      <c r="C2748" s="6" t="s">
        <v>3452</v>
      </c>
      <c r="D2748" s="1">
        <v>45641</v>
      </c>
      <c r="E2748" s="4">
        <v>307.77999999999997</v>
      </c>
      <c r="F2748" s="3">
        <v>3</v>
      </c>
      <c r="G2748" s="6" t="s">
        <v>26</v>
      </c>
    </row>
    <row r="2749" spans="1:7" x14ac:dyDescent="0.3">
      <c r="A2749" s="2" t="s">
        <v>3460</v>
      </c>
      <c r="B2749" s="2" t="s">
        <v>3451</v>
      </c>
      <c r="C2749" s="6" t="s">
        <v>3452</v>
      </c>
      <c r="D2749" s="1">
        <v>45597</v>
      </c>
      <c r="E2749" s="4">
        <v>200.19</v>
      </c>
      <c r="F2749" s="3">
        <v>3</v>
      </c>
      <c r="G2749" s="6" t="s">
        <v>26</v>
      </c>
    </row>
    <row r="2750" spans="1:7" x14ac:dyDescent="0.3">
      <c r="A2750" s="2" t="s">
        <v>3461</v>
      </c>
      <c r="B2750" s="2" t="s">
        <v>3451</v>
      </c>
      <c r="C2750" s="6" t="s">
        <v>3452</v>
      </c>
      <c r="D2750" s="1">
        <v>45638</v>
      </c>
      <c r="E2750" s="4">
        <v>255.11</v>
      </c>
      <c r="F2750" s="3">
        <v>2</v>
      </c>
      <c r="G2750" s="6" t="s">
        <v>12</v>
      </c>
    </row>
    <row r="2751" spans="1:7" x14ac:dyDescent="0.3">
      <c r="A2751" s="2" t="s">
        <v>3462</v>
      </c>
      <c r="B2751" s="2" t="s">
        <v>3451</v>
      </c>
      <c r="C2751" s="6" t="s">
        <v>3452</v>
      </c>
      <c r="D2751" s="1">
        <v>45432</v>
      </c>
      <c r="E2751" s="4">
        <v>93.63</v>
      </c>
      <c r="F2751" s="3">
        <v>3</v>
      </c>
      <c r="G2751" s="6" t="s">
        <v>12</v>
      </c>
    </row>
    <row r="2752" spans="1:7" x14ac:dyDescent="0.3">
      <c r="A2752" s="2" t="s">
        <v>3463</v>
      </c>
      <c r="B2752" s="2" t="s">
        <v>3451</v>
      </c>
      <c r="C2752" s="6" t="s">
        <v>3452</v>
      </c>
      <c r="D2752" s="1">
        <v>45495</v>
      </c>
      <c r="E2752" s="4">
        <v>416.54</v>
      </c>
      <c r="F2752" s="3">
        <v>2</v>
      </c>
      <c r="G2752" s="6" t="s">
        <v>15</v>
      </c>
    </row>
    <row r="2753" spans="1:7" x14ac:dyDescent="0.3">
      <c r="A2753" s="2" t="s">
        <v>3464</v>
      </c>
      <c r="B2753" s="2" t="s">
        <v>3451</v>
      </c>
      <c r="C2753" s="6" t="s">
        <v>3452</v>
      </c>
      <c r="D2753" s="1">
        <v>45527</v>
      </c>
      <c r="E2753" s="4">
        <v>354.52</v>
      </c>
      <c r="F2753" s="3">
        <v>1</v>
      </c>
      <c r="G2753" s="6" t="s">
        <v>10</v>
      </c>
    </row>
    <row r="2754" spans="1:7" x14ac:dyDescent="0.3">
      <c r="A2754" s="2" t="s">
        <v>3465</v>
      </c>
      <c r="B2754" s="2" t="s">
        <v>3451</v>
      </c>
      <c r="C2754" s="6" t="s">
        <v>3452</v>
      </c>
      <c r="D2754" s="1">
        <v>45534</v>
      </c>
      <c r="E2754" s="4">
        <v>478.56</v>
      </c>
      <c r="F2754" s="3">
        <v>2</v>
      </c>
      <c r="G2754" s="6" t="s">
        <v>10</v>
      </c>
    </row>
    <row r="2755" spans="1:7" x14ac:dyDescent="0.3">
      <c r="A2755" s="2" t="s">
        <v>3466</v>
      </c>
      <c r="B2755" s="2" t="s">
        <v>3467</v>
      </c>
      <c r="C2755" s="6" t="s">
        <v>3468</v>
      </c>
      <c r="D2755" s="1">
        <v>45627</v>
      </c>
      <c r="E2755" s="4">
        <v>360.67</v>
      </c>
      <c r="F2755" s="3">
        <v>4</v>
      </c>
      <c r="G2755" s="6" t="s">
        <v>38</v>
      </c>
    </row>
    <row r="2756" spans="1:7" x14ac:dyDescent="0.3">
      <c r="A2756" s="2" t="s">
        <v>3469</v>
      </c>
      <c r="B2756" s="2" t="s">
        <v>3467</v>
      </c>
      <c r="C2756" s="6" t="s">
        <v>3468</v>
      </c>
      <c r="D2756" s="1">
        <v>45644</v>
      </c>
      <c r="E2756" s="4">
        <v>298.97000000000003</v>
      </c>
      <c r="F2756" s="3">
        <v>1</v>
      </c>
      <c r="G2756" s="6" t="s">
        <v>12</v>
      </c>
    </row>
    <row r="2757" spans="1:7" x14ac:dyDescent="0.3">
      <c r="A2757" s="2" t="s">
        <v>3470</v>
      </c>
      <c r="B2757" s="2" t="s">
        <v>3467</v>
      </c>
      <c r="C2757" s="6" t="s">
        <v>3468</v>
      </c>
      <c r="D2757" s="1">
        <v>45632</v>
      </c>
      <c r="E2757" s="4">
        <v>405.53</v>
      </c>
      <c r="F2757" s="3">
        <v>1</v>
      </c>
      <c r="G2757" s="6" t="s">
        <v>10</v>
      </c>
    </row>
    <row r="2758" spans="1:7" x14ac:dyDescent="0.3">
      <c r="A2758" s="2" t="s">
        <v>3471</v>
      </c>
      <c r="B2758" s="2" t="s">
        <v>3467</v>
      </c>
      <c r="C2758" s="6" t="s">
        <v>3468</v>
      </c>
      <c r="D2758" s="1">
        <v>45650</v>
      </c>
      <c r="E2758" s="4">
        <v>426.49</v>
      </c>
      <c r="F2758" s="3">
        <v>2</v>
      </c>
      <c r="G2758" s="6" t="s">
        <v>10</v>
      </c>
    </row>
    <row r="2759" spans="1:7" x14ac:dyDescent="0.3">
      <c r="A2759" s="2" t="s">
        <v>3472</v>
      </c>
      <c r="B2759" s="2" t="s">
        <v>3467</v>
      </c>
      <c r="C2759" s="6" t="s">
        <v>3468</v>
      </c>
      <c r="D2759" s="1">
        <v>45622</v>
      </c>
      <c r="E2759" s="4">
        <v>232.7</v>
      </c>
      <c r="F2759" s="3">
        <v>2</v>
      </c>
      <c r="G2759" s="6" t="s">
        <v>15</v>
      </c>
    </row>
    <row r="2760" spans="1:7" x14ac:dyDescent="0.3">
      <c r="A2760" s="2" t="s">
        <v>3473</v>
      </c>
      <c r="B2760" s="2" t="s">
        <v>3467</v>
      </c>
      <c r="C2760" s="6" t="s">
        <v>3468</v>
      </c>
      <c r="D2760" s="1">
        <v>45615</v>
      </c>
      <c r="E2760" s="4">
        <v>217.73</v>
      </c>
      <c r="F2760" s="3">
        <v>3</v>
      </c>
      <c r="G2760" s="6" t="s">
        <v>26</v>
      </c>
    </row>
    <row r="2761" spans="1:7" x14ac:dyDescent="0.3">
      <c r="A2761" s="2" t="s">
        <v>3474</v>
      </c>
      <c r="B2761" s="2" t="s">
        <v>3467</v>
      </c>
      <c r="C2761" s="6" t="s">
        <v>3468</v>
      </c>
      <c r="D2761" s="1">
        <v>45652</v>
      </c>
      <c r="E2761" s="4">
        <v>196.18</v>
      </c>
      <c r="F2761" s="3">
        <v>4</v>
      </c>
      <c r="G2761" s="6" t="s">
        <v>38</v>
      </c>
    </row>
    <row r="2762" spans="1:7" x14ac:dyDescent="0.3">
      <c r="A2762" s="2" t="s">
        <v>3475</v>
      </c>
      <c r="B2762" s="2" t="s">
        <v>3467</v>
      </c>
      <c r="C2762" s="6" t="s">
        <v>3468</v>
      </c>
      <c r="D2762" s="1">
        <v>45652</v>
      </c>
      <c r="E2762" s="4">
        <v>181.63</v>
      </c>
      <c r="F2762" s="3">
        <v>4</v>
      </c>
      <c r="G2762" s="6" t="s">
        <v>12</v>
      </c>
    </row>
    <row r="2763" spans="1:7" x14ac:dyDescent="0.3">
      <c r="A2763" s="2" t="s">
        <v>3476</v>
      </c>
      <c r="B2763" s="2" t="s">
        <v>3477</v>
      </c>
      <c r="C2763" s="6" t="s">
        <v>3478</v>
      </c>
      <c r="D2763" s="1">
        <v>45571</v>
      </c>
      <c r="E2763" s="4">
        <v>165.91</v>
      </c>
      <c r="F2763" s="3">
        <v>4</v>
      </c>
      <c r="G2763" s="6" t="s">
        <v>12</v>
      </c>
    </row>
    <row r="2764" spans="1:7" x14ac:dyDescent="0.3">
      <c r="A2764" s="2" t="s">
        <v>3479</v>
      </c>
      <c r="B2764" s="2" t="s">
        <v>3477</v>
      </c>
      <c r="C2764" s="6" t="s">
        <v>3478</v>
      </c>
      <c r="D2764" s="1">
        <v>45450</v>
      </c>
      <c r="E2764" s="4">
        <v>195.35</v>
      </c>
      <c r="F2764" s="3">
        <v>2</v>
      </c>
      <c r="G2764" s="6" t="s">
        <v>15</v>
      </c>
    </row>
    <row r="2765" spans="1:7" x14ac:dyDescent="0.3">
      <c r="A2765" s="2" t="s">
        <v>3480</v>
      </c>
      <c r="B2765" s="2" t="s">
        <v>3477</v>
      </c>
      <c r="C2765" s="6" t="s">
        <v>3478</v>
      </c>
      <c r="D2765" s="1">
        <v>45571</v>
      </c>
      <c r="E2765" s="4">
        <v>121.75</v>
      </c>
      <c r="F2765" s="3">
        <v>3</v>
      </c>
      <c r="G2765" s="6" t="s">
        <v>18</v>
      </c>
    </row>
    <row r="2766" spans="1:7" x14ac:dyDescent="0.3">
      <c r="A2766" s="2" t="s">
        <v>3481</v>
      </c>
      <c r="B2766" s="2" t="s">
        <v>3477</v>
      </c>
      <c r="C2766" s="6" t="s">
        <v>3478</v>
      </c>
      <c r="D2766" s="1">
        <v>45505</v>
      </c>
      <c r="E2766" s="4">
        <v>161.54</v>
      </c>
      <c r="F2766" s="3">
        <v>3</v>
      </c>
      <c r="G2766" s="6" t="s">
        <v>12</v>
      </c>
    </row>
    <row r="2767" spans="1:7" x14ac:dyDescent="0.3">
      <c r="A2767" s="2" t="s">
        <v>3482</v>
      </c>
      <c r="B2767" s="2" t="s">
        <v>3477</v>
      </c>
      <c r="C2767" s="6" t="s">
        <v>3478</v>
      </c>
      <c r="D2767" s="1">
        <v>45324</v>
      </c>
      <c r="E2767" s="4">
        <v>10.77</v>
      </c>
      <c r="F2767" s="3">
        <v>1</v>
      </c>
      <c r="G2767" s="6" t="s">
        <v>38</v>
      </c>
    </row>
    <row r="2768" spans="1:7" x14ac:dyDescent="0.3">
      <c r="A2768" s="2" t="s">
        <v>3483</v>
      </c>
      <c r="B2768" s="2" t="s">
        <v>3477</v>
      </c>
      <c r="C2768" s="6" t="s">
        <v>3478</v>
      </c>
      <c r="D2768" s="1">
        <v>45574</v>
      </c>
      <c r="E2768" s="4">
        <v>359.25</v>
      </c>
      <c r="F2768" s="3">
        <v>4</v>
      </c>
      <c r="G2768" s="6" t="s">
        <v>10</v>
      </c>
    </row>
    <row r="2769" spans="1:7" x14ac:dyDescent="0.3">
      <c r="A2769" s="2" t="s">
        <v>3484</v>
      </c>
      <c r="B2769" s="2" t="s">
        <v>3477</v>
      </c>
      <c r="C2769" s="6" t="s">
        <v>3478</v>
      </c>
      <c r="D2769" s="1">
        <v>45351</v>
      </c>
      <c r="E2769" s="4">
        <v>481.13</v>
      </c>
      <c r="F2769" s="3">
        <v>1</v>
      </c>
      <c r="G2769" s="6" t="s">
        <v>18</v>
      </c>
    </row>
    <row r="2770" spans="1:7" x14ac:dyDescent="0.3">
      <c r="A2770" s="2" t="s">
        <v>3485</v>
      </c>
      <c r="B2770" s="2" t="s">
        <v>3477</v>
      </c>
      <c r="C2770" s="6" t="s">
        <v>3478</v>
      </c>
      <c r="D2770" s="1">
        <v>45547</v>
      </c>
      <c r="E2770" s="4">
        <v>20.85</v>
      </c>
      <c r="F2770" s="3">
        <v>4</v>
      </c>
      <c r="G2770" s="6" t="s">
        <v>12</v>
      </c>
    </row>
    <row r="2771" spans="1:7" x14ac:dyDescent="0.3">
      <c r="A2771" s="2" t="s">
        <v>3486</v>
      </c>
      <c r="B2771" s="2" t="s">
        <v>3477</v>
      </c>
      <c r="C2771" s="6" t="s">
        <v>3478</v>
      </c>
      <c r="D2771" s="1">
        <v>45558</v>
      </c>
      <c r="E2771" s="4">
        <v>45.19</v>
      </c>
      <c r="F2771" s="3">
        <v>1</v>
      </c>
      <c r="G2771" s="6" t="s">
        <v>12</v>
      </c>
    </row>
    <row r="2772" spans="1:7" x14ac:dyDescent="0.3">
      <c r="A2772" s="2" t="s">
        <v>3487</v>
      </c>
      <c r="B2772" s="2" t="s">
        <v>3477</v>
      </c>
      <c r="C2772" s="6" t="s">
        <v>3478</v>
      </c>
      <c r="D2772" s="1">
        <v>45364</v>
      </c>
      <c r="E2772" s="4">
        <v>330.47</v>
      </c>
      <c r="F2772" s="3">
        <v>2</v>
      </c>
      <c r="G2772" s="6" t="s">
        <v>38</v>
      </c>
    </row>
    <row r="2773" spans="1:7" x14ac:dyDescent="0.3">
      <c r="A2773" s="2" t="s">
        <v>3488</v>
      </c>
      <c r="B2773" s="2" t="s">
        <v>3489</v>
      </c>
      <c r="C2773" s="6" t="s">
        <v>3490</v>
      </c>
      <c r="D2773" s="1">
        <v>45629</v>
      </c>
      <c r="E2773" s="4">
        <v>492.63</v>
      </c>
      <c r="F2773" s="3">
        <v>1</v>
      </c>
      <c r="G2773" s="6" t="s">
        <v>18</v>
      </c>
    </row>
    <row r="2774" spans="1:7" x14ac:dyDescent="0.3">
      <c r="A2774" s="2" t="s">
        <v>3491</v>
      </c>
      <c r="B2774" s="2" t="s">
        <v>3489</v>
      </c>
      <c r="C2774" s="6" t="s">
        <v>3490</v>
      </c>
      <c r="D2774" s="1">
        <v>45590</v>
      </c>
      <c r="E2774" s="4">
        <v>449.27</v>
      </c>
      <c r="F2774" s="3">
        <v>3</v>
      </c>
      <c r="G2774" s="6" t="s">
        <v>38</v>
      </c>
    </row>
    <row r="2775" spans="1:7" x14ac:dyDescent="0.3">
      <c r="A2775" s="2" t="s">
        <v>3492</v>
      </c>
      <c r="B2775" s="2" t="s">
        <v>3489</v>
      </c>
      <c r="C2775" s="6" t="s">
        <v>3490</v>
      </c>
      <c r="D2775" s="1">
        <v>45638</v>
      </c>
      <c r="E2775" s="4">
        <v>459.83</v>
      </c>
      <c r="F2775" s="3">
        <v>2</v>
      </c>
      <c r="G2775" s="6" t="s">
        <v>38</v>
      </c>
    </row>
    <row r="2776" spans="1:7" x14ac:dyDescent="0.3">
      <c r="A2776" s="2" t="s">
        <v>3493</v>
      </c>
      <c r="B2776" s="2" t="s">
        <v>3489</v>
      </c>
      <c r="C2776" s="6" t="s">
        <v>3490</v>
      </c>
      <c r="D2776" s="1">
        <v>45618</v>
      </c>
      <c r="E2776" s="4">
        <v>423.25</v>
      </c>
      <c r="F2776" s="3">
        <v>3</v>
      </c>
      <c r="G2776" s="6" t="s">
        <v>10</v>
      </c>
    </row>
    <row r="2777" spans="1:7" x14ac:dyDescent="0.3">
      <c r="A2777" s="2" t="s">
        <v>3494</v>
      </c>
      <c r="B2777" s="2" t="s">
        <v>3489</v>
      </c>
      <c r="C2777" s="6" t="s">
        <v>3490</v>
      </c>
      <c r="D2777" s="1">
        <v>45628</v>
      </c>
      <c r="E2777" s="4">
        <v>451.73</v>
      </c>
      <c r="F2777" s="3">
        <v>2</v>
      </c>
      <c r="G2777" s="6" t="s">
        <v>38</v>
      </c>
    </row>
    <row r="2778" spans="1:7" x14ac:dyDescent="0.3">
      <c r="A2778" s="2" t="s">
        <v>3495</v>
      </c>
      <c r="B2778" s="2" t="s">
        <v>3489</v>
      </c>
      <c r="C2778" s="6" t="s">
        <v>3490</v>
      </c>
      <c r="D2778" s="1">
        <v>45597</v>
      </c>
      <c r="E2778" s="4">
        <v>497.85</v>
      </c>
      <c r="F2778" s="3">
        <v>1</v>
      </c>
      <c r="G2778" s="6" t="s">
        <v>18</v>
      </c>
    </row>
    <row r="2779" spans="1:7" x14ac:dyDescent="0.3">
      <c r="A2779" s="2" t="s">
        <v>3496</v>
      </c>
      <c r="B2779" s="2" t="s">
        <v>3489</v>
      </c>
      <c r="C2779" s="6" t="s">
        <v>3490</v>
      </c>
      <c r="D2779" s="1">
        <v>45610</v>
      </c>
      <c r="E2779" s="4">
        <v>309.56</v>
      </c>
      <c r="F2779" s="3">
        <v>2</v>
      </c>
      <c r="G2779" s="6" t="s">
        <v>12</v>
      </c>
    </row>
    <row r="2780" spans="1:7" x14ac:dyDescent="0.3">
      <c r="A2780" s="2" t="s">
        <v>3497</v>
      </c>
      <c r="B2780" s="2" t="s">
        <v>3489</v>
      </c>
      <c r="C2780" s="6" t="s">
        <v>3490</v>
      </c>
      <c r="D2780" s="1">
        <v>45638</v>
      </c>
      <c r="E2780" s="4">
        <v>117.86</v>
      </c>
      <c r="F2780" s="3">
        <v>4</v>
      </c>
      <c r="G2780" s="6" t="s">
        <v>26</v>
      </c>
    </row>
    <row r="2781" spans="1:7" x14ac:dyDescent="0.3">
      <c r="A2781" s="2" t="s">
        <v>3498</v>
      </c>
      <c r="B2781" s="2" t="s">
        <v>3489</v>
      </c>
      <c r="C2781" s="6" t="s">
        <v>3490</v>
      </c>
      <c r="D2781" s="1">
        <v>45595</v>
      </c>
      <c r="E2781" s="4">
        <v>35.68</v>
      </c>
      <c r="F2781" s="3">
        <v>1</v>
      </c>
      <c r="G2781" s="6" t="s">
        <v>12</v>
      </c>
    </row>
    <row r="2782" spans="1:7" x14ac:dyDescent="0.3">
      <c r="A2782" s="2" t="s">
        <v>3499</v>
      </c>
      <c r="B2782" s="2" t="s">
        <v>3489</v>
      </c>
      <c r="C2782" s="6" t="s">
        <v>3490</v>
      </c>
      <c r="D2782" s="1">
        <v>45605</v>
      </c>
      <c r="E2782" s="4">
        <v>328.55</v>
      </c>
      <c r="F2782" s="3">
        <v>3</v>
      </c>
      <c r="G2782" s="6" t="s">
        <v>10</v>
      </c>
    </row>
    <row r="2783" spans="1:7" x14ac:dyDescent="0.3">
      <c r="A2783" s="2" t="s">
        <v>3500</v>
      </c>
      <c r="B2783" s="2" t="s">
        <v>3489</v>
      </c>
      <c r="C2783" s="6" t="s">
        <v>3490</v>
      </c>
      <c r="D2783" s="1">
        <v>45630</v>
      </c>
      <c r="E2783" s="4">
        <v>202.05</v>
      </c>
      <c r="F2783" s="3">
        <v>1</v>
      </c>
      <c r="G2783" s="6" t="s">
        <v>10</v>
      </c>
    </row>
    <row r="2784" spans="1:7" x14ac:dyDescent="0.3">
      <c r="A2784" s="2" t="s">
        <v>3501</v>
      </c>
      <c r="B2784" s="2" t="s">
        <v>3489</v>
      </c>
      <c r="C2784" s="6" t="s">
        <v>3490</v>
      </c>
      <c r="D2784" s="1">
        <v>45592</v>
      </c>
      <c r="E2784" s="4">
        <v>215.56</v>
      </c>
      <c r="F2784" s="3">
        <v>1</v>
      </c>
      <c r="G2784" s="6" t="s">
        <v>15</v>
      </c>
    </row>
    <row r="2785" spans="1:7" x14ac:dyDescent="0.3">
      <c r="A2785" s="2" t="s">
        <v>3502</v>
      </c>
      <c r="B2785" s="2" t="s">
        <v>3489</v>
      </c>
      <c r="C2785" s="6" t="s">
        <v>3490</v>
      </c>
      <c r="D2785" s="1">
        <v>45627</v>
      </c>
      <c r="E2785" s="4">
        <v>77</v>
      </c>
      <c r="F2785" s="3">
        <v>1</v>
      </c>
      <c r="G2785" s="6" t="s">
        <v>10</v>
      </c>
    </row>
    <row r="2786" spans="1:7" x14ac:dyDescent="0.3">
      <c r="A2786" s="2" t="s">
        <v>3503</v>
      </c>
      <c r="B2786" s="2" t="s">
        <v>3504</v>
      </c>
      <c r="C2786" s="6" t="s">
        <v>3505</v>
      </c>
      <c r="D2786" s="1">
        <v>45325</v>
      </c>
      <c r="E2786" s="4">
        <v>52.35</v>
      </c>
      <c r="F2786" s="3">
        <v>4</v>
      </c>
      <c r="G2786" s="6" t="s">
        <v>10</v>
      </c>
    </row>
    <row r="2787" spans="1:7" x14ac:dyDescent="0.3">
      <c r="A2787" s="2" t="s">
        <v>3506</v>
      </c>
      <c r="B2787" s="2" t="s">
        <v>3504</v>
      </c>
      <c r="C2787" s="6" t="s">
        <v>3505</v>
      </c>
      <c r="D2787" s="1">
        <v>45494</v>
      </c>
      <c r="E2787" s="4">
        <v>469.9</v>
      </c>
      <c r="F2787" s="3">
        <v>1</v>
      </c>
      <c r="G2787" s="6" t="s">
        <v>12</v>
      </c>
    </row>
    <row r="2788" spans="1:7" x14ac:dyDescent="0.3">
      <c r="A2788" s="2" t="s">
        <v>3507</v>
      </c>
      <c r="B2788" s="2" t="s">
        <v>3504</v>
      </c>
      <c r="C2788" s="6" t="s">
        <v>3505</v>
      </c>
      <c r="D2788" s="1">
        <v>45493</v>
      </c>
      <c r="E2788" s="4">
        <v>173.21</v>
      </c>
      <c r="F2788" s="3">
        <v>1</v>
      </c>
      <c r="G2788" s="6" t="s">
        <v>10</v>
      </c>
    </row>
    <row r="2789" spans="1:7" x14ac:dyDescent="0.3">
      <c r="A2789" s="2" t="s">
        <v>3508</v>
      </c>
      <c r="B2789" s="2" t="s">
        <v>3504</v>
      </c>
      <c r="C2789" s="6" t="s">
        <v>3505</v>
      </c>
      <c r="D2789" s="1">
        <v>45640</v>
      </c>
      <c r="E2789" s="4">
        <v>20.91</v>
      </c>
      <c r="F2789" s="3">
        <v>4</v>
      </c>
      <c r="G2789" s="6" t="s">
        <v>12</v>
      </c>
    </row>
    <row r="2790" spans="1:7" x14ac:dyDescent="0.3">
      <c r="A2790" s="2" t="s">
        <v>3509</v>
      </c>
      <c r="B2790" s="2" t="s">
        <v>3504</v>
      </c>
      <c r="C2790" s="6" t="s">
        <v>3505</v>
      </c>
      <c r="D2790" s="1">
        <v>45556</v>
      </c>
      <c r="E2790" s="4">
        <v>161.57</v>
      </c>
      <c r="F2790" s="3">
        <v>4</v>
      </c>
      <c r="G2790" s="6" t="s">
        <v>18</v>
      </c>
    </row>
    <row r="2791" spans="1:7" x14ac:dyDescent="0.3">
      <c r="A2791" s="2" t="s">
        <v>3510</v>
      </c>
      <c r="B2791" s="2" t="s">
        <v>3504</v>
      </c>
      <c r="C2791" s="6" t="s">
        <v>3505</v>
      </c>
      <c r="D2791" s="1">
        <v>45495</v>
      </c>
      <c r="E2791" s="4">
        <v>85.15</v>
      </c>
      <c r="F2791" s="3">
        <v>2</v>
      </c>
      <c r="G2791" s="6" t="s">
        <v>12</v>
      </c>
    </row>
    <row r="2792" spans="1:7" x14ac:dyDescent="0.3">
      <c r="A2792" s="2" t="s">
        <v>3511</v>
      </c>
      <c r="B2792" s="2" t="s">
        <v>3504</v>
      </c>
      <c r="C2792" s="6" t="s">
        <v>3505</v>
      </c>
      <c r="D2792" s="1">
        <v>45522</v>
      </c>
      <c r="E2792" s="4">
        <v>302.13</v>
      </c>
      <c r="F2792" s="3">
        <v>4</v>
      </c>
      <c r="G2792" s="6" t="s">
        <v>18</v>
      </c>
    </row>
    <row r="2793" spans="1:7" x14ac:dyDescent="0.3">
      <c r="A2793" s="2" t="s">
        <v>3512</v>
      </c>
      <c r="B2793" s="2" t="s">
        <v>3504</v>
      </c>
      <c r="C2793" s="6" t="s">
        <v>3505</v>
      </c>
      <c r="D2793" s="1">
        <v>45374</v>
      </c>
      <c r="E2793" s="4">
        <v>462.24</v>
      </c>
      <c r="F2793" s="3">
        <v>2</v>
      </c>
      <c r="G2793" s="6" t="s">
        <v>12</v>
      </c>
    </row>
    <row r="2794" spans="1:7" x14ac:dyDescent="0.3">
      <c r="A2794" s="2" t="s">
        <v>3513</v>
      </c>
      <c r="B2794" s="2" t="s">
        <v>3504</v>
      </c>
      <c r="C2794" s="6" t="s">
        <v>3505</v>
      </c>
      <c r="D2794" s="1">
        <v>45388</v>
      </c>
      <c r="E2794" s="4">
        <v>359.17</v>
      </c>
      <c r="F2794" s="3">
        <v>3</v>
      </c>
      <c r="G2794" s="6" t="s">
        <v>26</v>
      </c>
    </row>
    <row r="2795" spans="1:7" x14ac:dyDescent="0.3">
      <c r="A2795" s="2" t="s">
        <v>3514</v>
      </c>
      <c r="B2795" s="2" t="s">
        <v>3504</v>
      </c>
      <c r="C2795" s="6" t="s">
        <v>3505</v>
      </c>
      <c r="D2795" s="1">
        <v>45318</v>
      </c>
      <c r="E2795" s="4">
        <v>82.77</v>
      </c>
      <c r="F2795" s="3">
        <v>1</v>
      </c>
      <c r="G2795" s="6" t="s">
        <v>10</v>
      </c>
    </row>
    <row r="2796" spans="1:7" x14ac:dyDescent="0.3">
      <c r="A2796" s="2" t="s">
        <v>3515</v>
      </c>
      <c r="B2796" s="2" t="s">
        <v>3504</v>
      </c>
      <c r="C2796" s="6" t="s">
        <v>3505</v>
      </c>
      <c r="D2796" s="1">
        <v>45526</v>
      </c>
      <c r="E2796" s="4">
        <v>462.42</v>
      </c>
      <c r="F2796" s="3">
        <v>3</v>
      </c>
      <c r="G2796" s="6" t="s">
        <v>15</v>
      </c>
    </row>
    <row r="2797" spans="1:7" x14ac:dyDescent="0.3">
      <c r="A2797" s="2" t="s">
        <v>3516</v>
      </c>
      <c r="B2797" s="2" t="s">
        <v>3504</v>
      </c>
      <c r="C2797" s="6" t="s">
        <v>3505</v>
      </c>
      <c r="D2797" s="1">
        <v>45574</v>
      </c>
      <c r="E2797" s="4">
        <v>89.76</v>
      </c>
      <c r="F2797" s="3">
        <v>2</v>
      </c>
      <c r="G2797" s="6" t="s">
        <v>15</v>
      </c>
    </row>
    <row r="2798" spans="1:7" x14ac:dyDescent="0.3">
      <c r="A2798" s="2" t="s">
        <v>3517</v>
      </c>
      <c r="B2798" s="2" t="s">
        <v>3504</v>
      </c>
      <c r="C2798" s="6" t="s">
        <v>3505</v>
      </c>
      <c r="D2798" s="1">
        <v>45368</v>
      </c>
      <c r="E2798" s="4">
        <v>86.81</v>
      </c>
      <c r="F2798" s="3">
        <v>3</v>
      </c>
      <c r="G2798" s="6" t="s">
        <v>18</v>
      </c>
    </row>
    <row r="2799" spans="1:7" x14ac:dyDescent="0.3">
      <c r="A2799" s="2" t="s">
        <v>3518</v>
      </c>
      <c r="B2799" s="2" t="s">
        <v>3504</v>
      </c>
      <c r="C2799" s="6" t="s">
        <v>3505</v>
      </c>
      <c r="D2799" s="1">
        <v>45275</v>
      </c>
      <c r="E2799" s="4">
        <v>248.91</v>
      </c>
      <c r="F2799" s="3">
        <v>3</v>
      </c>
      <c r="G2799" s="6" t="s">
        <v>38</v>
      </c>
    </row>
    <row r="2800" spans="1:7" x14ac:dyDescent="0.3">
      <c r="A2800" s="2" t="s">
        <v>3519</v>
      </c>
      <c r="B2800" s="2" t="s">
        <v>3520</v>
      </c>
      <c r="C2800" s="6" t="s">
        <v>3521</v>
      </c>
      <c r="D2800" s="1">
        <v>45243</v>
      </c>
      <c r="E2800" s="4">
        <v>321.23</v>
      </c>
      <c r="F2800" s="3">
        <v>3</v>
      </c>
      <c r="G2800" s="6" t="s">
        <v>10</v>
      </c>
    </row>
    <row r="2801" spans="1:7" x14ac:dyDescent="0.3">
      <c r="A2801" s="2" t="s">
        <v>3522</v>
      </c>
      <c r="B2801" s="2" t="s">
        <v>3520</v>
      </c>
      <c r="C2801" s="6" t="s">
        <v>3521</v>
      </c>
      <c r="D2801" s="1">
        <v>45649</v>
      </c>
      <c r="E2801" s="4">
        <v>395.8</v>
      </c>
      <c r="F2801" s="3">
        <v>2</v>
      </c>
      <c r="G2801" s="6" t="s">
        <v>38</v>
      </c>
    </row>
    <row r="2802" spans="1:7" x14ac:dyDescent="0.3">
      <c r="A2802" s="2" t="s">
        <v>3523</v>
      </c>
      <c r="B2802" s="2" t="s">
        <v>3520</v>
      </c>
      <c r="C2802" s="6" t="s">
        <v>3521</v>
      </c>
      <c r="D2802" s="1">
        <v>45525</v>
      </c>
      <c r="E2802" s="4">
        <v>96.56</v>
      </c>
      <c r="F2802" s="3">
        <v>4</v>
      </c>
      <c r="G2802" s="6" t="s">
        <v>18</v>
      </c>
    </row>
    <row r="2803" spans="1:7" x14ac:dyDescent="0.3">
      <c r="A2803" s="2" t="s">
        <v>3524</v>
      </c>
      <c r="B2803" s="2" t="s">
        <v>3520</v>
      </c>
      <c r="C2803" s="6" t="s">
        <v>3521</v>
      </c>
      <c r="D2803" s="1">
        <v>45640</v>
      </c>
      <c r="E2803" s="4">
        <v>440.28</v>
      </c>
      <c r="F2803" s="3">
        <v>1</v>
      </c>
      <c r="G2803" s="6" t="s">
        <v>15</v>
      </c>
    </row>
    <row r="2804" spans="1:7" x14ac:dyDescent="0.3">
      <c r="A2804" s="2" t="s">
        <v>3525</v>
      </c>
      <c r="B2804" s="2" t="s">
        <v>3526</v>
      </c>
      <c r="C2804" s="6" t="s">
        <v>3527</v>
      </c>
      <c r="D2804" s="1">
        <v>45646</v>
      </c>
      <c r="E2804" s="4">
        <v>301.47000000000003</v>
      </c>
      <c r="F2804" s="3">
        <v>2</v>
      </c>
      <c r="G2804" s="6" t="s">
        <v>15</v>
      </c>
    </row>
    <row r="2805" spans="1:7" x14ac:dyDescent="0.3">
      <c r="A2805" s="2" t="s">
        <v>3528</v>
      </c>
      <c r="B2805" s="2" t="s">
        <v>3526</v>
      </c>
      <c r="C2805" s="6" t="s">
        <v>3527</v>
      </c>
      <c r="D2805" s="1">
        <v>45619</v>
      </c>
      <c r="E2805" s="4">
        <v>403.49</v>
      </c>
      <c r="F2805" s="3">
        <v>3</v>
      </c>
      <c r="G2805" s="6" t="s">
        <v>18</v>
      </c>
    </row>
    <row r="2806" spans="1:7" x14ac:dyDescent="0.3">
      <c r="A2806" s="2" t="s">
        <v>3529</v>
      </c>
      <c r="B2806" s="2" t="s">
        <v>3526</v>
      </c>
      <c r="C2806" s="6" t="s">
        <v>3527</v>
      </c>
      <c r="D2806" s="1">
        <v>45551</v>
      </c>
      <c r="E2806" s="4">
        <v>66.599999999999994</v>
      </c>
      <c r="F2806" s="3">
        <v>1</v>
      </c>
      <c r="G2806" s="6" t="s">
        <v>10</v>
      </c>
    </row>
    <row r="2807" spans="1:7" x14ac:dyDescent="0.3">
      <c r="A2807" s="2" t="s">
        <v>3530</v>
      </c>
      <c r="B2807" s="2" t="s">
        <v>3526</v>
      </c>
      <c r="C2807" s="6" t="s">
        <v>3527</v>
      </c>
      <c r="D2807" s="1">
        <v>45646</v>
      </c>
      <c r="E2807" s="4">
        <v>327.62</v>
      </c>
      <c r="F2807" s="3">
        <v>3</v>
      </c>
      <c r="G2807" s="6" t="s">
        <v>10</v>
      </c>
    </row>
    <row r="2808" spans="1:7" x14ac:dyDescent="0.3">
      <c r="A2808" s="2" t="s">
        <v>3531</v>
      </c>
      <c r="B2808" s="2" t="s">
        <v>3526</v>
      </c>
      <c r="C2808" s="6" t="s">
        <v>3527</v>
      </c>
      <c r="D2808" s="1">
        <v>45553</v>
      </c>
      <c r="E2808" s="4">
        <v>496.49</v>
      </c>
      <c r="F2808" s="3">
        <v>3</v>
      </c>
      <c r="G2808" s="6" t="s">
        <v>26</v>
      </c>
    </row>
    <row r="2809" spans="1:7" x14ac:dyDescent="0.3">
      <c r="A2809" s="2" t="s">
        <v>3532</v>
      </c>
      <c r="B2809" s="2" t="s">
        <v>3526</v>
      </c>
      <c r="C2809" s="6" t="s">
        <v>3527</v>
      </c>
      <c r="D2809" s="1">
        <v>45607</v>
      </c>
      <c r="E2809" s="4">
        <v>388.3</v>
      </c>
      <c r="F2809" s="3">
        <v>1</v>
      </c>
      <c r="G2809" s="6" t="s">
        <v>10</v>
      </c>
    </row>
    <row r="2810" spans="1:7" x14ac:dyDescent="0.3">
      <c r="A2810" s="2" t="s">
        <v>3533</v>
      </c>
      <c r="B2810" s="2" t="s">
        <v>3534</v>
      </c>
      <c r="C2810" s="6" t="s">
        <v>3535</v>
      </c>
      <c r="D2810" s="1">
        <v>45638</v>
      </c>
      <c r="E2810" s="4">
        <v>483.05</v>
      </c>
      <c r="F2810" s="3">
        <v>4</v>
      </c>
      <c r="G2810" s="6" t="s">
        <v>38</v>
      </c>
    </row>
    <row r="2811" spans="1:7" x14ac:dyDescent="0.3">
      <c r="A2811" s="2" t="s">
        <v>3536</v>
      </c>
      <c r="B2811" s="2" t="s">
        <v>3534</v>
      </c>
      <c r="C2811" s="6" t="s">
        <v>3535</v>
      </c>
      <c r="D2811" s="1">
        <v>45627</v>
      </c>
      <c r="E2811" s="4">
        <v>247.79</v>
      </c>
      <c r="F2811" s="3">
        <v>2</v>
      </c>
      <c r="G2811" s="6" t="s">
        <v>10</v>
      </c>
    </row>
    <row r="2812" spans="1:7" x14ac:dyDescent="0.3">
      <c r="A2812" s="2" t="s">
        <v>3537</v>
      </c>
      <c r="B2812" s="2" t="s">
        <v>3534</v>
      </c>
      <c r="C2812" s="6" t="s">
        <v>3535</v>
      </c>
      <c r="D2812" s="1">
        <v>45579</v>
      </c>
      <c r="E2812" s="4">
        <v>450.96</v>
      </c>
      <c r="F2812" s="3">
        <v>3</v>
      </c>
      <c r="G2812" s="6" t="s">
        <v>12</v>
      </c>
    </row>
    <row r="2813" spans="1:7" x14ac:dyDescent="0.3">
      <c r="A2813" s="2" t="s">
        <v>3538</v>
      </c>
      <c r="B2813" s="2" t="s">
        <v>3534</v>
      </c>
      <c r="C2813" s="6" t="s">
        <v>3535</v>
      </c>
      <c r="D2813" s="1">
        <v>45655</v>
      </c>
      <c r="E2813" s="4">
        <v>227.55</v>
      </c>
      <c r="F2813" s="3">
        <v>4</v>
      </c>
      <c r="G2813" s="6" t="s">
        <v>18</v>
      </c>
    </row>
    <row r="2814" spans="1:7" x14ac:dyDescent="0.3">
      <c r="A2814" s="2" t="s">
        <v>3539</v>
      </c>
      <c r="B2814" s="2" t="s">
        <v>3534</v>
      </c>
      <c r="C2814" s="6" t="s">
        <v>3535</v>
      </c>
      <c r="D2814" s="1">
        <v>45577</v>
      </c>
      <c r="E2814" s="4">
        <v>147.55000000000001</v>
      </c>
      <c r="F2814" s="3">
        <v>1</v>
      </c>
      <c r="G2814" s="6" t="s">
        <v>26</v>
      </c>
    </row>
    <row r="2815" spans="1:7" x14ac:dyDescent="0.3">
      <c r="A2815" s="2" t="s">
        <v>3540</v>
      </c>
      <c r="B2815" s="2" t="s">
        <v>3541</v>
      </c>
      <c r="C2815" s="6" t="s">
        <v>3542</v>
      </c>
      <c r="D2815" s="1">
        <v>45573</v>
      </c>
      <c r="E2815" s="4">
        <v>94.68</v>
      </c>
      <c r="F2815" s="3">
        <v>1</v>
      </c>
      <c r="G2815" s="6" t="s">
        <v>10</v>
      </c>
    </row>
    <row r="2816" spans="1:7" x14ac:dyDescent="0.3">
      <c r="A2816" s="2" t="s">
        <v>3543</v>
      </c>
      <c r="B2816" s="2" t="s">
        <v>3541</v>
      </c>
      <c r="C2816" s="6" t="s">
        <v>3542</v>
      </c>
      <c r="D2816" s="1">
        <v>45540</v>
      </c>
      <c r="E2816" s="4">
        <v>115.74</v>
      </c>
      <c r="F2816" s="3">
        <v>3</v>
      </c>
      <c r="G2816" s="6" t="s">
        <v>26</v>
      </c>
    </row>
    <row r="2817" spans="1:7" x14ac:dyDescent="0.3">
      <c r="A2817" s="2" t="s">
        <v>3544</v>
      </c>
      <c r="B2817" s="2" t="s">
        <v>3541</v>
      </c>
      <c r="C2817" s="6" t="s">
        <v>3542</v>
      </c>
      <c r="D2817" s="1">
        <v>45459</v>
      </c>
      <c r="E2817" s="4">
        <v>443.66</v>
      </c>
      <c r="F2817" s="3">
        <v>1</v>
      </c>
      <c r="G2817" s="6" t="s">
        <v>38</v>
      </c>
    </row>
    <row r="2818" spans="1:7" x14ac:dyDescent="0.3">
      <c r="A2818" s="2" t="s">
        <v>3545</v>
      </c>
      <c r="B2818" s="2" t="s">
        <v>3541</v>
      </c>
      <c r="C2818" s="6" t="s">
        <v>3542</v>
      </c>
      <c r="D2818" s="1">
        <v>45391</v>
      </c>
      <c r="E2818" s="4">
        <v>77.569999999999993</v>
      </c>
      <c r="F2818" s="3">
        <v>1</v>
      </c>
      <c r="G2818" s="6" t="s">
        <v>26</v>
      </c>
    </row>
    <row r="2819" spans="1:7" x14ac:dyDescent="0.3">
      <c r="A2819" s="2" t="s">
        <v>3546</v>
      </c>
      <c r="B2819" s="2" t="s">
        <v>3541</v>
      </c>
      <c r="C2819" s="6" t="s">
        <v>3542</v>
      </c>
      <c r="D2819" s="1">
        <v>45433</v>
      </c>
      <c r="E2819" s="4">
        <v>261.41000000000003</v>
      </c>
      <c r="F2819" s="3">
        <v>3</v>
      </c>
      <c r="G2819" s="6" t="s">
        <v>12</v>
      </c>
    </row>
    <row r="2820" spans="1:7" x14ac:dyDescent="0.3">
      <c r="A2820" s="2" t="s">
        <v>3547</v>
      </c>
      <c r="B2820" s="2" t="s">
        <v>3541</v>
      </c>
      <c r="C2820" s="6" t="s">
        <v>3542</v>
      </c>
      <c r="D2820" s="1">
        <v>45587</v>
      </c>
      <c r="E2820" s="4">
        <v>371.03</v>
      </c>
      <c r="F2820" s="3">
        <v>3</v>
      </c>
      <c r="G2820" s="6" t="s">
        <v>10</v>
      </c>
    </row>
    <row r="2821" spans="1:7" x14ac:dyDescent="0.3">
      <c r="A2821" s="2" t="s">
        <v>3548</v>
      </c>
      <c r="B2821" s="2" t="s">
        <v>3549</v>
      </c>
      <c r="C2821" s="6" t="s">
        <v>3550</v>
      </c>
      <c r="D2821" s="1">
        <v>45461</v>
      </c>
      <c r="E2821" s="4">
        <v>42.48</v>
      </c>
      <c r="F2821" s="3">
        <v>2</v>
      </c>
      <c r="G2821" s="6" t="s">
        <v>38</v>
      </c>
    </row>
    <row r="2822" spans="1:7" x14ac:dyDescent="0.3">
      <c r="A2822" s="2" t="s">
        <v>3551</v>
      </c>
      <c r="B2822" s="2" t="s">
        <v>3549</v>
      </c>
      <c r="C2822" s="6" t="s">
        <v>3550</v>
      </c>
      <c r="D2822" s="1">
        <v>45361</v>
      </c>
      <c r="E2822" s="4">
        <v>331.14</v>
      </c>
      <c r="F2822" s="3">
        <v>1</v>
      </c>
      <c r="G2822" s="6" t="s">
        <v>26</v>
      </c>
    </row>
    <row r="2823" spans="1:7" x14ac:dyDescent="0.3">
      <c r="A2823" s="2" t="s">
        <v>3552</v>
      </c>
      <c r="B2823" s="2" t="s">
        <v>3549</v>
      </c>
      <c r="C2823" s="6" t="s">
        <v>3550</v>
      </c>
      <c r="D2823" s="1">
        <v>45578</v>
      </c>
      <c r="E2823" s="4">
        <v>432</v>
      </c>
      <c r="F2823" s="3">
        <v>4</v>
      </c>
      <c r="G2823" s="6" t="s">
        <v>26</v>
      </c>
    </row>
    <row r="2824" spans="1:7" x14ac:dyDescent="0.3">
      <c r="A2824" s="2" t="s">
        <v>3553</v>
      </c>
      <c r="B2824" s="2" t="s">
        <v>3549</v>
      </c>
      <c r="C2824" s="6" t="s">
        <v>3550</v>
      </c>
      <c r="D2824" s="1">
        <v>45513</v>
      </c>
      <c r="E2824" s="4">
        <v>209.93</v>
      </c>
      <c r="F2824" s="3">
        <v>1</v>
      </c>
      <c r="G2824" s="6" t="s">
        <v>12</v>
      </c>
    </row>
    <row r="2825" spans="1:7" x14ac:dyDescent="0.3">
      <c r="A2825" s="2" t="s">
        <v>3554</v>
      </c>
      <c r="B2825" s="2" t="s">
        <v>3549</v>
      </c>
      <c r="C2825" s="6" t="s">
        <v>3550</v>
      </c>
      <c r="D2825" s="1">
        <v>45480</v>
      </c>
      <c r="E2825" s="4">
        <v>323.72000000000003</v>
      </c>
      <c r="F2825" s="3">
        <v>1</v>
      </c>
      <c r="G2825" s="6" t="s">
        <v>15</v>
      </c>
    </row>
    <row r="2826" spans="1:7" x14ac:dyDescent="0.3">
      <c r="A2826" s="2" t="s">
        <v>3555</v>
      </c>
      <c r="B2826" s="2" t="s">
        <v>3549</v>
      </c>
      <c r="C2826" s="6" t="s">
        <v>3550</v>
      </c>
      <c r="D2826" s="1">
        <v>45343</v>
      </c>
      <c r="E2826" s="4">
        <v>171.36</v>
      </c>
      <c r="F2826" s="3">
        <v>1</v>
      </c>
      <c r="G2826" s="6" t="s">
        <v>10</v>
      </c>
    </row>
    <row r="2827" spans="1:7" x14ac:dyDescent="0.3">
      <c r="A2827" s="2" t="s">
        <v>3556</v>
      </c>
      <c r="B2827" s="2" t="s">
        <v>3549</v>
      </c>
      <c r="C2827" s="6" t="s">
        <v>3550</v>
      </c>
      <c r="D2827" s="1">
        <v>45554</v>
      </c>
      <c r="E2827" s="4">
        <v>61.99</v>
      </c>
      <c r="F2827" s="3">
        <v>2</v>
      </c>
      <c r="G2827" s="6" t="s">
        <v>18</v>
      </c>
    </row>
    <row r="2828" spans="1:7" x14ac:dyDescent="0.3">
      <c r="A2828" s="2" t="s">
        <v>3557</v>
      </c>
      <c r="B2828" s="2" t="s">
        <v>3549</v>
      </c>
      <c r="C2828" s="6" t="s">
        <v>3550</v>
      </c>
      <c r="D2828" s="1">
        <v>45368</v>
      </c>
      <c r="E2828" s="4">
        <v>490.75</v>
      </c>
      <c r="F2828" s="3">
        <v>3</v>
      </c>
      <c r="G2828" s="6" t="s">
        <v>26</v>
      </c>
    </row>
    <row r="2829" spans="1:7" x14ac:dyDescent="0.3">
      <c r="A2829" s="2" t="s">
        <v>3558</v>
      </c>
      <c r="B2829" s="2" t="s">
        <v>3549</v>
      </c>
      <c r="C2829" s="6" t="s">
        <v>3550</v>
      </c>
      <c r="D2829" s="1">
        <v>45325</v>
      </c>
      <c r="E2829" s="4">
        <v>17.350000000000001</v>
      </c>
      <c r="F2829" s="3">
        <v>1</v>
      </c>
      <c r="G2829" s="6" t="s">
        <v>10</v>
      </c>
    </row>
    <row r="2830" spans="1:7" x14ac:dyDescent="0.3">
      <c r="A2830" s="2" t="s">
        <v>3559</v>
      </c>
      <c r="B2830" s="2" t="s">
        <v>3549</v>
      </c>
      <c r="C2830" s="6" t="s">
        <v>3550</v>
      </c>
      <c r="D2830" s="1">
        <v>45356</v>
      </c>
      <c r="E2830" s="4">
        <v>98.2</v>
      </c>
      <c r="F2830" s="3">
        <v>3</v>
      </c>
      <c r="G2830" s="6" t="s">
        <v>38</v>
      </c>
    </row>
    <row r="2831" spans="1:7" x14ac:dyDescent="0.3">
      <c r="A2831" s="2" t="s">
        <v>3560</v>
      </c>
      <c r="B2831" s="2" t="s">
        <v>3549</v>
      </c>
      <c r="C2831" s="6" t="s">
        <v>3550</v>
      </c>
      <c r="D2831" s="1">
        <v>45442</v>
      </c>
      <c r="E2831" s="4">
        <v>20</v>
      </c>
      <c r="F2831" s="3">
        <v>4</v>
      </c>
      <c r="G2831" s="6" t="s">
        <v>26</v>
      </c>
    </row>
    <row r="2832" spans="1:7" x14ac:dyDescent="0.3">
      <c r="A2832" s="2" t="s">
        <v>3561</v>
      </c>
      <c r="B2832" s="2" t="s">
        <v>3549</v>
      </c>
      <c r="C2832" s="6" t="s">
        <v>3550</v>
      </c>
      <c r="D2832" s="1">
        <v>45385</v>
      </c>
      <c r="E2832" s="4">
        <v>432.54</v>
      </c>
      <c r="F2832" s="3">
        <v>2</v>
      </c>
      <c r="G2832" s="6" t="s">
        <v>12</v>
      </c>
    </row>
    <row r="2833" spans="1:7" x14ac:dyDescent="0.3">
      <c r="A2833" s="2" t="s">
        <v>3562</v>
      </c>
      <c r="B2833" s="2" t="s">
        <v>3549</v>
      </c>
      <c r="C2833" s="6" t="s">
        <v>3550</v>
      </c>
      <c r="D2833" s="1">
        <v>45407</v>
      </c>
      <c r="E2833" s="4">
        <v>127.64</v>
      </c>
      <c r="F2833" s="3">
        <v>1</v>
      </c>
      <c r="G2833" s="6" t="s">
        <v>10</v>
      </c>
    </row>
    <row r="2834" spans="1:7" x14ac:dyDescent="0.3">
      <c r="A2834" s="2" t="s">
        <v>3563</v>
      </c>
      <c r="B2834" s="2" t="s">
        <v>3564</v>
      </c>
      <c r="C2834" s="6" t="s">
        <v>3565</v>
      </c>
      <c r="D2834" s="1">
        <v>45534</v>
      </c>
      <c r="E2834" s="4">
        <v>406.4</v>
      </c>
      <c r="F2834" s="3">
        <v>3</v>
      </c>
      <c r="G2834" s="6" t="s">
        <v>12</v>
      </c>
    </row>
    <row r="2835" spans="1:7" x14ac:dyDescent="0.3">
      <c r="A2835" s="2" t="s">
        <v>3566</v>
      </c>
      <c r="B2835" s="2" t="s">
        <v>3564</v>
      </c>
      <c r="C2835" s="6" t="s">
        <v>3565</v>
      </c>
      <c r="D2835" s="1">
        <v>45637</v>
      </c>
      <c r="E2835" s="4">
        <v>257.39</v>
      </c>
      <c r="F2835" s="3">
        <v>3</v>
      </c>
      <c r="G2835" s="6" t="s">
        <v>12</v>
      </c>
    </row>
    <row r="2836" spans="1:7" x14ac:dyDescent="0.3">
      <c r="A2836" s="2" t="s">
        <v>3567</v>
      </c>
      <c r="B2836" s="2" t="s">
        <v>3564</v>
      </c>
      <c r="C2836" s="6" t="s">
        <v>3565</v>
      </c>
      <c r="D2836" s="1">
        <v>45589</v>
      </c>
      <c r="E2836" s="4">
        <v>415.31</v>
      </c>
      <c r="F2836" s="3">
        <v>4</v>
      </c>
      <c r="G2836" s="6" t="s">
        <v>10</v>
      </c>
    </row>
    <row r="2837" spans="1:7" x14ac:dyDescent="0.3">
      <c r="A2837" s="2" t="s">
        <v>3568</v>
      </c>
      <c r="B2837" s="2" t="s">
        <v>3564</v>
      </c>
      <c r="C2837" s="6" t="s">
        <v>3565</v>
      </c>
      <c r="D2837" s="1">
        <v>45600</v>
      </c>
      <c r="E2837" s="4">
        <v>277.85000000000002</v>
      </c>
      <c r="F2837" s="3">
        <v>1</v>
      </c>
      <c r="G2837" s="6" t="s">
        <v>38</v>
      </c>
    </row>
    <row r="2838" spans="1:7" x14ac:dyDescent="0.3">
      <c r="A2838" s="2" t="s">
        <v>3569</v>
      </c>
      <c r="B2838" s="2" t="s">
        <v>3564</v>
      </c>
      <c r="C2838" s="6" t="s">
        <v>3565</v>
      </c>
      <c r="D2838" s="1">
        <v>45597</v>
      </c>
      <c r="E2838" s="4">
        <v>159.94</v>
      </c>
      <c r="F2838" s="3">
        <v>4</v>
      </c>
      <c r="G2838" s="6" t="s">
        <v>38</v>
      </c>
    </row>
    <row r="2839" spans="1:7" x14ac:dyDescent="0.3">
      <c r="A2839" s="2" t="s">
        <v>3570</v>
      </c>
      <c r="B2839" s="2" t="s">
        <v>3564</v>
      </c>
      <c r="C2839" s="6" t="s">
        <v>3565</v>
      </c>
      <c r="D2839" s="1">
        <v>45639</v>
      </c>
      <c r="E2839" s="4">
        <v>329.08</v>
      </c>
      <c r="F2839" s="3">
        <v>3</v>
      </c>
      <c r="G2839" s="6" t="s">
        <v>15</v>
      </c>
    </row>
    <row r="2840" spans="1:7" x14ac:dyDescent="0.3">
      <c r="A2840" s="2" t="s">
        <v>3571</v>
      </c>
      <c r="B2840" s="2" t="s">
        <v>3572</v>
      </c>
      <c r="C2840" s="6" t="s">
        <v>3573</v>
      </c>
      <c r="D2840" s="1">
        <v>45051</v>
      </c>
      <c r="E2840" s="4">
        <v>296.08999999999997</v>
      </c>
      <c r="F2840" s="3">
        <v>1</v>
      </c>
      <c r="G2840" s="6" t="s">
        <v>26</v>
      </c>
    </row>
    <row r="2841" spans="1:7" x14ac:dyDescent="0.3">
      <c r="A2841" s="2" t="s">
        <v>3574</v>
      </c>
      <c r="B2841" s="2" t="s">
        <v>3572</v>
      </c>
      <c r="C2841" s="6" t="s">
        <v>3573</v>
      </c>
      <c r="D2841" s="1">
        <v>45260</v>
      </c>
      <c r="E2841" s="4">
        <v>244.7</v>
      </c>
      <c r="F2841" s="3">
        <v>3</v>
      </c>
      <c r="G2841" s="6" t="s">
        <v>15</v>
      </c>
    </row>
    <row r="2842" spans="1:7" x14ac:dyDescent="0.3">
      <c r="A2842" s="2" t="s">
        <v>3575</v>
      </c>
      <c r="B2842" s="2" t="s">
        <v>3572</v>
      </c>
      <c r="C2842" s="6" t="s">
        <v>3573</v>
      </c>
      <c r="D2842" s="1">
        <v>45481</v>
      </c>
      <c r="E2842" s="4">
        <v>86.32</v>
      </c>
      <c r="F2842" s="3">
        <v>2</v>
      </c>
      <c r="G2842" s="6" t="s">
        <v>10</v>
      </c>
    </row>
    <row r="2843" spans="1:7" x14ac:dyDescent="0.3">
      <c r="A2843" s="2" t="s">
        <v>3576</v>
      </c>
      <c r="B2843" s="2" t="s">
        <v>3572</v>
      </c>
      <c r="C2843" s="6" t="s">
        <v>3573</v>
      </c>
      <c r="D2843" s="1">
        <v>45042</v>
      </c>
      <c r="E2843" s="4">
        <v>487.15</v>
      </c>
      <c r="F2843" s="3">
        <v>3</v>
      </c>
      <c r="G2843" s="6" t="s">
        <v>12</v>
      </c>
    </row>
    <row r="2844" spans="1:7" x14ac:dyDescent="0.3">
      <c r="A2844" s="2" t="s">
        <v>3577</v>
      </c>
      <c r="B2844" s="2" t="s">
        <v>3572</v>
      </c>
      <c r="C2844" s="6" t="s">
        <v>3573</v>
      </c>
      <c r="D2844" s="1">
        <v>45250</v>
      </c>
      <c r="E2844" s="4">
        <v>281.54000000000002</v>
      </c>
      <c r="F2844" s="3">
        <v>3</v>
      </c>
      <c r="G2844" s="6" t="s">
        <v>26</v>
      </c>
    </row>
    <row r="2845" spans="1:7" x14ac:dyDescent="0.3">
      <c r="A2845" s="2" t="s">
        <v>3578</v>
      </c>
      <c r="B2845" s="2" t="s">
        <v>3572</v>
      </c>
      <c r="C2845" s="6" t="s">
        <v>3573</v>
      </c>
      <c r="D2845" s="1">
        <v>45548</v>
      </c>
      <c r="E2845" s="4">
        <v>96.97</v>
      </c>
      <c r="F2845" s="3">
        <v>2</v>
      </c>
      <c r="G2845" s="6" t="s">
        <v>26</v>
      </c>
    </row>
    <row r="2846" spans="1:7" x14ac:dyDescent="0.3">
      <c r="A2846" s="2" t="s">
        <v>3579</v>
      </c>
      <c r="B2846" s="2" t="s">
        <v>3572</v>
      </c>
      <c r="C2846" s="6" t="s">
        <v>3573</v>
      </c>
      <c r="D2846" s="1">
        <v>45474</v>
      </c>
      <c r="E2846" s="4">
        <v>474.11</v>
      </c>
      <c r="F2846" s="3">
        <v>3</v>
      </c>
      <c r="G2846" s="6" t="s">
        <v>26</v>
      </c>
    </row>
    <row r="2847" spans="1:7" x14ac:dyDescent="0.3">
      <c r="A2847" s="2" t="s">
        <v>3580</v>
      </c>
      <c r="B2847" s="2" t="s">
        <v>3572</v>
      </c>
      <c r="C2847" s="6" t="s">
        <v>3573</v>
      </c>
      <c r="D2847" s="1">
        <v>45523</v>
      </c>
      <c r="E2847" s="4">
        <v>277.49</v>
      </c>
      <c r="F2847" s="3">
        <v>3</v>
      </c>
      <c r="G2847" s="6" t="s">
        <v>12</v>
      </c>
    </row>
    <row r="2848" spans="1:7" x14ac:dyDescent="0.3">
      <c r="A2848" s="2" t="s">
        <v>3581</v>
      </c>
      <c r="B2848" s="2" t="s">
        <v>3572</v>
      </c>
      <c r="C2848" s="6" t="s">
        <v>3573</v>
      </c>
      <c r="D2848" s="1">
        <v>45062</v>
      </c>
      <c r="E2848" s="4">
        <v>169.5</v>
      </c>
      <c r="F2848" s="3">
        <v>3</v>
      </c>
      <c r="G2848" s="6" t="s">
        <v>26</v>
      </c>
    </row>
    <row r="2849" spans="1:7" x14ac:dyDescent="0.3">
      <c r="A2849" s="2" t="s">
        <v>3582</v>
      </c>
      <c r="B2849" s="2" t="s">
        <v>3572</v>
      </c>
      <c r="C2849" s="6" t="s">
        <v>3573</v>
      </c>
      <c r="D2849" s="1">
        <v>45163</v>
      </c>
      <c r="E2849" s="4">
        <v>82.72</v>
      </c>
      <c r="F2849" s="3">
        <v>1</v>
      </c>
      <c r="G2849" s="6" t="s">
        <v>12</v>
      </c>
    </row>
    <row r="2850" spans="1:7" x14ac:dyDescent="0.3">
      <c r="A2850" s="2" t="s">
        <v>3583</v>
      </c>
      <c r="B2850" s="2" t="s">
        <v>3584</v>
      </c>
      <c r="C2850" s="6" t="s">
        <v>3585</v>
      </c>
      <c r="D2850" s="1">
        <v>45620</v>
      </c>
      <c r="E2850" s="4">
        <v>406</v>
      </c>
      <c r="F2850" s="3">
        <v>4</v>
      </c>
      <c r="G2850" s="6" t="s">
        <v>12</v>
      </c>
    </row>
    <row r="2851" spans="1:7" x14ac:dyDescent="0.3">
      <c r="A2851" s="2" t="s">
        <v>3586</v>
      </c>
      <c r="B2851" s="2" t="s">
        <v>3584</v>
      </c>
      <c r="C2851" s="6" t="s">
        <v>3585</v>
      </c>
      <c r="D2851" s="1">
        <v>45622</v>
      </c>
      <c r="E2851" s="4">
        <v>203.38</v>
      </c>
      <c r="F2851" s="3">
        <v>4</v>
      </c>
      <c r="G2851" s="6" t="s">
        <v>26</v>
      </c>
    </row>
    <row r="2852" spans="1:7" x14ac:dyDescent="0.3">
      <c r="A2852" s="2" t="s">
        <v>3587</v>
      </c>
      <c r="B2852" s="2" t="s">
        <v>3584</v>
      </c>
      <c r="C2852" s="6" t="s">
        <v>3585</v>
      </c>
      <c r="D2852" s="1">
        <v>45626</v>
      </c>
      <c r="E2852" s="4">
        <v>164.67</v>
      </c>
      <c r="F2852" s="3">
        <v>3</v>
      </c>
      <c r="G2852" s="6" t="s">
        <v>18</v>
      </c>
    </row>
    <row r="2853" spans="1:7" x14ac:dyDescent="0.3">
      <c r="A2853" s="2" t="s">
        <v>3588</v>
      </c>
      <c r="B2853" s="2" t="s">
        <v>3584</v>
      </c>
      <c r="C2853" s="6" t="s">
        <v>3585</v>
      </c>
      <c r="D2853" s="1">
        <v>45644</v>
      </c>
      <c r="E2853" s="4">
        <v>307.04000000000002</v>
      </c>
      <c r="F2853" s="3">
        <v>4</v>
      </c>
      <c r="G2853" s="6" t="s">
        <v>38</v>
      </c>
    </row>
    <row r="2854" spans="1:7" x14ac:dyDescent="0.3">
      <c r="A2854" s="2" t="s">
        <v>3589</v>
      </c>
      <c r="B2854" s="2" t="s">
        <v>3584</v>
      </c>
      <c r="C2854" s="6" t="s">
        <v>3585</v>
      </c>
      <c r="D2854" s="1">
        <v>45649</v>
      </c>
      <c r="E2854" s="4">
        <v>332.56</v>
      </c>
      <c r="F2854" s="3">
        <v>2</v>
      </c>
      <c r="G2854" s="6" t="s">
        <v>15</v>
      </c>
    </row>
    <row r="2855" spans="1:7" x14ac:dyDescent="0.3">
      <c r="A2855" s="2" t="s">
        <v>3590</v>
      </c>
      <c r="B2855" s="2" t="s">
        <v>3584</v>
      </c>
      <c r="C2855" s="6" t="s">
        <v>3585</v>
      </c>
      <c r="D2855" s="1">
        <v>45635</v>
      </c>
      <c r="E2855" s="4">
        <v>264.27999999999997</v>
      </c>
      <c r="F2855" s="3">
        <v>2</v>
      </c>
      <c r="G2855" s="6" t="s">
        <v>38</v>
      </c>
    </row>
    <row r="2856" spans="1:7" x14ac:dyDescent="0.3">
      <c r="A2856" s="2" t="s">
        <v>3591</v>
      </c>
      <c r="B2856" s="2" t="s">
        <v>3584</v>
      </c>
      <c r="C2856" s="6" t="s">
        <v>3585</v>
      </c>
      <c r="D2856" s="1">
        <v>45610</v>
      </c>
      <c r="E2856" s="4">
        <v>40.950000000000003</v>
      </c>
      <c r="F2856" s="3">
        <v>4</v>
      </c>
      <c r="G2856" s="6" t="s">
        <v>15</v>
      </c>
    </row>
    <row r="2857" spans="1:7" x14ac:dyDescent="0.3">
      <c r="A2857" s="2" t="s">
        <v>3592</v>
      </c>
      <c r="B2857" s="2" t="s">
        <v>3593</v>
      </c>
      <c r="C2857" s="6" t="s">
        <v>3594</v>
      </c>
      <c r="D2857" s="1">
        <v>45512</v>
      </c>
      <c r="E2857" s="4">
        <v>415.91</v>
      </c>
      <c r="F2857" s="3">
        <v>1</v>
      </c>
      <c r="G2857" s="6" t="s">
        <v>18</v>
      </c>
    </row>
    <row r="2858" spans="1:7" x14ac:dyDescent="0.3">
      <c r="A2858" s="2" t="s">
        <v>3595</v>
      </c>
      <c r="B2858" s="2" t="s">
        <v>3593</v>
      </c>
      <c r="C2858" s="6" t="s">
        <v>3594</v>
      </c>
      <c r="D2858" s="1">
        <v>45493</v>
      </c>
      <c r="E2858" s="4">
        <v>376.62</v>
      </c>
      <c r="F2858" s="3">
        <v>3</v>
      </c>
      <c r="G2858" s="6" t="s">
        <v>10</v>
      </c>
    </row>
    <row r="2859" spans="1:7" x14ac:dyDescent="0.3">
      <c r="A2859" s="2" t="s">
        <v>3596</v>
      </c>
      <c r="B2859" s="2" t="s">
        <v>3593</v>
      </c>
      <c r="C2859" s="6" t="s">
        <v>3594</v>
      </c>
      <c r="D2859" s="1">
        <v>45471</v>
      </c>
      <c r="E2859" s="4">
        <v>256.58</v>
      </c>
      <c r="F2859" s="3">
        <v>3</v>
      </c>
      <c r="G2859" s="6" t="s">
        <v>18</v>
      </c>
    </row>
    <row r="2860" spans="1:7" x14ac:dyDescent="0.3">
      <c r="A2860" s="2" t="s">
        <v>3597</v>
      </c>
      <c r="B2860" s="2" t="s">
        <v>3598</v>
      </c>
      <c r="C2860" s="6" t="s">
        <v>3599</v>
      </c>
      <c r="D2860" s="1">
        <v>45378</v>
      </c>
      <c r="E2860" s="4">
        <v>151.85</v>
      </c>
      <c r="F2860" s="3">
        <v>4</v>
      </c>
      <c r="G2860" s="6" t="s">
        <v>26</v>
      </c>
    </row>
    <row r="2861" spans="1:7" x14ac:dyDescent="0.3">
      <c r="A2861" s="2" t="s">
        <v>3600</v>
      </c>
      <c r="B2861" s="2" t="s">
        <v>3598</v>
      </c>
      <c r="C2861" s="6" t="s">
        <v>3599</v>
      </c>
      <c r="D2861" s="1">
        <v>45131</v>
      </c>
      <c r="E2861" s="4">
        <v>373.93</v>
      </c>
      <c r="F2861" s="3">
        <v>4</v>
      </c>
      <c r="G2861" s="6" t="s">
        <v>12</v>
      </c>
    </row>
    <row r="2862" spans="1:7" x14ac:dyDescent="0.3">
      <c r="A2862" s="2" t="s">
        <v>3601</v>
      </c>
      <c r="B2862" s="2" t="s">
        <v>3598</v>
      </c>
      <c r="C2862" s="6" t="s">
        <v>3599</v>
      </c>
      <c r="D2862" s="1">
        <v>45559</v>
      </c>
      <c r="E2862" s="4">
        <v>25.49</v>
      </c>
      <c r="F2862" s="3">
        <v>1</v>
      </c>
      <c r="G2862" s="6" t="s">
        <v>15</v>
      </c>
    </row>
    <row r="2863" spans="1:7" x14ac:dyDescent="0.3">
      <c r="A2863" s="2" t="s">
        <v>3602</v>
      </c>
      <c r="B2863" s="2" t="s">
        <v>3598</v>
      </c>
      <c r="C2863" s="6" t="s">
        <v>3599</v>
      </c>
      <c r="D2863" s="1">
        <v>45382</v>
      </c>
      <c r="E2863" s="4">
        <v>252.9</v>
      </c>
      <c r="F2863" s="3">
        <v>4</v>
      </c>
      <c r="G2863" s="6" t="s">
        <v>38</v>
      </c>
    </row>
    <row r="2864" spans="1:7" x14ac:dyDescent="0.3">
      <c r="A2864" s="2" t="s">
        <v>3603</v>
      </c>
      <c r="B2864" s="2" t="s">
        <v>3598</v>
      </c>
      <c r="C2864" s="6" t="s">
        <v>3599</v>
      </c>
      <c r="D2864" s="1">
        <v>45300</v>
      </c>
      <c r="E2864" s="4">
        <v>434.21</v>
      </c>
      <c r="F2864" s="3">
        <v>3</v>
      </c>
      <c r="G2864" s="6" t="s">
        <v>15</v>
      </c>
    </row>
    <row r="2865" spans="1:7" x14ac:dyDescent="0.3">
      <c r="A2865" s="2" t="s">
        <v>3604</v>
      </c>
      <c r="B2865" s="2" t="s">
        <v>3598</v>
      </c>
      <c r="C2865" s="6" t="s">
        <v>3599</v>
      </c>
      <c r="D2865" s="1">
        <v>45135</v>
      </c>
      <c r="E2865" s="4">
        <v>336.2</v>
      </c>
      <c r="F2865" s="3">
        <v>4</v>
      </c>
      <c r="G2865" s="6" t="s">
        <v>26</v>
      </c>
    </row>
    <row r="2866" spans="1:7" x14ac:dyDescent="0.3">
      <c r="A2866" s="2" t="s">
        <v>3605</v>
      </c>
      <c r="B2866" s="2" t="s">
        <v>3598</v>
      </c>
      <c r="C2866" s="6" t="s">
        <v>3599</v>
      </c>
      <c r="D2866" s="1">
        <v>45027</v>
      </c>
      <c r="E2866" s="4">
        <v>84.95</v>
      </c>
      <c r="F2866" s="3">
        <v>4</v>
      </c>
      <c r="G2866" s="6" t="s">
        <v>26</v>
      </c>
    </row>
    <row r="2867" spans="1:7" x14ac:dyDescent="0.3">
      <c r="A2867" s="2" t="s">
        <v>3606</v>
      </c>
      <c r="B2867" s="2" t="s">
        <v>3598</v>
      </c>
      <c r="C2867" s="6" t="s">
        <v>3599</v>
      </c>
      <c r="D2867" s="1">
        <v>45470</v>
      </c>
      <c r="E2867" s="4">
        <v>232.54</v>
      </c>
      <c r="F2867" s="3">
        <v>3</v>
      </c>
      <c r="G2867" s="6" t="s">
        <v>38</v>
      </c>
    </row>
    <row r="2868" spans="1:7" x14ac:dyDescent="0.3">
      <c r="A2868" s="2" t="s">
        <v>3607</v>
      </c>
      <c r="B2868" s="2" t="s">
        <v>3608</v>
      </c>
      <c r="C2868" s="6" t="s">
        <v>3609</v>
      </c>
      <c r="D2868" s="1">
        <v>45618</v>
      </c>
      <c r="E2868" s="4">
        <v>69.180000000000007</v>
      </c>
      <c r="F2868" s="3">
        <v>1</v>
      </c>
      <c r="G2868" s="6" t="s">
        <v>10</v>
      </c>
    </row>
    <row r="2869" spans="1:7" x14ac:dyDescent="0.3">
      <c r="A2869" s="2" t="s">
        <v>3610</v>
      </c>
      <c r="B2869" s="2" t="s">
        <v>3608</v>
      </c>
      <c r="C2869" s="6" t="s">
        <v>3609</v>
      </c>
      <c r="D2869" s="1">
        <v>45608</v>
      </c>
      <c r="E2869" s="4">
        <v>303.69</v>
      </c>
      <c r="F2869" s="3">
        <v>2</v>
      </c>
      <c r="G2869" s="6" t="s">
        <v>18</v>
      </c>
    </row>
    <row r="2870" spans="1:7" x14ac:dyDescent="0.3">
      <c r="A2870" s="2" t="s">
        <v>3611</v>
      </c>
      <c r="B2870" s="2" t="s">
        <v>3608</v>
      </c>
      <c r="C2870" s="6" t="s">
        <v>3609</v>
      </c>
      <c r="D2870" s="1">
        <v>45512</v>
      </c>
      <c r="E2870" s="4">
        <v>36.43</v>
      </c>
      <c r="F2870" s="3">
        <v>4</v>
      </c>
      <c r="G2870" s="6" t="s">
        <v>12</v>
      </c>
    </row>
    <row r="2871" spans="1:7" x14ac:dyDescent="0.3">
      <c r="A2871" s="2" t="s">
        <v>3612</v>
      </c>
      <c r="B2871" s="2" t="s">
        <v>3608</v>
      </c>
      <c r="C2871" s="6" t="s">
        <v>3609</v>
      </c>
      <c r="D2871" s="1">
        <v>45561</v>
      </c>
      <c r="E2871" s="4">
        <v>312.56</v>
      </c>
      <c r="F2871" s="3">
        <v>3</v>
      </c>
      <c r="G2871" s="6" t="s">
        <v>15</v>
      </c>
    </row>
    <row r="2872" spans="1:7" x14ac:dyDescent="0.3">
      <c r="A2872" s="2" t="s">
        <v>3613</v>
      </c>
      <c r="B2872" s="2" t="s">
        <v>3608</v>
      </c>
      <c r="C2872" s="6" t="s">
        <v>3609</v>
      </c>
      <c r="D2872" s="1">
        <v>45566</v>
      </c>
      <c r="E2872" s="4">
        <v>70.55</v>
      </c>
      <c r="F2872" s="3">
        <v>2</v>
      </c>
      <c r="G2872" s="6" t="s">
        <v>12</v>
      </c>
    </row>
    <row r="2873" spans="1:7" x14ac:dyDescent="0.3">
      <c r="A2873" s="2" t="s">
        <v>3614</v>
      </c>
      <c r="B2873" s="2" t="s">
        <v>3608</v>
      </c>
      <c r="C2873" s="6" t="s">
        <v>3609</v>
      </c>
      <c r="D2873" s="1">
        <v>45575</v>
      </c>
      <c r="E2873" s="4">
        <v>417.73</v>
      </c>
      <c r="F2873" s="3">
        <v>2</v>
      </c>
      <c r="G2873" s="6" t="s">
        <v>18</v>
      </c>
    </row>
    <row r="2874" spans="1:7" x14ac:dyDescent="0.3">
      <c r="A2874" s="2" t="s">
        <v>3615</v>
      </c>
      <c r="B2874" s="2" t="s">
        <v>3608</v>
      </c>
      <c r="C2874" s="6" t="s">
        <v>3609</v>
      </c>
      <c r="D2874" s="1">
        <v>45564</v>
      </c>
      <c r="E2874" s="4">
        <v>122.94</v>
      </c>
      <c r="F2874" s="3">
        <v>2</v>
      </c>
      <c r="G2874" s="6" t="s">
        <v>38</v>
      </c>
    </row>
    <row r="2875" spans="1:7" x14ac:dyDescent="0.3">
      <c r="A2875" s="2" t="s">
        <v>3616</v>
      </c>
      <c r="B2875" s="2" t="s">
        <v>3608</v>
      </c>
      <c r="C2875" s="6" t="s">
        <v>3609</v>
      </c>
      <c r="D2875" s="1">
        <v>45545</v>
      </c>
      <c r="E2875" s="4">
        <v>370.96</v>
      </c>
      <c r="F2875" s="3">
        <v>1</v>
      </c>
      <c r="G2875" s="6" t="s">
        <v>18</v>
      </c>
    </row>
    <row r="2876" spans="1:7" x14ac:dyDescent="0.3">
      <c r="A2876" s="2" t="s">
        <v>3617</v>
      </c>
      <c r="B2876" s="2" t="s">
        <v>3608</v>
      </c>
      <c r="C2876" s="6" t="s">
        <v>3609</v>
      </c>
      <c r="D2876" s="1">
        <v>45655</v>
      </c>
      <c r="E2876" s="4">
        <v>266.35000000000002</v>
      </c>
      <c r="F2876" s="3">
        <v>4</v>
      </c>
      <c r="G2876" s="6" t="s">
        <v>38</v>
      </c>
    </row>
    <row r="2877" spans="1:7" x14ac:dyDescent="0.3">
      <c r="A2877" s="2" t="s">
        <v>3618</v>
      </c>
      <c r="B2877" s="2" t="s">
        <v>3608</v>
      </c>
      <c r="C2877" s="6" t="s">
        <v>3609</v>
      </c>
      <c r="D2877" s="1">
        <v>45651</v>
      </c>
      <c r="E2877" s="4">
        <v>299.29000000000002</v>
      </c>
      <c r="F2877" s="3">
        <v>1</v>
      </c>
      <c r="G2877" s="6" t="s">
        <v>10</v>
      </c>
    </row>
    <row r="2878" spans="1:7" x14ac:dyDescent="0.3">
      <c r="A2878" s="2" t="s">
        <v>3619</v>
      </c>
      <c r="B2878" s="2" t="s">
        <v>3608</v>
      </c>
      <c r="C2878" s="6" t="s">
        <v>3609</v>
      </c>
      <c r="D2878" s="1">
        <v>45574</v>
      </c>
      <c r="E2878" s="4">
        <v>137.9</v>
      </c>
      <c r="F2878" s="3">
        <v>1</v>
      </c>
      <c r="G2878" s="6" t="s">
        <v>38</v>
      </c>
    </row>
    <row r="2879" spans="1:7" x14ac:dyDescent="0.3">
      <c r="A2879" s="2" t="s">
        <v>3620</v>
      </c>
      <c r="B2879" s="2" t="s">
        <v>3608</v>
      </c>
      <c r="C2879" s="6" t="s">
        <v>3609</v>
      </c>
      <c r="D2879" s="1">
        <v>45544</v>
      </c>
      <c r="E2879" s="4">
        <v>134.81</v>
      </c>
      <c r="F2879" s="3">
        <v>2</v>
      </c>
      <c r="G2879" s="6" t="s">
        <v>12</v>
      </c>
    </row>
    <row r="2880" spans="1:7" x14ac:dyDescent="0.3">
      <c r="A2880" s="2" t="s">
        <v>3621</v>
      </c>
      <c r="B2880" s="2" t="s">
        <v>3608</v>
      </c>
      <c r="C2880" s="6" t="s">
        <v>3609</v>
      </c>
      <c r="D2880" s="1">
        <v>45583</v>
      </c>
      <c r="E2880" s="4">
        <v>211.59</v>
      </c>
      <c r="F2880" s="3">
        <v>1</v>
      </c>
      <c r="G2880" s="6" t="s">
        <v>18</v>
      </c>
    </row>
    <row r="2881" spans="1:7" x14ac:dyDescent="0.3">
      <c r="A2881" s="2" t="s">
        <v>3622</v>
      </c>
      <c r="B2881" s="2" t="s">
        <v>3608</v>
      </c>
      <c r="C2881" s="6" t="s">
        <v>3609</v>
      </c>
      <c r="D2881" s="1">
        <v>45641</v>
      </c>
      <c r="E2881" s="4">
        <v>487.11</v>
      </c>
      <c r="F2881" s="3">
        <v>2</v>
      </c>
      <c r="G2881" s="6" t="s">
        <v>38</v>
      </c>
    </row>
    <row r="2882" spans="1:7" x14ac:dyDescent="0.3">
      <c r="A2882" s="2" t="s">
        <v>3623</v>
      </c>
      <c r="B2882" s="2" t="s">
        <v>3624</v>
      </c>
      <c r="C2882" s="6" t="s">
        <v>3625</v>
      </c>
      <c r="D2882" s="1">
        <v>45579</v>
      </c>
      <c r="E2882" s="4">
        <v>430.37</v>
      </c>
      <c r="F2882" s="3">
        <v>1</v>
      </c>
      <c r="G2882" s="6" t="s">
        <v>26</v>
      </c>
    </row>
    <row r="2883" spans="1:7" x14ac:dyDescent="0.3">
      <c r="A2883" s="2" t="s">
        <v>3626</v>
      </c>
      <c r="B2883" s="2" t="s">
        <v>3624</v>
      </c>
      <c r="C2883" s="6" t="s">
        <v>3625</v>
      </c>
      <c r="D2883" s="1">
        <v>45386</v>
      </c>
      <c r="E2883" s="4">
        <v>287.56</v>
      </c>
      <c r="F2883" s="3">
        <v>2</v>
      </c>
      <c r="G2883" s="6" t="s">
        <v>10</v>
      </c>
    </row>
    <row r="2884" spans="1:7" x14ac:dyDescent="0.3">
      <c r="A2884" s="2" t="s">
        <v>3627</v>
      </c>
      <c r="B2884" s="2" t="s">
        <v>3624</v>
      </c>
      <c r="C2884" s="6" t="s">
        <v>3625</v>
      </c>
      <c r="D2884" s="1">
        <v>45584</v>
      </c>
      <c r="E2884" s="4">
        <v>337.41</v>
      </c>
      <c r="F2884" s="3">
        <v>4</v>
      </c>
      <c r="G2884" s="6" t="s">
        <v>10</v>
      </c>
    </row>
    <row r="2885" spans="1:7" x14ac:dyDescent="0.3">
      <c r="A2885" s="2" t="s">
        <v>3628</v>
      </c>
      <c r="B2885" s="2" t="s">
        <v>3624</v>
      </c>
      <c r="C2885" s="6" t="s">
        <v>3625</v>
      </c>
      <c r="D2885" s="1">
        <v>45630</v>
      </c>
      <c r="E2885" s="4">
        <v>259.52</v>
      </c>
      <c r="F2885" s="3">
        <v>4</v>
      </c>
      <c r="G2885" s="6" t="s">
        <v>26</v>
      </c>
    </row>
    <row r="2886" spans="1:7" x14ac:dyDescent="0.3">
      <c r="A2886" s="2" t="s">
        <v>3629</v>
      </c>
      <c r="B2886" s="2" t="s">
        <v>3624</v>
      </c>
      <c r="C2886" s="6" t="s">
        <v>3625</v>
      </c>
      <c r="D2886" s="1">
        <v>45613</v>
      </c>
      <c r="E2886" s="4">
        <v>224.27</v>
      </c>
      <c r="F2886" s="3">
        <v>4</v>
      </c>
      <c r="G2886" s="6" t="s">
        <v>26</v>
      </c>
    </row>
    <row r="2887" spans="1:7" x14ac:dyDescent="0.3">
      <c r="A2887" s="2" t="s">
        <v>3630</v>
      </c>
      <c r="B2887" s="2" t="s">
        <v>3624</v>
      </c>
      <c r="C2887" s="6" t="s">
        <v>3625</v>
      </c>
      <c r="D2887" s="1">
        <v>45468</v>
      </c>
      <c r="E2887" s="4">
        <v>246.97</v>
      </c>
      <c r="F2887" s="3">
        <v>1</v>
      </c>
      <c r="G2887" s="6" t="s">
        <v>26</v>
      </c>
    </row>
    <row r="2888" spans="1:7" x14ac:dyDescent="0.3">
      <c r="A2888" s="2" t="s">
        <v>3631</v>
      </c>
      <c r="B2888" s="2" t="s">
        <v>3624</v>
      </c>
      <c r="C2888" s="6" t="s">
        <v>3625</v>
      </c>
      <c r="D2888" s="1">
        <v>45578</v>
      </c>
      <c r="E2888" s="4">
        <v>384.17</v>
      </c>
      <c r="F2888" s="3">
        <v>4</v>
      </c>
      <c r="G2888" s="6" t="s">
        <v>18</v>
      </c>
    </row>
    <row r="2889" spans="1:7" x14ac:dyDescent="0.3">
      <c r="A2889" s="2" t="s">
        <v>3632</v>
      </c>
      <c r="B2889" s="2" t="s">
        <v>3624</v>
      </c>
      <c r="C2889" s="6" t="s">
        <v>3625</v>
      </c>
      <c r="D2889" s="1">
        <v>45460</v>
      </c>
      <c r="E2889" s="4">
        <v>496.09</v>
      </c>
      <c r="F2889" s="3">
        <v>4</v>
      </c>
      <c r="G2889" s="6" t="s">
        <v>18</v>
      </c>
    </row>
    <row r="2890" spans="1:7" x14ac:dyDescent="0.3">
      <c r="A2890" s="2" t="s">
        <v>3633</v>
      </c>
      <c r="B2890" s="2" t="s">
        <v>3634</v>
      </c>
      <c r="C2890" s="6" t="s">
        <v>3635</v>
      </c>
      <c r="D2890" s="1">
        <v>45621</v>
      </c>
      <c r="E2890" s="4">
        <v>386.25</v>
      </c>
      <c r="F2890" s="3">
        <v>4</v>
      </c>
      <c r="G2890" s="6" t="s">
        <v>26</v>
      </c>
    </row>
    <row r="2891" spans="1:7" x14ac:dyDescent="0.3">
      <c r="A2891" s="2" t="s">
        <v>3636</v>
      </c>
      <c r="B2891" s="2" t="s">
        <v>3634</v>
      </c>
      <c r="C2891" s="6" t="s">
        <v>3635</v>
      </c>
      <c r="D2891" s="1">
        <v>45623</v>
      </c>
      <c r="E2891" s="4">
        <v>109.5</v>
      </c>
      <c r="F2891" s="3">
        <v>2</v>
      </c>
      <c r="G2891" s="6" t="s">
        <v>12</v>
      </c>
    </row>
    <row r="2892" spans="1:7" x14ac:dyDescent="0.3">
      <c r="A2892" s="2" t="s">
        <v>3637</v>
      </c>
      <c r="B2892" s="2" t="s">
        <v>3634</v>
      </c>
      <c r="C2892" s="6" t="s">
        <v>3635</v>
      </c>
      <c r="D2892" s="1">
        <v>45621</v>
      </c>
      <c r="E2892" s="4">
        <v>313.94</v>
      </c>
      <c r="F2892" s="3">
        <v>4</v>
      </c>
      <c r="G2892" s="6" t="s">
        <v>38</v>
      </c>
    </row>
    <row r="2893" spans="1:7" x14ac:dyDescent="0.3">
      <c r="A2893" s="2" t="s">
        <v>3638</v>
      </c>
      <c r="B2893" s="2" t="s">
        <v>3634</v>
      </c>
      <c r="C2893" s="6" t="s">
        <v>3635</v>
      </c>
      <c r="D2893" s="1">
        <v>45627</v>
      </c>
      <c r="E2893" s="4">
        <v>297.23</v>
      </c>
      <c r="F2893" s="3">
        <v>3</v>
      </c>
      <c r="G2893" s="6" t="s">
        <v>15</v>
      </c>
    </row>
    <row r="2894" spans="1:7" x14ac:dyDescent="0.3">
      <c r="A2894" s="2" t="s">
        <v>3639</v>
      </c>
      <c r="B2894" s="2" t="s">
        <v>3634</v>
      </c>
      <c r="C2894" s="6" t="s">
        <v>3635</v>
      </c>
      <c r="D2894" s="1">
        <v>45639</v>
      </c>
      <c r="E2894" s="4">
        <v>235.2</v>
      </c>
      <c r="F2894" s="3">
        <v>4</v>
      </c>
      <c r="G2894" s="6" t="s">
        <v>10</v>
      </c>
    </row>
    <row r="2895" spans="1:7" x14ac:dyDescent="0.3">
      <c r="A2895" s="2" t="s">
        <v>3640</v>
      </c>
      <c r="B2895" s="2" t="s">
        <v>3634</v>
      </c>
      <c r="C2895" s="6" t="s">
        <v>3635</v>
      </c>
      <c r="D2895" s="1">
        <v>45629</v>
      </c>
      <c r="E2895" s="4">
        <v>157.72999999999999</v>
      </c>
      <c r="F2895" s="3">
        <v>2</v>
      </c>
      <c r="G2895" s="6" t="s">
        <v>18</v>
      </c>
    </row>
    <row r="2896" spans="1:7" x14ac:dyDescent="0.3">
      <c r="A2896" s="2" t="s">
        <v>3641</v>
      </c>
      <c r="B2896" s="2" t="s">
        <v>3634</v>
      </c>
      <c r="C2896" s="6" t="s">
        <v>3635</v>
      </c>
      <c r="D2896" s="1">
        <v>45617</v>
      </c>
      <c r="E2896" s="4">
        <v>214.18</v>
      </c>
      <c r="F2896" s="3">
        <v>1</v>
      </c>
      <c r="G2896" s="6" t="s">
        <v>10</v>
      </c>
    </row>
    <row r="2897" spans="1:7" x14ac:dyDescent="0.3">
      <c r="A2897" s="2" t="s">
        <v>3642</v>
      </c>
      <c r="B2897" s="2" t="s">
        <v>3634</v>
      </c>
      <c r="C2897" s="6" t="s">
        <v>3635</v>
      </c>
      <c r="D2897" s="1">
        <v>45613</v>
      </c>
      <c r="E2897" s="4">
        <v>422.55</v>
      </c>
      <c r="F2897" s="3">
        <v>4</v>
      </c>
      <c r="G2897" s="6" t="s">
        <v>10</v>
      </c>
    </row>
    <row r="2898" spans="1:7" x14ac:dyDescent="0.3">
      <c r="A2898" s="2" t="s">
        <v>3643</v>
      </c>
      <c r="B2898" s="2" t="s">
        <v>3644</v>
      </c>
      <c r="C2898" s="6" t="s">
        <v>3645</v>
      </c>
      <c r="D2898" s="1">
        <v>45479</v>
      </c>
      <c r="E2898" s="4">
        <v>363</v>
      </c>
      <c r="F2898" s="3">
        <v>2</v>
      </c>
      <c r="G2898" s="6" t="s">
        <v>18</v>
      </c>
    </row>
    <row r="2899" spans="1:7" x14ac:dyDescent="0.3">
      <c r="A2899" s="2" t="s">
        <v>3646</v>
      </c>
      <c r="B2899" s="2" t="s">
        <v>3644</v>
      </c>
      <c r="C2899" s="6" t="s">
        <v>3645</v>
      </c>
      <c r="D2899" s="1">
        <v>45398</v>
      </c>
      <c r="E2899" s="4">
        <v>161.30000000000001</v>
      </c>
      <c r="F2899" s="3">
        <v>1</v>
      </c>
      <c r="G2899" s="6" t="s">
        <v>10</v>
      </c>
    </row>
    <row r="2900" spans="1:7" x14ac:dyDescent="0.3">
      <c r="A2900" s="2" t="s">
        <v>3647</v>
      </c>
      <c r="B2900" s="2" t="s">
        <v>3644</v>
      </c>
      <c r="C2900" s="6" t="s">
        <v>3645</v>
      </c>
      <c r="D2900" s="1">
        <v>45399</v>
      </c>
      <c r="E2900" s="4">
        <v>460.9</v>
      </c>
      <c r="F2900" s="3">
        <v>1</v>
      </c>
      <c r="G2900" s="6" t="s">
        <v>38</v>
      </c>
    </row>
    <row r="2901" spans="1:7" x14ac:dyDescent="0.3">
      <c r="A2901" s="2" t="s">
        <v>3648</v>
      </c>
      <c r="B2901" s="2" t="s">
        <v>3649</v>
      </c>
      <c r="C2901" s="6" t="s">
        <v>3650</v>
      </c>
      <c r="D2901" s="1">
        <v>45392</v>
      </c>
      <c r="E2901" s="4">
        <v>284.31</v>
      </c>
      <c r="F2901" s="3">
        <v>1</v>
      </c>
      <c r="G2901" s="6" t="s">
        <v>10</v>
      </c>
    </row>
    <row r="2902" spans="1:7" x14ac:dyDescent="0.3">
      <c r="A2902" s="2" t="s">
        <v>3651</v>
      </c>
      <c r="B2902" s="2" t="s">
        <v>3649</v>
      </c>
      <c r="C2902" s="6" t="s">
        <v>3650</v>
      </c>
      <c r="D2902" s="1">
        <v>45586</v>
      </c>
      <c r="E2902" s="4">
        <v>368.9</v>
      </c>
      <c r="F2902" s="3">
        <v>2</v>
      </c>
      <c r="G2902" s="6" t="s">
        <v>12</v>
      </c>
    </row>
    <row r="2903" spans="1:7" x14ac:dyDescent="0.3">
      <c r="A2903" s="2" t="s">
        <v>3652</v>
      </c>
      <c r="B2903" s="2" t="s">
        <v>3649</v>
      </c>
      <c r="C2903" s="6" t="s">
        <v>3650</v>
      </c>
      <c r="D2903" s="1">
        <v>45228</v>
      </c>
      <c r="E2903" s="4">
        <v>225.12</v>
      </c>
      <c r="F2903" s="3">
        <v>2</v>
      </c>
      <c r="G2903" s="6" t="s">
        <v>10</v>
      </c>
    </row>
    <row r="2904" spans="1:7" x14ac:dyDescent="0.3">
      <c r="A2904" s="2" t="s">
        <v>3653</v>
      </c>
      <c r="B2904" s="2" t="s">
        <v>3649</v>
      </c>
      <c r="C2904" s="6" t="s">
        <v>3650</v>
      </c>
      <c r="D2904" s="1">
        <v>45011</v>
      </c>
      <c r="E2904" s="4">
        <v>267.52999999999997</v>
      </c>
      <c r="F2904" s="3">
        <v>3</v>
      </c>
      <c r="G2904" s="6" t="s">
        <v>10</v>
      </c>
    </row>
    <row r="2905" spans="1:7" x14ac:dyDescent="0.3">
      <c r="A2905" s="2" t="s">
        <v>3654</v>
      </c>
      <c r="B2905" s="2" t="s">
        <v>3655</v>
      </c>
      <c r="C2905" s="6" t="s">
        <v>3656</v>
      </c>
      <c r="D2905" s="1">
        <v>45450</v>
      </c>
      <c r="E2905" s="4">
        <v>246.1</v>
      </c>
      <c r="F2905" s="3">
        <v>4</v>
      </c>
      <c r="G2905" s="6" t="s">
        <v>18</v>
      </c>
    </row>
    <row r="2906" spans="1:7" x14ac:dyDescent="0.3">
      <c r="A2906" s="2" t="s">
        <v>3657</v>
      </c>
      <c r="B2906" s="2" t="s">
        <v>3658</v>
      </c>
      <c r="C2906" s="6" t="s">
        <v>3659</v>
      </c>
      <c r="D2906" s="1">
        <v>45543</v>
      </c>
      <c r="E2906" s="4">
        <v>291.39999999999998</v>
      </c>
      <c r="F2906" s="3">
        <v>2</v>
      </c>
      <c r="G2906" s="6" t="s">
        <v>38</v>
      </c>
    </row>
    <row r="2907" spans="1:7" x14ac:dyDescent="0.3">
      <c r="A2907" s="2" t="s">
        <v>3660</v>
      </c>
      <c r="B2907" s="2" t="s">
        <v>3658</v>
      </c>
      <c r="C2907" s="6" t="s">
        <v>3659</v>
      </c>
      <c r="D2907" s="1">
        <v>45142</v>
      </c>
      <c r="E2907" s="4">
        <v>311.66000000000003</v>
      </c>
      <c r="F2907" s="3">
        <v>3</v>
      </c>
      <c r="G2907" s="6" t="s">
        <v>18</v>
      </c>
    </row>
    <row r="2908" spans="1:7" x14ac:dyDescent="0.3">
      <c r="A2908" s="2" t="s">
        <v>3661</v>
      </c>
      <c r="B2908" s="2" t="s">
        <v>3658</v>
      </c>
      <c r="C2908" s="6" t="s">
        <v>3659</v>
      </c>
      <c r="D2908" s="1">
        <v>45622</v>
      </c>
      <c r="E2908" s="4">
        <v>418.01</v>
      </c>
      <c r="F2908" s="3">
        <v>4</v>
      </c>
      <c r="G2908" s="6" t="s">
        <v>12</v>
      </c>
    </row>
    <row r="2909" spans="1:7" x14ac:dyDescent="0.3">
      <c r="A2909" s="2" t="s">
        <v>3662</v>
      </c>
      <c r="B2909" s="2" t="s">
        <v>3658</v>
      </c>
      <c r="C2909" s="6" t="s">
        <v>3659</v>
      </c>
      <c r="D2909" s="1">
        <v>45477</v>
      </c>
      <c r="E2909" s="4">
        <v>349</v>
      </c>
      <c r="F2909" s="3">
        <v>3</v>
      </c>
      <c r="G2909" s="6" t="s">
        <v>26</v>
      </c>
    </row>
    <row r="2910" spans="1:7" x14ac:dyDescent="0.3">
      <c r="A2910" s="2" t="s">
        <v>3663</v>
      </c>
      <c r="B2910" s="2" t="s">
        <v>3658</v>
      </c>
      <c r="C2910" s="6" t="s">
        <v>3659</v>
      </c>
      <c r="D2910" s="1">
        <v>45607</v>
      </c>
      <c r="E2910" s="4">
        <v>75.650000000000006</v>
      </c>
      <c r="F2910" s="3">
        <v>1</v>
      </c>
      <c r="G2910" s="6" t="s">
        <v>26</v>
      </c>
    </row>
    <row r="2911" spans="1:7" x14ac:dyDescent="0.3">
      <c r="A2911" s="2" t="s">
        <v>3664</v>
      </c>
      <c r="B2911" s="2" t="s">
        <v>3658</v>
      </c>
      <c r="C2911" s="6" t="s">
        <v>3659</v>
      </c>
      <c r="D2911" s="1">
        <v>45583</v>
      </c>
      <c r="E2911" s="4">
        <v>463.08</v>
      </c>
      <c r="F2911" s="3">
        <v>3</v>
      </c>
      <c r="G2911" s="6" t="s">
        <v>12</v>
      </c>
    </row>
    <row r="2912" spans="1:7" x14ac:dyDescent="0.3">
      <c r="A2912" s="2" t="s">
        <v>3665</v>
      </c>
      <c r="B2912" s="2" t="s">
        <v>3658</v>
      </c>
      <c r="C2912" s="6" t="s">
        <v>3659</v>
      </c>
      <c r="D2912" s="1">
        <v>45411</v>
      </c>
      <c r="E2912" s="4">
        <v>398.78</v>
      </c>
      <c r="F2912" s="3">
        <v>2</v>
      </c>
      <c r="G2912" s="6" t="s">
        <v>10</v>
      </c>
    </row>
    <row r="2913" spans="1:7" x14ac:dyDescent="0.3">
      <c r="A2913" s="2" t="s">
        <v>3666</v>
      </c>
      <c r="B2913" s="2" t="s">
        <v>3667</v>
      </c>
      <c r="C2913" s="6" t="s">
        <v>3668</v>
      </c>
      <c r="D2913" s="1">
        <v>45368</v>
      </c>
      <c r="E2913" s="4">
        <v>469.8</v>
      </c>
      <c r="F2913" s="3">
        <v>2</v>
      </c>
      <c r="G2913" s="6" t="s">
        <v>38</v>
      </c>
    </row>
    <row r="2914" spans="1:7" x14ac:dyDescent="0.3">
      <c r="A2914" s="2" t="s">
        <v>3669</v>
      </c>
      <c r="B2914" s="2" t="s">
        <v>3670</v>
      </c>
      <c r="C2914" s="6" t="s">
        <v>3671</v>
      </c>
      <c r="D2914" s="1">
        <v>45655</v>
      </c>
      <c r="E2914" s="4">
        <v>347.95</v>
      </c>
      <c r="F2914" s="3">
        <v>2</v>
      </c>
      <c r="G2914" s="6" t="s">
        <v>18</v>
      </c>
    </row>
    <row r="2915" spans="1:7" x14ac:dyDescent="0.3">
      <c r="A2915" s="2" t="s">
        <v>3672</v>
      </c>
      <c r="B2915" s="2" t="s">
        <v>3670</v>
      </c>
      <c r="C2915" s="6" t="s">
        <v>3671</v>
      </c>
      <c r="D2915" s="1">
        <v>45655</v>
      </c>
      <c r="E2915" s="4">
        <v>220.13</v>
      </c>
      <c r="F2915" s="3">
        <v>4</v>
      </c>
      <c r="G2915" s="6" t="s">
        <v>15</v>
      </c>
    </row>
    <row r="2916" spans="1:7" x14ac:dyDescent="0.3">
      <c r="A2916" s="2" t="s">
        <v>3673</v>
      </c>
      <c r="B2916" s="2" t="s">
        <v>3670</v>
      </c>
      <c r="C2916" s="6" t="s">
        <v>3671</v>
      </c>
      <c r="D2916" s="1">
        <v>45615</v>
      </c>
      <c r="E2916" s="4">
        <v>203.79</v>
      </c>
      <c r="F2916" s="3">
        <v>3</v>
      </c>
      <c r="G2916" s="6" t="s">
        <v>12</v>
      </c>
    </row>
    <row r="2917" spans="1:7" x14ac:dyDescent="0.3">
      <c r="A2917" s="2" t="s">
        <v>3674</v>
      </c>
      <c r="B2917" s="2" t="s">
        <v>3670</v>
      </c>
      <c r="C2917" s="6" t="s">
        <v>3671</v>
      </c>
      <c r="D2917" s="1">
        <v>45643</v>
      </c>
      <c r="E2917" s="4">
        <v>156.12</v>
      </c>
      <c r="F2917" s="3">
        <v>1</v>
      </c>
      <c r="G2917" s="6" t="s">
        <v>15</v>
      </c>
    </row>
    <row r="2918" spans="1:7" x14ac:dyDescent="0.3">
      <c r="A2918" s="2" t="s">
        <v>3675</v>
      </c>
      <c r="B2918" s="2" t="s">
        <v>3670</v>
      </c>
      <c r="C2918" s="6" t="s">
        <v>3671</v>
      </c>
      <c r="D2918" s="1">
        <v>45652</v>
      </c>
      <c r="E2918" s="4">
        <v>35.42</v>
      </c>
      <c r="F2918" s="3">
        <v>3</v>
      </c>
      <c r="G2918" s="6" t="s">
        <v>38</v>
      </c>
    </row>
    <row r="2919" spans="1:7" x14ac:dyDescent="0.3">
      <c r="A2919" s="2" t="s">
        <v>3676</v>
      </c>
      <c r="B2919" s="2" t="s">
        <v>3670</v>
      </c>
      <c r="C2919" s="6" t="s">
        <v>3671</v>
      </c>
      <c r="D2919" s="1">
        <v>45632</v>
      </c>
      <c r="E2919" s="4">
        <v>472.25</v>
      </c>
      <c r="F2919" s="3">
        <v>2</v>
      </c>
      <c r="G2919" s="6" t="s">
        <v>38</v>
      </c>
    </row>
    <row r="2920" spans="1:7" x14ac:dyDescent="0.3">
      <c r="A2920" s="2" t="s">
        <v>3677</v>
      </c>
      <c r="B2920" s="2" t="s">
        <v>3670</v>
      </c>
      <c r="C2920" s="6" t="s">
        <v>3671</v>
      </c>
      <c r="D2920" s="1">
        <v>45624</v>
      </c>
      <c r="E2920" s="4">
        <v>175.88</v>
      </c>
      <c r="F2920" s="3">
        <v>4</v>
      </c>
      <c r="G2920" s="6" t="s">
        <v>15</v>
      </c>
    </row>
    <row r="2921" spans="1:7" x14ac:dyDescent="0.3">
      <c r="A2921" s="2" t="s">
        <v>3678</v>
      </c>
      <c r="B2921" s="2" t="s">
        <v>3670</v>
      </c>
      <c r="C2921" s="6" t="s">
        <v>3671</v>
      </c>
      <c r="D2921" s="1">
        <v>45625</v>
      </c>
      <c r="E2921" s="4">
        <v>322.62</v>
      </c>
      <c r="F2921" s="3">
        <v>1</v>
      </c>
      <c r="G2921" s="6" t="s">
        <v>15</v>
      </c>
    </row>
    <row r="2922" spans="1:7" x14ac:dyDescent="0.3">
      <c r="A2922" s="2" t="s">
        <v>3679</v>
      </c>
      <c r="B2922" s="2" t="s">
        <v>3670</v>
      </c>
      <c r="C2922" s="6" t="s">
        <v>3671</v>
      </c>
      <c r="D2922" s="1">
        <v>45649</v>
      </c>
      <c r="E2922" s="4">
        <v>493.34</v>
      </c>
      <c r="F2922" s="3">
        <v>3</v>
      </c>
      <c r="G2922" s="6" t="s">
        <v>26</v>
      </c>
    </row>
    <row r="2923" spans="1:7" x14ac:dyDescent="0.3">
      <c r="A2923" s="2" t="s">
        <v>3680</v>
      </c>
      <c r="B2923" s="2" t="s">
        <v>3670</v>
      </c>
      <c r="C2923" s="6" t="s">
        <v>3671</v>
      </c>
      <c r="D2923" s="1">
        <v>45651</v>
      </c>
      <c r="E2923" s="4">
        <v>23.65</v>
      </c>
      <c r="F2923" s="3">
        <v>2</v>
      </c>
      <c r="G2923" s="6" t="s">
        <v>18</v>
      </c>
    </row>
    <row r="2924" spans="1:7" x14ac:dyDescent="0.3">
      <c r="A2924" s="2" t="s">
        <v>3681</v>
      </c>
      <c r="B2924" s="2" t="s">
        <v>3670</v>
      </c>
      <c r="C2924" s="6" t="s">
        <v>3671</v>
      </c>
      <c r="D2924" s="1">
        <v>45651</v>
      </c>
      <c r="E2924" s="4">
        <v>417.04</v>
      </c>
      <c r="F2924" s="3">
        <v>1</v>
      </c>
      <c r="G2924" s="6" t="s">
        <v>38</v>
      </c>
    </row>
    <row r="2925" spans="1:7" x14ac:dyDescent="0.3">
      <c r="A2925" s="2" t="s">
        <v>3682</v>
      </c>
      <c r="B2925" s="2" t="s">
        <v>3670</v>
      </c>
      <c r="C2925" s="6" t="s">
        <v>3671</v>
      </c>
      <c r="D2925" s="1">
        <v>45643</v>
      </c>
      <c r="E2925" s="4">
        <v>305.89999999999998</v>
      </c>
      <c r="F2925" s="3">
        <v>3</v>
      </c>
      <c r="G2925" s="6" t="s">
        <v>10</v>
      </c>
    </row>
    <row r="2926" spans="1:7" x14ac:dyDescent="0.3">
      <c r="A2926" s="2" t="s">
        <v>3683</v>
      </c>
      <c r="B2926" s="2" t="s">
        <v>3670</v>
      </c>
      <c r="C2926" s="6" t="s">
        <v>3671</v>
      </c>
      <c r="D2926" s="1">
        <v>45655</v>
      </c>
      <c r="E2926" s="4">
        <v>268.26</v>
      </c>
      <c r="F2926" s="3">
        <v>1</v>
      </c>
      <c r="G2926" s="6" t="s">
        <v>12</v>
      </c>
    </row>
    <row r="2927" spans="1:7" x14ac:dyDescent="0.3">
      <c r="A2927" s="2" t="s">
        <v>3684</v>
      </c>
      <c r="B2927" s="2" t="s">
        <v>3670</v>
      </c>
      <c r="C2927" s="6" t="s">
        <v>3671</v>
      </c>
      <c r="D2927" s="1">
        <v>45636</v>
      </c>
      <c r="E2927" s="4">
        <v>415.74</v>
      </c>
      <c r="F2927" s="3">
        <v>3</v>
      </c>
      <c r="G2927" s="6" t="s">
        <v>18</v>
      </c>
    </row>
    <row r="2928" spans="1:7" x14ac:dyDescent="0.3">
      <c r="A2928" s="2" t="s">
        <v>3685</v>
      </c>
      <c r="B2928" s="2" t="s">
        <v>3670</v>
      </c>
      <c r="C2928" s="6" t="s">
        <v>3671</v>
      </c>
      <c r="D2928" s="1">
        <v>45634</v>
      </c>
      <c r="E2928" s="4">
        <v>300.3</v>
      </c>
      <c r="F2928" s="3">
        <v>3</v>
      </c>
      <c r="G2928" s="6" t="s">
        <v>38</v>
      </c>
    </row>
    <row r="2929" spans="1:7" x14ac:dyDescent="0.3">
      <c r="A2929" s="2" t="s">
        <v>3686</v>
      </c>
      <c r="B2929" s="2" t="s">
        <v>3687</v>
      </c>
      <c r="C2929" s="6" t="s">
        <v>3688</v>
      </c>
      <c r="D2929" s="1">
        <v>45277</v>
      </c>
      <c r="E2929" s="4">
        <v>121.44</v>
      </c>
      <c r="F2929" s="3">
        <v>2</v>
      </c>
      <c r="G2929" s="6" t="s">
        <v>26</v>
      </c>
    </row>
    <row r="2930" spans="1:7" x14ac:dyDescent="0.3">
      <c r="A2930" s="2" t="s">
        <v>3689</v>
      </c>
      <c r="B2930" s="2" t="s">
        <v>3687</v>
      </c>
      <c r="C2930" s="6" t="s">
        <v>3688</v>
      </c>
      <c r="D2930" s="1">
        <v>45430</v>
      </c>
      <c r="E2930" s="4">
        <v>308.63</v>
      </c>
      <c r="F2930" s="3">
        <v>4</v>
      </c>
      <c r="G2930" s="6" t="s">
        <v>18</v>
      </c>
    </row>
    <row r="2931" spans="1:7" x14ac:dyDescent="0.3">
      <c r="A2931" s="2" t="s">
        <v>3690</v>
      </c>
      <c r="B2931" s="2" t="s">
        <v>3687</v>
      </c>
      <c r="C2931" s="6" t="s">
        <v>3688</v>
      </c>
      <c r="D2931" s="1">
        <v>45176</v>
      </c>
      <c r="E2931" s="4">
        <v>40.82</v>
      </c>
      <c r="F2931" s="3">
        <v>2</v>
      </c>
      <c r="G2931" s="6" t="s">
        <v>38</v>
      </c>
    </row>
    <row r="2932" spans="1:7" x14ac:dyDescent="0.3">
      <c r="A2932" s="2" t="s">
        <v>3691</v>
      </c>
      <c r="B2932" s="2" t="s">
        <v>3687</v>
      </c>
      <c r="C2932" s="6" t="s">
        <v>3688</v>
      </c>
      <c r="D2932" s="1">
        <v>45372</v>
      </c>
      <c r="E2932" s="4">
        <v>236.56</v>
      </c>
      <c r="F2932" s="3">
        <v>1</v>
      </c>
      <c r="G2932" s="6" t="s">
        <v>15</v>
      </c>
    </row>
    <row r="2933" spans="1:7" x14ac:dyDescent="0.3">
      <c r="A2933" s="2" t="s">
        <v>3692</v>
      </c>
      <c r="B2933" s="2" t="s">
        <v>3687</v>
      </c>
      <c r="C2933" s="6" t="s">
        <v>3688</v>
      </c>
      <c r="D2933" s="1">
        <v>45619</v>
      </c>
      <c r="E2933" s="4">
        <v>164.05</v>
      </c>
      <c r="F2933" s="3">
        <v>3</v>
      </c>
      <c r="G2933" s="6" t="s">
        <v>10</v>
      </c>
    </row>
    <row r="2934" spans="1:7" x14ac:dyDescent="0.3">
      <c r="A2934" s="2" t="s">
        <v>3693</v>
      </c>
      <c r="B2934" s="2" t="s">
        <v>3687</v>
      </c>
      <c r="C2934" s="6" t="s">
        <v>3688</v>
      </c>
      <c r="D2934" s="1">
        <v>45315</v>
      </c>
      <c r="E2934" s="4">
        <v>392.95</v>
      </c>
      <c r="F2934" s="3">
        <v>4</v>
      </c>
      <c r="G2934" s="6" t="s">
        <v>10</v>
      </c>
    </row>
    <row r="2935" spans="1:7" x14ac:dyDescent="0.3">
      <c r="A2935" s="2" t="s">
        <v>3694</v>
      </c>
      <c r="B2935" s="2" t="s">
        <v>3687</v>
      </c>
      <c r="C2935" s="6" t="s">
        <v>3688</v>
      </c>
      <c r="D2935" s="1">
        <v>45642</v>
      </c>
      <c r="E2935" s="4">
        <v>292.70999999999998</v>
      </c>
      <c r="F2935" s="3">
        <v>1</v>
      </c>
      <c r="G2935" s="6" t="s">
        <v>18</v>
      </c>
    </row>
    <row r="2936" spans="1:7" x14ac:dyDescent="0.3">
      <c r="A2936" s="2" t="s">
        <v>3695</v>
      </c>
      <c r="B2936" s="2" t="s">
        <v>3687</v>
      </c>
      <c r="C2936" s="6" t="s">
        <v>3688</v>
      </c>
      <c r="D2936" s="1">
        <v>45479</v>
      </c>
      <c r="E2936" s="4">
        <v>12.61</v>
      </c>
      <c r="F2936" s="3">
        <v>1</v>
      </c>
      <c r="G2936" s="6" t="s">
        <v>18</v>
      </c>
    </row>
    <row r="2937" spans="1:7" x14ac:dyDescent="0.3">
      <c r="A2937" s="2" t="s">
        <v>3696</v>
      </c>
      <c r="B2937" s="2" t="s">
        <v>3687</v>
      </c>
      <c r="C2937" s="6" t="s">
        <v>3688</v>
      </c>
      <c r="D2937" s="1">
        <v>45645</v>
      </c>
      <c r="E2937" s="4">
        <v>168.12</v>
      </c>
      <c r="F2937" s="3">
        <v>2</v>
      </c>
      <c r="G2937" s="6" t="s">
        <v>26</v>
      </c>
    </row>
    <row r="2938" spans="1:7" x14ac:dyDescent="0.3">
      <c r="A2938" s="2" t="s">
        <v>3697</v>
      </c>
      <c r="B2938" s="2" t="s">
        <v>3687</v>
      </c>
      <c r="C2938" s="6" t="s">
        <v>3688</v>
      </c>
      <c r="D2938" s="1">
        <v>45584</v>
      </c>
      <c r="E2938" s="4">
        <v>308.51</v>
      </c>
      <c r="F2938" s="3">
        <v>4</v>
      </c>
      <c r="G2938" s="6" t="s">
        <v>18</v>
      </c>
    </row>
    <row r="2939" spans="1:7" x14ac:dyDescent="0.3">
      <c r="A2939" s="2" t="s">
        <v>3698</v>
      </c>
      <c r="B2939" s="2" t="s">
        <v>3687</v>
      </c>
      <c r="C2939" s="6" t="s">
        <v>3688</v>
      </c>
      <c r="D2939" s="1">
        <v>45515</v>
      </c>
      <c r="E2939" s="4">
        <v>230.76</v>
      </c>
      <c r="F2939" s="3">
        <v>1</v>
      </c>
      <c r="G2939" s="6" t="s">
        <v>26</v>
      </c>
    </row>
    <row r="2940" spans="1:7" x14ac:dyDescent="0.3">
      <c r="A2940" s="2" t="s">
        <v>3699</v>
      </c>
      <c r="B2940" s="2" t="s">
        <v>3687</v>
      </c>
      <c r="C2940" s="6" t="s">
        <v>3688</v>
      </c>
      <c r="D2940" s="1">
        <v>45545</v>
      </c>
      <c r="E2940" s="4">
        <v>389.83</v>
      </c>
      <c r="F2940" s="3">
        <v>1</v>
      </c>
      <c r="G2940" s="6" t="s">
        <v>38</v>
      </c>
    </row>
    <row r="2941" spans="1:7" x14ac:dyDescent="0.3">
      <c r="A2941" s="2" t="s">
        <v>3700</v>
      </c>
      <c r="B2941" s="2" t="s">
        <v>3687</v>
      </c>
      <c r="C2941" s="6" t="s">
        <v>3688</v>
      </c>
      <c r="D2941" s="1">
        <v>45273</v>
      </c>
      <c r="E2941" s="4">
        <v>370.78</v>
      </c>
      <c r="F2941" s="3">
        <v>2</v>
      </c>
      <c r="G2941" s="6" t="s">
        <v>18</v>
      </c>
    </row>
    <row r="2942" spans="1:7" x14ac:dyDescent="0.3">
      <c r="A2942" s="2" t="s">
        <v>3701</v>
      </c>
      <c r="B2942" s="2" t="s">
        <v>3687</v>
      </c>
      <c r="C2942" s="6" t="s">
        <v>3688</v>
      </c>
      <c r="D2942" s="1">
        <v>45479</v>
      </c>
      <c r="E2942" s="4">
        <v>67.06</v>
      </c>
      <c r="F2942" s="3">
        <v>3</v>
      </c>
      <c r="G2942" s="6" t="s">
        <v>10</v>
      </c>
    </row>
    <row r="2943" spans="1:7" x14ac:dyDescent="0.3">
      <c r="A2943" s="2" t="s">
        <v>3702</v>
      </c>
      <c r="B2943" s="2" t="s">
        <v>3703</v>
      </c>
      <c r="C2943" s="6" t="s">
        <v>3704</v>
      </c>
      <c r="D2943" s="1">
        <v>45384</v>
      </c>
      <c r="E2943" s="4">
        <v>281.62</v>
      </c>
      <c r="F2943" s="3">
        <v>4</v>
      </c>
      <c r="G2943" s="6" t="s">
        <v>15</v>
      </c>
    </row>
    <row r="2944" spans="1:7" x14ac:dyDescent="0.3">
      <c r="A2944" s="2" t="s">
        <v>3705</v>
      </c>
      <c r="B2944" s="2" t="s">
        <v>3706</v>
      </c>
      <c r="C2944" s="6" t="s">
        <v>3707</v>
      </c>
      <c r="D2944" s="1">
        <v>45557</v>
      </c>
      <c r="E2944" s="4">
        <v>192.54</v>
      </c>
      <c r="F2944" s="3">
        <v>3</v>
      </c>
      <c r="G2944" s="6" t="s">
        <v>10</v>
      </c>
    </row>
    <row r="2945" spans="1:7" x14ac:dyDescent="0.3">
      <c r="A2945" s="2" t="s">
        <v>3708</v>
      </c>
      <c r="B2945" s="2" t="s">
        <v>3706</v>
      </c>
      <c r="C2945" s="6" t="s">
        <v>3707</v>
      </c>
      <c r="D2945" s="1">
        <v>45623</v>
      </c>
      <c r="E2945" s="4">
        <v>327.86</v>
      </c>
      <c r="F2945" s="3">
        <v>3</v>
      </c>
      <c r="G2945" s="6" t="s">
        <v>26</v>
      </c>
    </row>
    <row r="2946" spans="1:7" x14ac:dyDescent="0.3">
      <c r="A2946" s="2" t="s">
        <v>3709</v>
      </c>
      <c r="B2946" s="2" t="s">
        <v>3706</v>
      </c>
      <c r="C2946" s="6" t="s">
        <v>3707</v>
      </c>
      <c r="D2946" s="1">
        <v>45581</v>
      </c>
      <c r="E2946" s="4">
        <v>15.58</v>
      </c>
      <c r="F2946" s="3">
        <v>3</v>
      </c>
      <c r="G2946" s="6" t="s">
        <v>15</v>
      </c>
    </row>
    <row r="2947" spans="1:7" x14ac:dyDescent="0.3">
      <c r="A2947" s="2" t="s">
        <v>3710</v>
      </c>
      <c r="B2947" s="2" t="s">
        <v>3706</v>
      </c>
      <c r="C2947" s="6" t="s">
        <v>3707</v>
      </c>
      <c r="D2947" s="1">
        <v>45628</v>
      </c>
      <c r="E2947" s="4">
        <v>419.5</v>
      </c>
      <c r="F2947" s="3">
        <v>1</v>
      </c>
      <c r="G2947" s="6" t="s">
        <v>26</v>
      </c>
    </row>
    <row r="2948" spans="1:7" x14ac:dyDescent="0.3">
      <c r="A2948" s="2" t="s">
        <v>3711</v>
      </c>
      <c r="B2948" s="2" t="s">
        <v>3706</v>
      </c>
      <c r="C2948" s="6" t="s">
        <v>3707</v>
      </c>
      <c r="D2948" s="1">
        <v>45567</v>
      </c>
      <c r="E2948" s="4">
        <v>234.74</v>
      </c>
      <c r="F2948" s="3">
        <v>3</v>
      </c>
      <c r="G2948" s="6" t="s">
        <v>10</v>
      </c>
    </row>
    <row r="2949" spans="1:7" x14ac:dyDescent="0.3">
      <c r="A2949" s="2" t="s">
        <v>3712</v>
      </c>
      <c r="B2949" s="2" t="s">
        <v>3706</v>
      </c>
      <c r="C2949" s="6" t="s">
        <v>3707</v>
      </c>
      <c r="D2949" s="1">
        <v>45614</v>
      </c>
      <c r="E2949" s="4">
        <v>176.79</v>
      </c>
      <c r="F2949" s="3">
        <v>4</v>
      </c>
      <c r="G2949" s="6" t="s">
        <v>15</v>
      </c>
    </row>
    <row r="2950" spans="1:7" x14ac:dyDescent="0.3">
      <c r="A2950" s="2" t="s">
        <v>3713</v>
      </c>
      <c r="B2950" s="2" t="s">
        <v>3714</v>
      </c>
      <c r="C2950" s="6" t="s">
        <v>3715</v>
      </c>
      <c r="D2950" s="1">
        <v>45174</v>
      </c>
      <c r="E2950" s="4">
        <v>62.88</v>
      </c>
      <c r="F2950" s="3">
        <v>4</v>
      </c>
      <c r="G2950" s="6" t="s">
        <v>26</v>
      </c>
    </row>
    <row r="2951" spans="1:7" x14ac:dyDescent="0.3">
      <c r="A2951" s="2" t="s">
        <v>3716</v>
      </c>
      <c r="B2951" s="2" t="s">
        <v>3714</v>
      </c>
      <c r="C2951" s="6" t="s">
        <v>3715</v>
      </c>
      <c r="D2951" s="1">
        <v>45597</v>
      </c>
      <c r="E2951" s="4">
        <v>132.88999999999999</v>
      </c>
      <c r="F2951" s="3">
        <v>1</v>
      </c>
      <c r="G2951" s="6" t="s">
        <v>38</v>
      </c>
    </row>
    <row r="2952" spans="1:7" x14ac:dyDescent="0.3">
      <c r="A2952" s="2" t="s">
        <v>3717</v>
      </c>
      <c r="B2952" s="2" t="s">
        <v>3714</v>
      </c>
      <c r="C2952" s="6" t="s">
        <v>3715</v>
      </c>
      <c r="D2952" s="1">
        <v>45552</v>
      </c>
      <c r="E2952" s="4">
        <v>284</v>
      </c>
      <c r="F2952" s="3">
        <v>1</v>
      </c>
      <c r="G2952" s="6" t="s">
        <v>38</v>
      </c>
    </row>
    <row r="2953" spans="1:7" x14ac:dyDescent="0.3">
      <c r="A2953" s="2" t="s">
        <v>3718</v>
      </c>
      <c r="B2953" s="2" t="s">
        <v>3714</v>
      </c>
      <c r="C2953" s="6" t="s">
        <v>3715</v>
      </c>
      <c r="D2953" s="1">
        <v>45538</v>
      </c>
      <c r="E2953" s="4">
        <v>89.18</v>
      </c>
      <c r="F2953" s="3">
        <v>3</v>
      </c>
      <c r="G2953" s="6" t="s">
        <v>10</v>
      </c>
    </row>
    <row r="2954" spans="1:7" x14ac:dyDescent="0.3">
      <c r="A2954" s="2" t="s">
        <v>3719</v>
      </c>
      <c r="B2954" s="2" t="s">
        <v>3714</v>
      </c>
      <c r="C2954" s="6" t="s">
        <v>3715</v>
      </c>
      <c r="D2954" s="1">
        <v>45167</v>
      </c>
      <c r="E2954" s="4">
        <v>150.46</v>
      </c>
      <c r="F2954" s="3">
        <v>1</v>
      </c>
      <c r="G2954" s="6" t="s">
        <v>18</v>
      </c>
    </row>
    <row r="2955" spans="1:7" x14ac:dyDescent="0.3">
      <c r="A2955" s="2" t="s">
        <v>3720</v>
      </c>
      <c r="B2955" s="2" t="s">
        <v>3714</v>
      </c>
      <c r="C2955" s="6" t="s">
        <v>3715</v>
      </c>
      <c r="D2955" s="1">
        <v>45575</v>
      </c>
      <c r="E2955" s="4">
        <v>333.13</v>
      </c>
      <c r="F2955" s="3">
        <v>1</v>
      </c>
      <c r="G2955" s="6" t="s">
        <v>38</v>
      </c>
    </row>
    <row r="2956" spans="1:7" x14ac:dyDescent="0.3">
      <c r="A2956" s="2" t="s">
        <v>3721</v>
      </c>
      <c r="B2956" s="2" t="s">
        <v>3714</v>
      </c>
      <c r="C2956" s="6" t="s">
        <v>3715</v>
      </c>
      <c r="D2956" s="1">
        <v>45460</v>
      </c>
      <c r="E2956" s="4">
        <v>60.85</v>
      </c>
      <c r="F2956" s="3">
        <v>2</v>
      </c>
      <c r="G2956" s="6" t="s">
        <v>38</v>
      </c>
    </row>
    <row r="2957" spans="1:7" x14ac:dyDescent="0.3">
      <c r="A2957" s="2" t="s">
        <v>3722</v>
      </c>
      <c r="B2957" s="2" t="s">
        <v>3714</v>
      </c>
      <c r="C2957" s="6" t="s">
        <v>3715</v>
      </c>
      <c r="D2957" s="1">
        <v>45116</v>
      </c>
      <c r="E2957" s="4">
        <v>153.34</v>
      </c>
      <c r="F2957" s="3">
        <v>3</v>
      </c>
      <c r="G2957" s="6" t="s">
        <v>26</v>
      </c>
    </row>
    <row r="2958" spans="1:7" x14ac:dyDescent="0.3">
      <c r="A2958" s="2" t="s">
        <v>3723</v>
      </c>
      <c r="B2958" s="2" t="s">
        <v>3714</v>
      </c>
      <c r="C2958" s="6" t="s">
        <v>3715</v>
      </c>
      <c r="D2958" s="1">
        <v>45409</v>
      </c>
      <c r="E2958" s="4">
        <v>437.06</v>
      </c>
      <c r="F2958" s="3">
        <v>4</v>
      </c>
      <c r="G2958" s="6" t="s">
        <v>15</v>
      </c>
    </row>
    <row r="2959" spans="1:7" x14ac:dyDescent="0.3">
      <c r="A2959" s="2" t="s">
        <v>3724</v>
      </c>
      <c r="B2959" s="2" t="s">
        <v>3714</v>
      </c>
      <c r="C2959" s="6" t="s">
        <v>3715</v>
      </c>
      <c r="D2959" s="1">
        <v>45048</v>
      </c>
      <c r="E2959" s="4">
        <v>437.56</v>
      </c>
      <c r="F2959" s="3">
        <v>4</v>
      </c>
      <c r="G2959" s="6" t="s">
        <v>26</v>
      </c>
    </row>
    <row r="2960" spans="1:7" x14ac:dyDescent="0.3">
      <c r="A2960" s="2" t="s">
        <v>3725</v>
      </c>
      <c r="B2960" s="2" t="s">
        <v>3714</v>
      </c>
      <c r="C2960" s="6" t="s">
        <v>3715</v>
      </c>
      <c r="D2960" s="1">
        <v>45068</v>
      </c>
      <c r="E2960" s="4">
        <v>498.53</v>
      </c>
      <c r="F2960" s="3">
        <v>3</v>
      </c>
      <c r="G2960" s="6" t="s">
        <v>10</v>
      </c>
    </row>
    <row r="2961" spans="1:7" x14ac:dyDescent="0.3">
      <c r="A2961" s="2" t="s">
        <v>3726</v>
      </c>
      <c r="B2961" s="2" t="s">
        <v>3714</v>
      </c>
      <c r="C2961" s="6" t="s">
        <v>3715</v>
      </c>
      <c r="D2961" s="1">
        <v>45184</v>
      </c>
      <c r="E2961" s="4">
        <v>147.94</v>
      </c>
      <c r="F2961" s="3">
        <v>2</v>
      </c>
      <c r="G2961" s="6" t="s">
        <v>26</v>
      </c>
    </row>
    <row r="2962" spans="1:7" x14ac:dyDescent="0.3">
      <c r="A2962" s="2" t="s">
        <v>3727</v>
      </c>
      <c r="B2962" s="2" t="s">
        <v>3714</v>
      </c>
      <c r="C2962" s="6" t="s">
        <v>3715</v>
      </c>
      <c r="D2962" s="1">
        <v>45537</v>
      </c>
      <c r="E2962" s="4">
        <v>418.3</v>
      </c>
      <c r="F2962" s="3">
        <v>2</v>
      </c>
      <c r="G2962" s="6" t="s">
        <v>15</v>
      </c>
    </row>
    <row r="2963" spans="1:7" x14ac:dyDescent="0.3">
      <c r="A2963" s="2" t="s">
        <v>3728</v>
      </c>
      <c r="B2963" s="2" t="s">
        <v>3714</v>
      </c>
      <c r="C2963" s="6" t="s">
        <v>3715</v>
      </c>
      <c r="D2963" s="1">
        <v>45470</v>
      </c>
      <c r="E2963" s="4">
        <v>292.79000000000002</v>
      </c>
      <c r="F2963" s="3">
        <v>1</v>
      </c>
      <c r="G2963" s="6" t="s">
        <v>18</v>
      </c>
    </row>
    <row r="2964" spans="1:7" x14ac:dyDescent="0.3">
      <c r="A2964" s="2" t="s">
        <v>3729</v>
      </c>
      <c r="B2964" s="2" t="s">
        <v>3714</v>
      </c>
      <c r="C2964" s="6" t="s">
        <v>3715</v>
      </c>
      <c r="D2964" s="1">
        <v>45402</v>
      </c>
      <c r="E2964" s="4">
        <v>113.74</v>
      </c>
      <c r="F2964" s="3">
        <v>4</v>
      </c>
      <c r="G2964" s="6" t="s">
        <v>18</v>
      </c>
    </row>
    <row r="2965" spans="1:7" x14ac:dyDescent="0.3">
      <c r="A2965" s="2" t="s">
        <v>3730</v>
      </c>
      <c r="B2965" s="2" t="s">
        <v>3731</v>
      </c>
      <c r="C2965" s="6" t="s">
        <v>3732</v>
      </c>
      <c r="D2965" s="1">
        <v>45547</v>
      </c>
      <c r="E2965" s="4">
        <v>214.36</v>
      </c>
      <c r="F2965" s="3">
        <v>3</v>
      </c>
      <c r="G2965" s="6" t="s">
        <v>38</v>
      </c>
    </row>
    <row r="2966" spans="1:7" x14ac:dyDescent="0.3">
      <c r="A2966" s="2" t="s">
        <v>3733</v>
      </c>
      <c r="B2966" s="2" t="s">
        <v>3731</v>
      </c>
      <c r="C2966" s="6" t="s">
        <v>3732</v>
      </c>
      <c r="D2966" s="1">
        <v>45379</v>
      </c>
      <c r="E2966" s="4">
        <v>263.54000000000002</v>
      </c>
      <c r="F2966" s="3">
        <v>4</v>
      </c>
      <c r="G2966" s="6" t="s">
        <v>15</v>
      </c>
    </row>
    <row r="2967" spans="1:7" x14ac:dyDescent="0.3">
      <c r="A2967" s="2" t="s">
        <v>3734</v>
      </c>
      <c r="B2967" s="2" t="s">
        <v>3731</v>
      </c>
      <c r="C2967" s="6" t="s">
        <v>3732</v>
      </c>
      <c r="D2967" s="1">
        <v>45379</v>
      </c>
      <c r="E2967" s="4">
        <v>263.2</v>
      </c>
      <c r="F2967" s="3">
        <v>4</v>
      </c>
      <c r="G2967" s="6" t="s">
        <v>26</v>
      </c>
    </row>
    <row r="2968" spans="1:7" x14ac:dyDescent="0.3">
      <c r="A2968" s="2" t="s">
        <v>3735</v>
      </c>
      <c r="B2968" s="2" t="s">
        <v>3731</v>
      </c>
      <c r="C2968" s="6" t="s">
        <v>3732</v>
      </c>
      <c r="D2968" s="1">
        <v>45536</v>
      </c>
      <c r="E2968" s="4">
        <v>64.680000000000007</v>
      </c>
      <c r="F2968" s="3">
        <v>2</v>
      </c>
      <c r="G2968" s="6" t="s">
        <v>18</v>
      </c>
    </row>
    <row r="2969" spans="1:7" x14ac:dyDescent="0.3">
      <c r="A2969" s="2" t="s">
        <v>3736</v>
      </c>
      <c r="B2969" s="2" t="s">
        <v>3731</v>
      </c>
      <c r="C2969" s="6" t="s">
        <v>3732</v>
      </c>
      <c r="D2969" s="1">
        <v>45521</v>
      </c>
      <c r="E2969" s="4">
        <v>292.02</v>
      </c>
      <c r="F2969" s="3">
        <v>1</v>
      </c>
      <c r="G2969" s="6" t="s">
        <v>38</v>
      </c>
    </row>
    <row r="2970" spans="1:7" x14ac:dyDescent="0.3">
      <c r="A2970" s="2" t="s">
        <v>3737</v>
      </c>
      <c r="B2970" s="2" t="s">
        <v>3738</v>
      </c>
      <c r="C2970" s="6" t="s">
        <v>3739</v>
      </c>
      <c r="D2970" s="1">
        <v>45282</v>
      </c>
      <c r="E2970" s="4">
        <v>154.86000000000001</v>
      </c>
      <c r="F2970" s="3">
        <v>3</v>
      </c>
      <c r="G2970" s="6" t="s">
        <v>12</v>
      </c>
    </row>
    <row r="2971" spans="1:7" x14ac:dyDescent="0.3">
      <c r="A2971" s="2" t="s">
        <v>3740</v>
      </c>
      <c r="B2971" s="2" t="s">
        <v>3738</v>
      </c>
      <c r="C2971" s="6" t="s">
        <v>3739</v>
      </c>
      <c r="D2971" s="1">
        <v>45619</v>
      </c>
      <c r="E2971" s="4">
        <v>427.81</v>
      </c>
      <c r="F2971" s="3">
        <v>4</v>
      </c>
      <c r="G2971" s="6" t="s">
        <v>15</v>
      </c>
    </row>
    <row r="2972" spans="1:7" x14ac:dyDescent="0.3">
      <c r="A2972" s="2" t="s">
        <v>3741</v>
      </c>
      <c r="B2972" s="2" t="s">
        <v>3742</v>
      </c>
      <c r="C2972" s="6" t="s">
        <v>3743</v>
      </c>
      <c r="D2972" s="1">
        <v>45642</v>
      </c>
      <c r="E2972" s="4">
        <v>257.45999999999998</v>
      </c>
      <c r="F2972" s="3">
        <v>1</v>
      </c>
      <c r="G2972" s="6" t="s">
        <v>12</v>
      </c>
    </row>
    <row r="2973" spans="1:7" x14ac:dyDescent="0.3">
      <c r="A2973" s="2" t="s">
        <v>3744</v>
      </c>
      <c r="B2973" s="2" t="s">
        <v>3742</v>
      </c>
      <c r="C2973" s="6" t="s">
        <v>3743</v>
      </c>
      <c r="D2973" s="1">
        <v>45587</v>
      </c>
      <c r="E2973" s="4">
        <v>444.43</v>
      </c>
      <c r="F2973" s="3">
        <v>1</v>
      </c>
      <c r="G2973" s="6" t="s">
        <v>12</v>
      </c>
    </row>
    <row r="2974" spans="1:7" x14ac:dyDescent="0.3">
      <c r="A2974" s="2" t="s">
        <v>3745</v>
      </c>
      <c r="B2974" s="2" t="s">
        <v>3742</v>
      </c>
      <c r="C2974" s="6" t="s">
        <v>3743</v>
      </c>
      <c r="D2974" s="1">
        <v>45567</v>
      </c>
      <c r="E2974" s="4">
        <v>263.39999999999998</v>
      </c>
      <c r="F2974" s="3">
        <v>4</v>
      </c>
      <c r="G2974" s="6" t="s">
        <v>26</v>
      </c>
    </row>
    <row r="2975" spans="1:7" x14ac:dyDescent="0.3">
      <c r="A2975" s="2" t="s">
        <v>3746</v>
      </c>
      <c r="B2975" s="2" t="s">
        <v>3742</v>
      </c>
      <c r="C2975" s="6" t="s">
        <v>3743</v>
      </c>
      <c r="D2975" s="1">
        <v>45408</v>
      </c>
      <c r="E2975" s="4">
        <v>384.01</v>
      </c>
      <c r="F2975" s="3">
        <v>1</v>
      </c>
      <c r="G2975" s="6" t="s">
        <v>38</v>
      </c>
    </row>
    <row r="2976" spans="1:7" x14ac:dyDescent="0.3">
      <c r="A2976" s="2" t="s">
        <v>3747</v>
      </c>
      <c r="B2976" s="2" t="s">
        <v>3742</v>
      </c>
      <c r="C2976" s="6" t="s">
        <v>3743</v>
      </c>
      <c r="D2976" s="1">
        <v>45498</v>
      </c>
      <c r="E2976" s="4">
        <v>240.22</v>
      </c>
      <c r="F2976" s="3">
        <v>3</v>
      </c>
      <c r="G2976" s="6" t="s">
        <v>26</v>
      </c>
    </row>
    <row r="2977" spans="1:7" x14ac:dyDescent="0.3">
      <c r="A2977" s="2" t="s">
        <v>3748</v>
      </c>
      <c r="B2977" s="2" t="s">
        <v>3742</v>
      </c>
      <c r="C2977" s="6" t="s">
        <v>3743</v>
      </c>
      <c r="D2977" s="1">
        <v>45443</v>
      </c>
      <c r="E2977" s="4">
        <v>171.38</v>
      </c>
      <c r="F2977" s="3">
        <v>1</v>
      </c>
      <c r="G2977" s="6" t="s">
        <v>10</v>
      </c>
    </row>
    <row r="2978" spans="1:7" x14ac:dyDescent="0.3">
      <c r="A2978" s="2" t="s">
        <v>3749</v>
      </c>
      <c r="B2978" s="2" t="s">
        <v>3742</v>
      </c>
      <c r="C2978" s="6" t="s">
        <v>3743</v>
      </c>
      <c r="D2978" s="1">
        <v>45258</v>
      </c>
      <c r="E2978" s="4">
        <v>490.16</v>
      </c>
      <c r="F2978" s="3">
        <v>1</v>
      </c>
      <c r="G2978" s="6" t="s">
        <v>12</v>
      </c>
    </row>
    <row r="2979" spans="1:7" x14ac:dyDescent="0.3">
      <c r="A2979" s="2" t="s">
        <v>3750</v>
      </c>
      <c r="B2979" s="2" t="s">
        <v>3742</v>
      </c>
      <c r="C2979" s="6" t="s">
        <v>3743</v>
      </c>
      <c r="D2979" s="1">
        <v>45264</v>
      </c>
      <c r="E2979" s="4">
        <v>44.8</v>
      </c>
      <c r="F2979" s="3">
        <v>2</v>
      </c>
      <c r="G2979" s="6" t="s">
        <v>18</v>
      </c>
    </row>
    <row r="2980" spans="1:7" x14ac:dyDescent="0.3">
      <c r="A2980" s="2" t="s">
        <v>3751</v>
      </c>
      <c r="B2980" s="2" t="s">
        <v>3752</v>
      </c>
      <c r="C2980" s="6" t="s">
        <v>3753</v>
      </c>
      <c r="D2980" s="1">
        <v>45378</v>
      </c>
      <c r="E2980" s="4">
        <v>68.709999999999994</v>
      </c>
      <c r="F2980" s="3">
        <v>4</v>
      </c>
      <c r="G2980" s="6" t="s">
        <v>15</v>
      </c>
    </row>
    <row r="2981" spans="1:7" x14ac:dyDescent="0.3">
      <c r="A2981" s="2" t="s">
        <v>3754</v>
      </c>
      <c r="B2981" s="2" t="s">
        <v>3752</v>
      </c>
      <c r="C2981" s="6" t="s">
        <v>3753</v>
      </c>
      <c r="D2981" s="1">
        <v>45324</v>
      </c>
      <c r="E2981" s="4">
        <v>52.26</v>
      </c>
      <c r="F2981" s="3">
        <v>4</v>
      </c>
      <c r="G2981" s="6" t="s">
        <v>18</v>
      </c>
    </row>
    <row r="2982" spans="1:7" x14ac:dyDescent="0.3">
      <c r="A2982" s="2" t="s">
        <v>3755</v>
      </c>
      <c r="B2982" s="2" t="s">
        <v>3752</v>
      </c>
      <c r="C2982" s="6" t="s">
        <v>3753</v>
      </c>
      <c r="D2982" s="1">
        <v>45429</v>
      </c>
      <c r="E2982" s="4">
        <v>292.44</v>
      </c>
      <c r="F2982" s="3">
        <v>3</v>
      </c>
      <c r="G2982" s="6" t="s">
        <v>15</v>
      </c>
    </row>
    <row r="2983" spans="1:7" x14ac:dyDescent="0.3">
      <c r="A2983" s="2" t="s">
        <v>3756</v>
      </c>
      <c r="B2983" s="2" t="s">
        <v>3752</v>
      </c>
      <c r="C2983" s="6" t="s">
        <v>3753</v>
      </c>
      <c r="D2983" s="1">
        <v>45366</v>
      </c>
      <c r="E2983" s="4">
        <v>71.12</v>
      </c>
      <c r="F2983" s="3">
        <v>4</v>
      </c>
      <c r="G2983" s="6" t="s">
        <v>18</v>
      </c>
    </row>
    <row r="2984" spans="1:7" x14ac:dyDescent="0.3">
      <c r="A2984" s="2" t="s">
        <v>3757</v>
      </c>
      <c r="B2984" s="2" t="s">
        <v>3752</v>
      </c>
      <c r="C2984" s="6" t="s">
        <v>3753</v>
      </c>
      <c r="D2984" s="1">
        <v>45269</v>
      </c>
      <c r="E2984" s="4">
        <v>465.96</v>
      </c>
      <c r="F2984" s="3">
        <v>1</v>
      </c>
      <c r="G2984" s="6" t="s">
        <v>10</v>
      </c>
    </row>
    <row r="2985" spans="1:7" x14ac:dyDescent="0.3">
      <c r="A2985" s="2" t="s">
        <v>3758</v>
      </c>
      <c r="B2985" s="2" t="s">
        <v>3752</v>
      </c>
      <c r="C2985" s="6" t="s">
        <v>3753</v>
      </c>
      <c r="D2985" s="1">
        <v>45593</v>
      </c>
      <c r="E2985" s="4">
        <v>119.1</v>
      </c>
      <c r="F2985" s="3">
        <v>4</v>
      </c>
      <c r="G2985" s="6" t="s">
        <v>10</v>
      </c>
    </row>
    <row r="2986" spans="1:7" x14ac:dyDescent="0.3">
      <c r="A2986" s="2" t="s">
        <v>3759</v>
      </c>
      <c r="B2986" s="2" t="s">
        <v>3752</v>
      </c>
      <c r="C2986" s="6" t="s">
        <v>3753</v>
      </c>
      <c r="D2986" s="1">
        <v>45514</v>
      </c>
      <c r="E2986" s="4">
        <v>355.13</v>
      </c>
      <c r="F2986" s="3">
        <v>3</v>
      </c>
      <c r="G2986" s="6" t="s">
        <v>15</v>
      </c>
    </row>
    <row r="2987" spans="1:7" x14ac:dyDescent="0.3">
      <c r="A2987" s="2" t="s">
        <v>3760</v>
      </c>
      <c r="B2987" s="2" t="s">
        <v>3752</v>
      </c>
      <c r="C2987" s="6" t="s">
        <v>3753</v>
      </c>
      <c r="D2987" s="1">
        <v>45379</v>
      </c>
      <c r="E2987" s="4">
        <v>169.69</v>
      </c>
      <c r="F2987" s="3">
        <v>4</v>
      </c>
      <c r="G2987" s="6" t="s">
        <v>18</v>
      </c>
    </row>
    <row r="2988" spans="1:7" x14ac:dyDescent="0.3">
      <c r="A2988" s="2" t="s">
        <v>3761</v>
      </c>
      <c r="B2988" s="2" t="s">
        <v>3762</v>
      </c>
      <c r="C2988" s="6" t="s">
        <v>3763</v>
      </c>
      <c r="D2988" s="1">
        <v>45546</v>
      </c>
      <c r="E2988" s="4">
        <v>432.45</v>
      </c>
      <c r="F2988" s="3">
        <v>1</v>
      </c>
      <c r="G2988" s="6" t="s">
        <v>26</v>
      </c>
    </row>
    <row r="2989" spans="1:7" x14ac:dyDescent="0.3">
      <c r="A2989" s="2" t="s">
        <v>3764</v>
      </c>
      <c r="B2989" s="2" t="s">
        <v>3762</v>
      </c>
      <c r="C2989" s="6" t="s">
        <v>3763</v>
      </c>
      <c r="D2989" s="1">
        <v>45457</v>
      </c>
      <c r="E2989" s="4">
        <v>332.15</v>
      </c>
      <c r="F2989" s="3">
        <v>4</v>
      </c>
      <c r="G2989" s="6" t="s">
        <v>10</v>
      </c>
    </row>
    <row r="2990" spans="1:7" x14ac:dyDescent="0.3">
      <c r="A2990" s="2" t="s">
        <v>3765</v>
      </c>
      <c r="B2990" s="2" t="s">
        <v>3762</v>
      </c>
      <c r="C2990" s="6" t="s">
        <v>3763</v>
      </c>
      <c r="D2990" s="1">
        <v>45145</v>
      </c>
      <c r="E2990" s="4">
        <v>481.26</v>
      </c>
      <c r="F2990" s="3">
        <v>4</v>
      </c>
      <c r="G2990" s="6" t="s">
        <v>26</v>
      </c>
    </row>
    <row r="2991" spans="1:7" x14ac:dyDescent="0.3">
      <c r="A2991" s="2" t="s">
        <v>3766</v>
      </c>
      <c r="B2991" s="2" t="s">
        <v>3767</v>
      </c>
      <c r="C2991" s="6" t="s">
        <v>3768</v>
      </c>
      <c r="D2991" s="1">
        <v>45077</v>
      </c>
      <c r="E2991" s="4">
        <v>272.20999999999998</v>
      </c>
      <c r="F2991" s="3">
        <v>3</v>
      </c>
      <c r="G2991" s="6" t="s">
        <v>15</v>
      </c>
    </row>
    <row r="2992" spans="1:7" x14ac:dyDescent="0.3">
      <c r="A2992" s="2" t="s">
        <v>3769</v>
      </c>
      <c r="B2992" s="2" t="s">
        <v>3767</v>
      </c>
      <c r="C2992" s="6" t="s">
        <v>3768</v>
      </c>
      <c r="D2992" s="1">
        <v>45490</v>
      </c>
      <c r="E2992" s="4">
        <v>141.59</v>
      </c>
      <c r="F2992" s="3">
        <v>4</v>
      </c>
      <c r="G2992" s="6" t="s">
        <v>18</v>
      </c>
    </row>
    <row r="2993" spans="1:7" x14ac:dyDescent="0.3">
      <c r="A2993" s="2" t="s">
        <v>3770</v>
      </c>
      <c r="B2993" s="2" t="s">
        <v>3767</v>
      </c>
      <c r="C2993" s="6" t="s">
        <v>3768</v>
      </c>
      <c r="D2993" s="1">
        <v>45157</v>
      </c>
      <c r="E2993" s="4">
        <v>400</v>
      </c>
      <c r="F2993" s="3">
        <v>4</v>
      </c>
      <c r="G2993" s="6" t="s">
        <v>26</v>
      </c>
    </row>
    <row r="2994" spans="1:7" x14ac:dyDescent="0.3">
      <c r="A2994" s="2" t="s">
        <v>3771</v>
      </c>
      <c r="B2994" s="2" t="s">
        <v>3767</v>
      </c>
      <c r="C2994" s="6" t="s">
        <v>3768</v>
      </c>
      <c r="D2994" s="1">
        <v>45345</v>
      </c>
      <c r="E2994" s="4">
        <v>186.34</v>
      </c>
      <c r="F2994" s="3">
        <v>2</v>
      </c>
      <c r="G2994" s="6" t="s">
        <v>15</v>
      </c>
    </row>
    <row r="2995" spans="1:7" x14ac:dyDescent="0.3">
      <c r="A2995" s="2" t="s">
        <v>3772</v>
      </c>
      <c r="B2995" s="2" t="s">
        <v>3767</v>
      </c>
      <c r="C2995" s="6" t="s">
        <v>3768</v>
      </c>
      <c r="D2995" s="1">
        <v>45641</v>
      </c>
      <c r="E2995" s="4">
        <v>25.37</v>
      </c>
      <c r="F2995" s="3">
        <v>4</v>
      </c>
      <c r="G2995" s="6" t="s">
        <v>10</v>
      </c>
    </row>
    <row r="2996" spans="1:7" x14ac:dyDescent="0.3">
      <c r="A2996" s="2" t="s">
        <v>3773</v>
      </c>
      <c r="B2996" s="2" t="s">
        <v>3767</v>
      </c>
      <c r="C2996" s="6" t="s">
        <v>3768</v>
      </c>
      <c r="D2996" s="1">
        <v>45162</v>
      </c>
      <c r="E2996" s="4">
        <v>211.41</v>
      </c>
      <c r="F2996" s="3">
        <v>1</v>
      </c>
      <c r="G2996" s="6" t="s">
        <v>18</v>
      </c>
    </row>
    <row r="2997" spans="1:7" x14ac:dyDescent="0.3">
      <c r="A2997" s="2" t="s">
        <v>3774</v>
      </c>
      <c r="B2997" s="2" t="s">
        <v>3767</v>
      </c>
      <c r="C2997" s="6" t="s">
        <v>3768</v>
      </c>
      <c r="D2997" s="1">
        <v>45289</v>
      </c>
      <c r="E2997" s="4">
        <v>210.51</v>
      </c>
      <c r="F2997" s="3">
        <v>3</v>
      </c>
      <c r="G2997" s="6" t="s">
        <v>26</v>
      </c>
    </row>
    <row r="2998" spans="1:7" x14ac:dyDescent="0.3">
      <c r="A2998" s="2" t="s">
        <v>3775</v>
      </c>
      <c r="B2998" s="2" t="s">
        <v>3767</v>
      </c>
      <c r="C2998" s="6" t="s">
        <v>3768</v>
      </c>
      <c r="D2998" s="1">
        <v>45296</v>
      </c>
      <c r="E2998" s="4">
        <v>320.82</v>
      </c>
      <c r="F2998" s="3">
        <v>1</v>
      </c>
      <c r="G2998" s="6" t="s">
        <v>15</v>
      </c>
    </row>
    <row r="2999" spans="1:7" x14ac:dyDescent="0.3">
      <c r="A2999" s="2" t="s">
        <v>3776</v>
      </c>
      <c r="B2999" s="2" t="s">
        <v>3767</v>
      </c>
      <c r="C2999" s="6" t="s">
        <v>3768</v>
      </c>
      <c r="D2999" s="1">
        <v>45128</v>
      </c>
      <c r="E2999" s="4">
        <v>92.86</v>
      </c>
      <c r="F2999" s="3">
        <v>1</v>
      </c>
      <c r="G2999" s="6" t="s">
        <v>12</v>
      </c>
    </row>
    <row r="3000" spans="1:7" x14ac:dyDescent="0.3">
      <c r="A3000" s="2" t="s">
        <v>3777</v>
      </c>
      <c r="B3000" s="2" t="s">
        <v>3767</v>
      </c>
      <c r="C3000" s="6" t="s">
        <v>3768</v>
      </c>
      <c r="D3000" s="1">
        <v>45619</v>
      </c>
      <c r="E3000" s="4">
        <v>306.43</v>
      </c>
      <c r="F3000" s="3">
        <v>4</v>
      </c>
      <c r="G3000" s="6" t="s">
        <v>38</v>
      </c>
    </row>
    <row r="3001" spans="1:7" x14ac:dyDescent="0.3">
      <c r="A3001" s="2" t="s">
        <v>3778</v>
      </c>
      <c r="B3001" s="2" t="s">
        <v>3767</v>
      </c>
      <c r="C3001" s="6" t="s">
        <v>3768</v>
      </c>
      <c r="D3001" s="1">
        <v>45222</v>
      </c>
      <c r="E3001" s="4">
        <v>455.4</v>
      </c>
      <c r="F3001" s="3">
        <v>2</v>
      </c>
      <c r="G3001" s="6" t="s">
        <v>26</v>
      </c>
    </row>
    <row r="3002" spans="1:7" x14ac:dyDescent="0.3">
      <c r="A3002" s="2" t="s">
        <v>3779</v>
      </c>
      <c r="B3002" s="2" t="s">
        <v>3780</v>
      </c>
      <c r="C3002" s="6" t="s">
        <v>3781</v>
      </c>
      <c r="D3002" s="1">
        <v>45461</v>
      </c>
      <c r="E3002" s="4">
        <v>117.3</v>
      </c>
      <c r="F3002" s="3">
        <v>1</v>
      </c>
      <c r="G3002" s="6" t="s">
        <v>12</v>
      </c>
    </row>
    <row r="3003" spans="1:7" x14ac:dyDescent="0.3">
      <c r="A3003" s="2" t="s">
        <v>3782</v>
      </c>
      <c r="B3003" s="2" t="s">
        <v>3780</v>
      </c>
      <c r="C3003" s="6" t="s">
        <v>3781</v>
      </c>
      <c r="D3003" s="1">
        <v>45463</v>
      </c>
      <c r="E3003" s="4">
        <v>428.43</v>
      </c>
      <c r="F3003" s="3">
        <v>4</v>
      </c>
      <c r="G3003" s="6" t="s">
        <v>12</v>
      </c>
    </row>
    <row r="3004" spans="1:7" x14ac:dyDescent="0.3">
      <c r="A3004" s="2" t="s">
        <v>3783</v>
      </c>
      <c r="B3004" s="2" t="s">
        <v>3780</v>
      </c>
      <c r="C3004" s="6" t="s">
        <v>3781</v>
      </c>
      <c r="D3004" s="1">
        <v>45486</v>
      </c>
      <c r="E3004" s="4">
        <v>74.709999999999994</v>
      </c>
      <c r="F3004" s="3">
        <v>3</v>
      </c>
      <c r="G3004" s="6" t="s">
        <v>15</v>
      </c>
    </row>
    <row r="3005" spans="1:7" x14ac:dyDescent="0.3">
      <c r="A3005" s="2" t="s">
        <v>3784</v>
      </c>
      <c r="B3005" s="2" t="s">
        <v>3785</v>
      </c>
      <c r="C3005" s="6" t="s">
        <v>3786</v>
      </c>
      <c r="D3005" s="1">
        <v>45631</v>
      </c>
      <c r="E3005" s="4">
        <v>387.61</v>
      </c>
      <c r="F3005" s="3">
        <v>1</v>
      </c>
      <c r="G3005" s="6" t="s">
        <v>38</v>
      </c>
    </row>
    <row r="3006" spans="1:7" x14ac:dyDescent="0.3">
      <c r="A3006" s="2" t="s">
        <v>3787</v>
      </c>
      <c r="B3006" s="2" t="s">
        <v>3785</v>
      </c>
      <c r="C3006" s="6" t="s">
        <v>3786</v>
      </c>
      <c r="D3006" s="1">
        <v>45623</v>
      </c>
      <c r="E3006" s="4">
        <v>107.94</v>
      </c>
      <c r="F3006" s="3">
        <v>3</v>
      </c>
      <c r="G3006" s="6" t="s">
        <v>26</v>
      </c>
    </row>
    <row r="3007" spans="1:7" x14ac:dyDescent="0.3">
      <c r="A3007" s="2" t="s">
        <v>3788</v>
      </c>
      <c r="B3007" s="2" t="s">
        <v>3785</v>
      </c>
      <c r="C3007" s="6" t="s">
        <v>3786</v>
      </c>
      <c r="D3007" s="1">
        <v>45654</v>
      </c>
      <c r="E3007" s="4">
        <v>467.98</v>
      </c>
      <c r="F3007" s="3">
        <v>4</v>
      </c>
      <c r="G3007" s="6" t="s">
        <v>10</v>
      </c>
    </row>
    <row r="3008" spans="1:7" x14ac:dyDescent="0.3">
      <c r="A3008" s="2" t="s">
        <v>3789</v>
      </c>
      <c r="B3008" s="2" t="s">
        <v>3785</v>
      </c>
      <c r="C3008" s="6" t="s">
        <v>3786</v>
      </c>
      <c r="D3008" s="1">
        <v>45606</v>
      </c>
      <c r="E3008" s="4">
        <v>220.37</v>
      </c>
      <c r="F3008" s="3">
        <v>2</v>
      </c>
      <c r="G3008" s="6" t="s">
        <v>38</v>
      </c>
    </row>
    <row r="3009" spans="1:7" x14ac:dyDescent="0.3">
      <c r="A3009" s="2" t="s">
        <v>3790</v>
      </c>
      <c r="B3009" s="2" t="s">
        <v>3785</v>
      </c>
      <c r="C3009" s="6" t="s">
        <v>3786</v>
      </c>
      <c r="D3009" s="1">
        <v>45629</v>
      </c>
      <c r="E3009" s="4">
        <v>341.31</v>
      </c>
      <c r="F3009" s="3">
        <v>1</v>
      </c>
      <c r="G3009" s="6" t="s">
        <v>26</v>
      </c>
    </row>
    <row r="3010" spans="1:7" x14ac:dyDescent="0.3">
      <c r="A3010" s="2" t="s">
        <v>3791</v>
      </c>
      <c r="B3010" s="2" t="s">
        <v>3785</v>
      </c>
      <c r="C3010" s="6" t="s">
        <v>3786</v>
      </c>
      <c r="D3010" s="1">
        <v>45654</v>
      </c>
      <c r="E3010" s="4">
        <v>121.17</v>
      </c>
      <c r="F3010" s="3">
        <v>1</v>
      </c>
      <c r="G3010" s="6" t="s">
        <v>38</v>
      </c>
    </row>
    <row r="3011" spans="1:7" x14ac:dyDescent="0.3">
      <c r="A3011" s="2" t="s">
        <v>3792</v>
      </c>
      <c r="B3011" s="2" t="s">
        <v>3785</v>
      </c>
      <c r="C3011" s="6" t="s">
        <v>3786</v>
      </c>
      <c r="D3011" s="1">
        <v>45604</v>
      </c>
      <c r="E3011" s="4">
        <v>408.96</v>
      </c>
      <c r="F3011" s="3">
        <v>4</v>
      </c>
      <c r="G3011" s="6" t="s">
        <v>15</v>
      </c>
    </row>
    <row r="3012" spans="1:7" x14ac:dyDescent="0.3">
      <c r="A3012" s="2" t="s">
        <v>3793</v>
      </c>
      <c r="B3012" s="2" t="s">
        <v>3785</v>
      </c>
      <c r="C3012" s="6" t="s">
        <v>3786</v>
      </c>
      <c r="D3012" s="1">
        <v>45655</v>
      </c>
      <c r="E3012" s="4">
        <v>423.16</v>
      </c>
      <c r="F3012" s="3">
        <v>2</v>
      </c>
      <c r="G3012" s="6" t="s">
        <v>38</v>
      </c>
    </row>
    <row r="3013" spans="1:7" x14ac:dyDescent="0.3">
      <c r="A3013" s="2" t="s">
        <v>3794</v>
      </c>
      <c r="B3013" s="2" t="s">
        <v>3785</v>
      </c>
      <c r="C3013" s="6" t="s">
        <v>3786</v>
      </c>
      <c r="D3013" s="1">
        <v>45609</v>
      </c>
      <c r="E3013" s="4">
        <v>55.71</v>
      </c>
      <c r="F3013" s="3">
        <v>2</v>
      </c>
      <c r="G3013" s="6" t="s">
        <v>15</v>
      </c>
    </row>
    <row r="3014" spans="1:7" x14ac:dyDescent="0.3">
      <c r="A3014" s="2" t="s">
        <v>3795</v>
      </c>
      <c r="B3014" s="2" t="s">
        <v>3785</v>
      </c>
      <c r="C3014" s="6" t="s">
        <v>3786</v>
      </c>
      <c r="D3014" s="1">
        <v>45655</v>
      </c>
      <c r="E3014" s="4">
        <v>84.99</v>
      </c>
      <c r="F3014" s="3">
        <v>1</v>
      </c>
      <c r="G3014" s="6" t="s">
        <v>18</v>
      </c>
    </row>
    <row r="3015" spans="1:7" x14ac:dyDescent="0.3">
      <c r="A3015" s="2" t="s">
        <v>3796</v>
      </c>
      <c r="B3015" s="2" t="s">
        <v>3785</v>
      </c>
      <c r="C3015" s="6" t="s">
        <v>3786</v>
      </c>
      <c r="D3015" s="1">
        <v>45613</v>
      </c>
      <c r="E3015" s="4">
        <v>473.36</v>
      </c>
      <c r="F3015" s="3">
        <v>2</v>
      </c>
      <c r="G3015" s="6" t="s">
        <v>15</v>
      </c>
    </row>
    <row r="3016" spans="1:7" x14ac:dyDescent="0.3">
      <c r="A3016" s="2" t="s">
        <v>3797</v>
      </c>
      <c r="B3016" s="2" t="s">
        <v>3785</v>
      </c>
      <c r="C3016" s="6" t="s">
        <v>3786</v>
      </c>
      <c r="D3016" s="1">
        <v>45651</v>
      </c>
      <c r="E3016" s="4">
        <v>260.98</v>
      </c>
      <c r="F3016" s="3">
        <v>1</v>
      </c>
      <c r="G3016" s="6" t="s">
        <v>38</v>
      </c>
    </row>
    <row r="3017" spans="1:7" x14ac:dyDescent="0.3">
      <c r="A3017" s="2" t="s">
        <v>3798</v>
      </c>
      <c r="B3017" s="2" t="s">
        <v>3785</v>
      </c>
      <c r="C3017" s="6" t="s">
        <v>3786</v>
      </c>
      <c r="D3017" s="1">
        <v>45649</v>
      </c>
      <c r="E3017" s="4">
        <v>255.55</v>
      </c>
      <c r="F3017" s="3">
        <v>2</v>
      </c>
      <c r="G3017" s="6" t="s">
        <v>18</v>
      </c>
    </row>
    <row r="3018" spans="1:7" x14ac:dyDescent="0.3">
      <c r="A3018" s="2" t="s">
        <v>3799</v>
      </c>
      <c r="B3018" s="2" t="s">
        <v>3785</v>
      </c>
      <c r="C3018" s="6" t="s">
        <v>3786</v>
      </c>
      <c r="D3018" s="1">
        <v>45622</v>
      </c>
      <c r="E3018" s="4">
        <v>193.93</v>
      </c>
      <c r="F3018" s="3">
        <v>1</v>
      </c>
      <c r="G3018" s="6" t="s">
        <v>18</v>
      </c>
    </row>
    <row r="3019" spans="1:7" x14ac:dyDescent="0.3">
      <c r="A3019" s="2" t="s">
        <v>3800</v>
      </c>
      <c r="B3019" s="2" t="s">
        <v>3801</v>
      </c>
      <c r="C3019" s="6" t="s">
        <v>3802</v>
      </c>
      <c r="D3019" s="1">
        <v>45535</v>
      </c>
      <c r="E3019" s="4">
        <v>11.85</v>
      </c>
      <c r="F3019" s="3">
        <v>4</v>
      </c>
      <c r="G3019" s="6" t="s">
        <v>12</v>
      </c>
    </row>
    <row r="3020" spans="1:7" x14ac:dyDescent="0.3">
      <c r="A3020" s="2" t="s">
        <v>3803</v>
      </c>
      <c r="B3020" s="2" t="s">
        <v>3801</v>
      </c>
      <c r="C3020" s="6" t="s">
        <v>3802</v>
      </c>
      <c r="D3020" s="1">
        <v>45597</v>
      </c>
      <c r="E3020" s="4">
        <v>171.41</v>
      </c>
      <c r="F3020" s="3">
        <v>3</v>
      </c>
      <c r="G3020" s="6" t="s">
        <v>12</v>
      </c>
    </row>
    <row r="3021" spans="1:7" x14ac:dyDescent="0.3">
      <c r="A3021" s="2" t="s">
        <v>3804</v>
      </c>
      <c r="B3021" s="2" t="s">
        <v>3801</v>
      </c>
      <c r="C3021" s="6" t="s">
        <v>3802</v>
      </c>
      <c r="D3021" s="1">
        <v>45306</v>
      </c>
      <c r="E3021" s="4">
        <v>397.04</v>
      </c>
      <c r="F3021" s="3">
        <v>2</v>
      </c>
      <c r="G3021" s="6" t="s">
        <v>15</v>
      </c>
    </row>
    <row r="3022" spans="1:7" x14ac:dyDescent="0.3">
      <c r="A3022" s="2" t="s">
        <v>3805</v>
      </c>
      <c r="B3022" s="2" t="s">
        <v>3801</v>
      </c>
      <c r="C3022" s="6" t="s">
        <v>3802</v>
      </c>
      <c r="D3022" s="1">
        <v>45628</v>
      </c>
      <c r="E3022" s="4">
        <v>298.74</v>
      </c>
      <c r="F3022" s="3">
        <v>1</v>
      </c>
      <c r="G3022" s="6" t="s">
        <v>38</v>
      </c>
    </row>
    <row r="3023" spans="1:7" x14ac:dyDescent="0.3">
      <c r="A3023" s="2" t="s">
        <v>3806</v>
      </c>
      <c r="B3023" s="2" t="s">
        <v>3801</v>
      </c>
      <c r="C3023" s="6" t="s">
        <v>3802</v>
      </c>
      <c r="D3023" s="1">
        <v>45149</v>
      </c>
      <c r="E3023" s="4">
        <v>446.25</v>
      </c>
      <c r="F3023" s="3">
        <v>3</v>
      </c>
      <c r="G3023" s="6" t="s">
        <v>15</v>
      </c>
    </row>
    <row r="3024" spans="1:7" x14ac:dyDescent="0.3">
      <c r="A3024" s="2" t="s">
        <v>3807</v>
      </c>
      <c r="B3024" s="2" t="s">
        <v>3801</v>
      </c>
      <c r="C3024" s="6" t="s">
        <v>3802</v>
      </c>
      <c r="D3024" s="1">
        <v>45547</v>
      </c>
      <c r="E3024" s="4">
        <v>243.21</v>
      </c>
      <c r="F3024" s="3">
        <v>4</v>
      </c>
      <c r="G3024" s="6" t="s">
        <v>12</v>
      </c>
    </row>
    <row r="3025" spans="1:7" x14ac:dyDescent="0.3">
      <c r="A3025" s="2" t="s">
        <v>3808</v>
      </c>
      <c r="B3025" s="2" t="s">
        <v>3801</v>
      </c>
      <c r="C3025" s="6" t="s">
        <v>3802</v>
      </c>
      <c r="D3025" s="1">
        <v>45294</v>
      </c>
      <c r="E3025" s="4">
        <v>119.53</v>
      </c>
      <c r="F3025" s="3">
        <v>2</v>
      </c>
      <c r="G3025" s="6" t="s">
        <v>12</v>
      </c>
    </row>
    <row r="3026" spans="1:7" x14ac:dyDescent="0.3">
      <c r="A3026" s="2" t="s">
        <v>3809</v>
      </c>
      <c r="B3026" s="2" t="s">
        <v>3801</v>
      </c>
      <c r="C3026" s="6" t="s">
        <v>3802</v>
      </c>
      <c r="D3026" s="1">
        <v>45610</v>
      </c>
      <c r="E3026" s="4">
        <v>189.92</v>
      </c>
      <c r="F3026" s="3">
        <v>4</v>
      </c>
      <c r="G3026" s="6" t="s">
        <v>18</v>
      </c>
    </row>
    <row r="3027" spans="1:7" x14ac:dyDescent="0.3">
      <c r="A3027" s="2" t="s">
        <v>3810</v>
      </c>
      <c r="B3027" s="2" t="s">
        <v>3801</v>
      </c>
      <c r="C3027" s="6" t="s">
        <v>3802</v>
      </c>
      <c r="D3027" s="1">
        <v>45518</v>
      </c>
      <c r="E3027" s="4">
        <v>71.98</v>
      </c>
      <c r="F3027" s="3">
        <v>4</v>
      </c>
      <c r="G3027" s="6" t="s">
        <v>15</v>
      </c>
    </row>
    <row r="3028" spans="1:7" x14ac:dyDescent="0.3">
      <c r="A3028" s="2" t="s">
        <v>3811</v>
      </c>
      <c r="B3028" s="2" t="s">
        <v>3801</v>
      </c>
      <c r="C3028" s="6" t="s">
        <v>3802</v>
      </c>
      <c r="D3028" s="1">
        <v>45151</v>
      </c>
      <c r="E3028" s="4">
        <v>422.11</v>
      </c>
      <c r="F3028" s="3">
        <v>4</v>
      </c>
      <c r="G3028" s="6" t="s">
        <v>18</v>
      </c>
    </row>
    <row r="3029" spans="1:7" x14ac:dyDescent="0.3">
      <c r="A3029" s="2" t="s">
        <v>3812</v>
      </c>
      <c r="B3029" s="2" t="s">
        <v>3813</v>
      </c>
      <c r="C3029" s="6" t="s">
        <v>3814</v>
      </c>
      <c r="D3029" s="1">
        <v>45292</v>
      </c>
      <c r="E3029" s="4">
        <v>249.71</v>
      </c>
      <c r="F3029" s="3">
        <v>1</v>
      </c>
      <c r="G3029" s="6" t="s">
        <v>18</v>
      </c>
    </row>
    <row r="3030" spans="1:7" x14ac:dyDescent="0.3">
      <c r="A3030" s="2" t="s">
        <v>3815</v>
      </c>
      <c r="B3030" s="2" t="s">
        <v>3813</v>
      </c>
      <c r="C3030" s="6" t="s">
        <v>3814</v>
      </c>
      <c r="D3030" s="1">
        <v>45480</v>
      </c>
      <c r="E3030" s="4">
        <v>30.74</v>
      </c>
      <c r="F3030" s="3">
        <v>3</v>
      </c>
      <c r="G3030" s="6" t="s">
        <v>15</v>
      </c>
    </row>
    <row r="3031" spans="1:7" x14ac:dyDescent="0.3">
      <c r="A3031" s="2" t="s">
        <v>3816</v>
      </c>
      <c r="B3031" s="2" t="s">
        <v>3813</v>
      </c>
      <c r="C3031" s="6" t="s">
        <v>3814</v>
      </c>
      <c r="D3031" s="1">
        <v>45612</v>
      </c>
      <c r="E3031" s="4">
        <v>439.58</v>
      </c>
      <c r="F3031" s="3">
        <v>3</v>
      </c>
      <c r="G3031" s="6" t="s">
        <v>10</v>
      </c>
    </row>
    <row r="3032" spans="1:7" x14ac:dyDescent="0.3">
      <c r="A3032" s="2" t="s">
        <v>3817</v>
      </c>
      <c r="B3032" s="2" t="s">
        <v>3813</v>
      </c>
      <c r="C3032" s="6" t="s">
        <v>3814</v>
      </c>
      <c r="D3032" s="1">
        <v>45248</v>
      </c>
      <c r="E3032" s="4">
        <v>381.13</v>
      </c>
      <c r="F3032" s="3">
        <v>3</v>
      </c>
      <c r="G3032" s="6" t="s">
        <v>18</v>
      </c>
    </row>
    <row r="3033" spans="1:7" x14ac:dyDescent="0.3">
      <c r="A3033" s="2" t="s">
        <v>3818</v>
      </c>
      <c r="B3033" s="2" t="s">
        <v>3813</v>
      </c>
      <c r="C3033" s="6" t="s">
        <v>3814</v>
      </c>
      <c r="D3033" s="1">
        <v>45493</v>
      </c>
      <c r="E3033" s="4">
        <v>73.56</v>
      </c>
      <c r="F3033" s="3">
        <v>3</v>
      </c>
      <c r="G3033" s="6" t="s">
        <v>10</v>
      </c>
    </row>
    <row r="3034" spans="1:7" x14ac:dyDescent="0.3">
      <c r="A3034" s="2" t="s">
        <v>3819</v>
      </c>
      <c r="B3034" s="2" t="s">
        <v>3820</v>
      </c>
      <c r="C3034" s="6" t="s">
        <v>3821</v>
      </c>
      <c r="D3034" s="1">
        <v>45634</v>
      </c>
      <c r="E3034" s="4">
        <v>320.31</v>
      </c>
      <c r="F3034" s="3">
        <v>4</v>
      </c>
      <c r="G3034" s="6" t="s">
        <v>38</v>
      </c>
    </row>
    <row r="3035" spans="1:7" x14ac:dyDescent="0.3">
      <c r="A3035" s="2" t="s">
        <v>3822</v>
      </c>
      <c r="B3035" s="2" t="s">
        <v>3820</v>
      </c>
      <c r="C3035" s="6" t="s">
        <v>3821</v>
      </c>
      <c r="D3035" s="1">
        <v>45579</v>
      </c>
      <c r="E3035" s="4">
        <v>155.26</v>
      </c>
      <c r="F3035" s="3">
        <v>1</v>
      </c>
      <c r="G3035" s="6" t="s">
        <v>10</v>
      </c>
    </row>
    <row r="3036" spans="1:7" x14ac:dyDescent="0.3">
      <c r="A3036" s="2" t="s">
        <v>3823</v>
      </c>
      <c r="B3036" s="2" t="s">
        <v>3820</v>
      </c>
      <c r="C3036" s="6" t="s">
        <v>3821</v>
      </c>
      <c r="D3036" s="1">
        <v>45382</v>
      </c>
      <c r="E3036" s="4">
        <v>117.61</v>
      </c>
      <c r="F3036" s="3">
        <v>3</v>
      </c>
      <c r="G3036" s="6" t="s">
        <v>10</v>
      </c>
    </row>
    <row r="3037" spans="1:7" x14ac:dyDescent="0.3">
      <c r="A3037" s="2" t="s">
        <v>3824</v>
      </c>
      <c r="B3037" s="2" t="s">
        <v>3820</v>
      </c>
      <c r="C3037" s="6" t="s">
        <v>3821</v>
      </c>
      <c r="D3037" s="1">
        <v>45384</v>
      </c>
      <c r="E3037" s="4">
        <v>196.74</v>
      </c>
      <c r="F3037" s="3">
        <v>4</v>
      </c>
      <c r="G3037" s="6" t="s">
        <v>10</v>
      </c>
    </row>
    <row r="3038" spans="1:7" x14ac:dyDescent="0.3">
      <c r="A3038" s="2" t="s">
        <v>3825</v>
      </c>
      <c r="B3038" s="2" t="s">
        <v>3820</v>
      </c>
      <c r="C3038" s="6" t="s">
        <v>3821</v>
      </c>
      <c r="D3038" s="1">
        <v>45473</v>
      </c>
      <c r="E3038" s="4">
        <v>488.49</v>
      </c>
      <c r="F3038" s="3">
        <v>3</v>
      </c>
      <c r="G3038" s="6" t="s">
        <v>38</v>
      </c>
    </row>
    <row r="3039" spans="1:7" x14ac:dyDescent="0.3">
      <c r="A3039" s="2" t="s">
        <v>3826</v>
      </c>
      <c r="B3039" s="2" t="s">
        <v>3820</v>
      </c>
      <c r="C3039" s="6" t="s">
        <v>3821</v>
      </c>
      <c r="D3039" s="1">
        <v>45406</v>
      </c>
      <c r="E3039" s="4">
        <v>414.41</v>
      </c>
      <c r="F3039" s="3">
        <v>1</v>
      </c>
      <c r="G3039" s="6" t="s">
        <v>18</v>
      </c>
    </row>
    <row r="3040" spans="1:7" x14ac:dyDescent="0.3">
      <c r="A3040" s="2" t="s">
        <v>3827</v>
      </c>
      <c r="B3040" s="2" t="s">
        <v>3820</v>
      </c>
      <c r="C3040" s="6" t="s">
        <v>3821</v>
      </c>
      <c r="D3040" s="1">
        <v>45416</v>
      </c>
      <c r="E3040" s="4">
        <v>424.7</v>
      </c>
      <c r="F3040" s="3">
        <v>1</v>
      </c>
      <c r="G3040" s="6" t="s">
        <v>15</v>
      </c>
    </row>
    <row r="3041" spans="1:7" x14ac:dyDescent="0.3">
      <c r="A3041" s="2" t="s">
        <v>3828</v>
      </c>
      <c r="B3041" s="2" t="s">
        <v>3820</v>
      </c>
      <c r="C3041" s="6" t="s">
        <v>3821</v>
      </c>
      <c r="D3041" s="1">
        <v>45372</v>
      </c>
      <c r="E3041" s="4">
        <v>411.94</v>
      </c>
      <c r="F3041" s="3">
        <v>3</v>
      </c>
      <c r="G3041" s="6" t="s">
        <v>26</v>
      </c>
    </row>
    <row r="3042" spans="1:7" x14ac:dyDescent="0.3">
      <c r="A3042" s="2" t="s">
        <v>3829</v>
      </c>
      <c r="B3042" s="2" t="s">
        <v>3820</v>
      </c>
      <c r="C3042" s="6" t="s">
        <v>3821</v>
      </c>
      <c r="D3042" s="1">
        <v>45596</v>
      </c>
      <c r="E3042" s="4">
        <v>399.66</v>
      </c>
      <c r="F3042" s="3">
        <v>2</v>
      </c>
      <c r="G3042" s="6" t="s">
        <v>10</v>
      </c>
    </row>
    <row r="3043" spans="1:7" x14ac:dyDescent="0.3">
      <c r="A3043" s="2" t="s">
        <v>3830</v>
      </c>
      <c r="B3043" s="2" t="s">
        <v>3820</v>
      </c>
      <c r="C3043" s="6" t="s">
        <v>3821</v>
      </c>
      <c r="D3043" s="1">
        <v>45623</v>
      </c>
      <c r="E3043" s="4">
        <v>273.77999999999997</v>
      </c>
      <c r="F3043" s="3">
        <v>4</v>
      </c>
      <c r="G3043" s="6" t="s">
        <v>10</v>
      </c>
    </row>
    <row r="3044" spans="1:7" x14ac:dyDescent="0.3">
      <c r="A3044" s="2" t="s">
        <v>3831</v>
      </c>
      <c r="B3044" s="2" t="s">
        <v>3820</v>
      </c>
      <c r="C3044" s="6" t="s">
        <v>3821</v>
      </c>
      <c r="D3044" s="1">
        <v>45437</v>
      </c>
      <c r="E3044" s="4">
        <v>439.1</v>
      </c>
      <c r="F3044" s="3">
        <v>3</v>
      </c>
      <c r="G3044" s="6" t="s">
        <v>18</v>
      </c>
    </row>
    <row r="3045" spans="1:7" x14ac:dyDescent="0.3">
      <c r="A3045" s="2" t="s">
        <v>3832</v>
      </c>
      <c r="B3045" s="2" t="s">
        <v>3833</v>
      </c>
      <c r="C3045" s="6" t="s">
        <v>3834</v>
      </c>
      <c r="D3045" s="1">
        <v>45560</v>
      </c>
      <c r="E3045" s="4">
        <v>252.58</v>
      </c>
      <c r="F3045" s="3">
        <v>3</v>
      </c>
      <c r="G3045" s="6" t="s">
        <v>12</v>
      </c>
    </row>
    <row r="3046" spans="1:7" x14ac:dyDescent="0.3">
      <c r="A3046" s="2" t="s">
        <v>3835</v>
      </c>
      <c r="B3046" s="2" t="s">
        <v>3833</v>
      </c>
      <c r="C3046" s="6" t="s">
        <v>3834</v>
      </c>
      <c r="D3046" s="1">
        <v>45391</v>
      </c>
      <c r="E3046" s="4">
        <v>376.54</v>
      </c>
      <c r="F3046" s="3">
        <v>2</v>
      </c>
      <c r="G3046" s="6" t="s">
        <v>26</v>
      </c>
    </row>
    <row r="3047" spans="1:7" x14ac:dyDescent="0.3">
      <c r="A3047" s="2" t="s">
        <v>3836</v>
      </c>
      <c r="B3047" s="2" t="s">
        <v>3833</v>
      </c>
      <c r="C3047" s="6" t="s">
        <v>3834</v>
      </c>
      <c r="D3047" s="1">
        <v>45539</v>
      </c>
      <c r="E3047" s="4">
        <v>441.53</v>
      </c>
      <c r="F3047" s="3">
        <v>4</v>
      </c>
      <c r="G3047" s="6" t="s">
        <v>12</v>
      </c>
    </row>
    <row r="3048" spans="1:7" x14ac:dyDescent="0.3">
      <c r="A3048" s="2" t="s">
        <v>3837</v>
      </c>
      <c r="B3048" s="2" t="s">
        <v>3833</v>
      </c>
      <c r="C3048" s="6" t="s">
        <v>3834</v>
      </c>
      <c r="D3048" s="1">
        <v>45436</v>
      </c>
      <c r="E3048" s="4">
        <v>181.43</v>
      </c>
      <c r="F3048" s="3">
        <v>1</v>
      </c>
      <c r="G3048" s="6" t="s">
        <v>12</v>
      </c>
    </row>
    <row r="3049" spans="1:7" x14ac:dyDescent="0.3">
      <c r="A3049" s="2" t="s">
        <v>3838</v>
      </c>
      <c r="B3049" s="2" t="s">
        <v>3833</v>
      </c>
      <c r="C3049" s="6" t="s">
        <v>3834</v>
      </c>
      <c r="D3049" s="1">
        <v>45323</v>
      </c>
      <c r="E3049" s="4">
        <v>305.06</v>
      </c>
      <c r="F3049" s="3">
        <v>4</v>
      </c>
      <c r="G3049" s="6" t="s">
        <v>12</v>
      </c>
    </row>
    <row r="3050" spans="1:7" x14ac:dyDescent="0.3">
      <c r="A3050" s="2" t="s">
        <v>3839</v>
      </c>
      <c r="B3050" s="2" t="s">
        <v>3833</v>
      </c>
      <c r="C3050" s="6" t="s">
        <v>3834</v>
      </c>
      <c r="D3050" s="1">
        <v>45480</v>
      </c>
      <c r="E3050" s="4">
        <v>474.29</v>
      </c>
      <c r="F3050" s="3">
        <v>3</v>
      </c>
      <c r="G3050" s="6" t="s">
        <v>10</v>
      </c>
    </row>
    <row r="3051" spans="1:7" x14ac:dyDescent="0.3">
      <c r="A3051" s="2" t="s">
        <v>3840</v>
      </c>
      <c r="B3051" s="2" t="s">
        <v>3833</v>
      </c>
      <c r="C3051" s="6" t="s">
        <v>3834</v>
      </c>
      <c r="D3051" s="1">
        <v>45234</v>
      </c>
      <c r="E3051" s="4">
        <v>443.49</v>
      </c>
      <c r="F3051" s="3">
        <v>1</v>
      </c>
      <c r="G3051" s="6" t="s">
        <v>26</v>
      </c>
    </row>
    <row r="3052" spans="1:7" x14ac:dyDescent="0.3">
      <c r="A3052" s="2" t="s">
        <v>3841</v>
      </c>
      <c r="B3052" s="2" t="s">
        <v>3833</v>
      </c>
      <c r="C3052" s="6" t="s">
        <v>3834</v>
      </c>
      <c r="D3052" s="1">
        <v>45362</v>
      </c>
      <c r="E3052" s="4">
        <v>46.42</v>
      </c>
      <c r="F3052" s="3">
        <v>3</v>
      </c>
      <c r="G3052" s="6" t="s">
        <v>18</v>
      </c>
    </row>
    <row r="3053" spans="1:7" x14ac:dyDescent="0.3">
      <c r="A3053" s="2" t="s">
        <v>3842</v>
      </c>
      <c r="B3053" s="2" t="s">
        <v>3833</v>
      </c>
      <c r="C3053" s="6" t="s">
        <v>3834</v>
      </c>
      <c r="D3053" s="1">
        <v>45406</v>
      </c>
      <c r="E3053" s="4">
        <v>97.34</v>
      </c>
      <c r="F3053" s="3">
        <v>4</v>
      </c>
      <c r="G3053" s="6" t="s">
        <v>18</v>
      </c>
    </row>
    <row r="3054" spans="1:7" x14ac:dyDescent="0.3">
      <c r="A3054" s="2" t="s">
        <v>3843</v>
      </c>
      <c r="B3054" s="2" t="s">
        <v>3833</v>
      </c>
      <c r="C3054" s="6" t="s">
        <v>3834</v>
      </c>
      <c r="D3054" s="1">
        <v>45350</v>
      </c>
      <c r="E3054" s="4">
        <v>350.88</v>
      </c>
      <c r="F3054" s="3">
        <v>3</v>
      </c>
      <c r="G3054" s="6" t="s">
        <v>38</v>
      </c>
    </row>
    <row r="3055" spans="1:7" x14ac:dyDescent="0.3">
      <c r="A3055" s="2" t="s">
        <v>3844</v>
      </c>
      <c r="B3055" s="2" t="s">
        <v>3833</v>
      </c>
      <c r="C3055" s="6" t="s">
        <v>3834</v>
      </c>
      <c r="D3055" s="1">
        <v>45428</v>
      </c>
      <c r="E3055" s="4">
        <v>77.5</v>
      </c>
      <c r="F3055" s="3">
        <v>1</v>
      </c>
      <c r="G3055" s="6" t="s">
        <v>10</v>
      </c>
    </row>
    <row r="3056" spans="1:7" x14ac:dyDescent="0.3">
      <c r="A3056" s="2" t="s">
        <v>3845</v>
      </c>
      <c r="B3056" s="2" t="s">
        <v>3833</v>
      </c>
      <c r="C3056" s="6" t="s">
        <v>3834</v>
      </c>
      <c r="D3056" s="1">
        <v>45364</v>
      </c>
      <c r="E3056" s="4">
        <v>320.01</v>
      </c>
      <c r="F3056" s="3">
        <v>2</v>
      </c>
      <c r="G3056" s="6" t="s">
        <v>10</v>
      </c>
    </row>
    <row r="3057" spans="1:7" x14ac:dyDescent="0.3">
      <c r="A3057" s="2" t="s">
        <v>3846</v>
      </c>
      <c r="B3057" s="2" t="s">
        <v>3847</v>
      </c>
      <c r="C3057" s="6" t="s">
        <v>3848</v>
      </c>
      <c r="D3057" s="1">
        <v>45600</v>
      </c>
      <c r="E3057" s="4">
        <v>340.26</v>
      </c>
      <c r="F3057" s="3">
        <v>3</v>
      </c>
      <c r="G3057" s="6" t="s">
        <v>10</v>
      </c>
    </row>
    <row r="3058" spans="1:7" x14ac:dyDescent="0.3">
      <c r="A3058" s="2" t="s">
        <v>3849</v>
      </c>
      <c r="B3058" s="2" t="s">
        <v>3847</v>
      </c>
      <c r="C3058" s="6" t="s">
        <v>3848</v>
      </c>
      <c r="D3058" s="1">
        <v>45646</v>
      </c>
      <c r="E3058" s="4">
        <v>241.34</v>
      </c>
      <c r="F3058" s="3">
        <v>2</v>
      </c>
      <c r="G3058" s="6" t="s">
        <v>12</v>
      </c>
    </row>
    <row r="3059" spans="1:7" x14ac:dyDescent="0.3">
      <c r="A3059" s="2" t="s">
        <v>3850</v>
      </c>
      <c r="B3059" s="2" t="s">
        <v>3851</v>
      </c>
      <c r="C3059" s="6" t="s">
        <v>3852</v>
      </c>
      <c r="D3059" s="1">
        <v>45252</v>
      </c>
      <c r="E3059" s="4">
        <v>441.13</v>
      </c>
      <c r="F3059" s="3">
        <v>1</v>
      </c>
      <c r="G3059" s="6" t="s">
        <v>38</v>
      </c>
    </row>
    <row r="3060" spans="1:7" x14ac:dyDescent="0.3">
      <c r="A3060" s="2" t="s">
        <v>3853</v>
      </c>
      <c r="B3060" s="2" t="s">
        <v>3851</v>
      </c>
      <c r="C3060" s="6" t="s">
        <v>3852</v>
      </c>
      <c r="D3060" s="1">
        <v>45398</v>
      </c>
      <c r="E3060" s="4">
        <v>429.58</v>
      </c>
      <c r="F3060" s="3">
        <v>2</v>
      </c>
      <c r="G3060" s="6" t="s">
        <v>12</v>
      </c>
    </row>
    <row r="3061" spans="1:7" x14ac:dyDescent="0.3">
      <c r="A3061" s="2" t="s">
        <v>3854</v>
      </c>
      <c r="B3061" s="2" t="s">
        <v>3851</v>
      </c>
      <c r="C3061" s="6" t="s">
        <v>3852</v>
      </c>
      <c r="D3061" s="1">
        <v>45256</v>
      </c>
      <c r="E3061" s="4">
        <v>439.45</v>
      </c>
      <c r="F3061" s="3">
        <v>2</v>
      </c>
      <c r="G3061" s="6" t="s">
        <v>38</v>
      </c>
    </row>
    <row r="3062" spans="1:7" x14ac:dyDescent="0.3">
      <c r="A3062" s="2" t="s">
        <v>3855</v>
      </c>
      <c r="B3062" s="2" t="s">
        <v>3851</v>
      </c>
      <c r="C3062" s="6" t="s">
        <v>3852</v>
      </c>
      <c r="D3062" s="1">
        <v>45308</v>
      </c>
      <c r="E3062" s="4">
        <v>355.63</v>
      </c>
      <c r="F3062" s="3">
        <v>4</v>
      </c>
      <c r="G3062" s="6" t="s">
        <v>38</v>
      </c>
    </row>
    <row r="3063" spans="1:7" x14ac:dyDescent="0.3">
      <c r="A3063" s="2" t="s">
        <v>3856</v>
      </c>
      <c r="B3063" s="2" t="s">
        <v>3851</v>
      </c>
      <c r="C3063" s="6" t="s">
        <v>3852</v>
      </c>
      <c r="D3063" s="1">
        <v>45339</v>
      </c>
      <c r="E3063" s="4">
        <v>89.7</v>
      </c>
      <c r="F3063" s="3">
        <v>1</v>
      </c>
      <c r="G3063" s="6" t="s">
        <v>26</v>
      </c>
    </row>
    <row r="3064" spans="1:7" x14ac:dyDescent="0.3">
      <c r="A3064" s="2" t="s">
        <v>3857</v>
      </c>
      <c r="B3064" s="2" t="s">
        <v>3851</v>
      </c>
      <c r="C3064" s="6" t="s">
        <v>3852</v>
      </c>
      <c r="D3064" s="1">
        <v>45450</v>
      </c>
      <c r="E3064" s="4">
        <v>264.83999999999997</v>
      </c>
      <c r="F3064" s="3">
        <v>1</v>
      </c>
      <c r="G3064" s="6" t="s">
        <v>12</v>
      </c>
    </row>
    <row r="3065" spans="1:7" x14ac:dyDescent="0.3">
      <c r="A3065" s="2" t="s">
        <v>3858</v>
      </c>
      <c r="B3065" s="2" t="s">
        <v>3851</v>
      </c>
      <c r="C3065" s="6" t="s">
        <v>3852</v>
      </c>
      <c r="D3065" s="1">
        <v>45446</v>
      </c>
      <c r="E3065" s="4">
        <v>357.56</v>
      </c>
      <c r="F3065" s="3">
        <v>4</v>
      </c>
      <c r="G3065" s="6" t="s">
        <v>15</v>
      </c>
    </row>
    <row r="3066" spans="1:7" x14ac:dyDescent="0.3">
      <c r="A3066" s="2" t="s">
        <v>3859</v>
      </c>
      <c r="B3066" s="2" t="s">
        <v>3851</v>
      </c>
      <c r="C3066" s="6" t="s">
        <v>3852</v>
      </c>
      <c r="D3066" s="1">
        <v>45619</v>
      </c>
      <c r="E3066" s="4">
        <v>403.31</v>
      </c>
      <c r="F3066" s="3">
        <v>2</v>
      </c>
      <c r="G3066" s="6" t="s">
        <v>26</v>
      </c>
    </row>
    <row r="3067" spans="1:7" x14ac:dyDescent="0.3">
      <c r="A3067" s="2" t="s">
        <v>3860</v>
      </c>
      <c r="B3067" s="2" t="s">
        <v>3851</v>
      </c>
      <c r="C3067" s="6" t="s">
        <v>3852</v>
      </c>
      <c r="D3067" s="1">
        <v>45205</v>
      </c>
      <c r="E3067" s="4">
        <v>397.76</v>
      </c>
      <c r="F3067" s="3">
        <v>4</v>
      </c>
      <c r="G3067" s="6" t="s">
        <v>15</v>
      </c>
    </row>
    <row r="3068" spans="1:7" x14ac:dyDescent="0.3">
      <c r="A3068" s="2" t="s">
        <v>3861</v>
      </c>
      <c r="B3068" s="2" t="s">
        <v>3851</v>
      </c>
      <c r="C3068" s="6" t="s">
        <v>3852</v>
      </c>
      <c r="D3068" s="1">
        <v>45191</v>
      </c>
      <c r="E3068" s="4">
        <v>103.97</v>
      </c>
      <c r="F3068" s="3">
        <v>4</v>
      </c>
      <c r="G3068" s="6" t="s">
        <v>10</v>
      </c>
    </row>
    <row r="3069" spans="1:7" x14ac:dyDescent="0.3">
      <c r="A3069" s="2" t="s">
        <v>3862</v>
      </c>
      <c r="B3069" s="2" t="s">
        <v>3851</v>
      </c>
      <c r="C3069" s="6" t="s">
        <v>3852</v>
      </c>
      <c r="D3069" s="1">
        <v>45160</v>
      </c>
      <c r="E3069" s="4">
        <v>251.58</v>
      </c>
      <c r="F3069" s="3">
        <v>3</v>
      </c>
      <c r="G3069" s="6" t="s">
        <v>15</v>
      </c>
    </row>
    <row r="3070" spans="1:7" x14ac:dyDescent="0.3">
      <c r="A3070" s="2" t="s">
        <v>3863</v>
      </c>
      <c r="B3070" s="2" t="s">
        <v>3864</v>
      </c>
      <c r="C3070" s="6" t="s">
        <v>3865</v>
      </c>
      <c r="D3070" s="1">
        <v>45617</v>
      </c>
      <c r="E3070" s="4">
        <v>24.44</v>
      </c>
      <c r="F3070" s="3">
        <v>3</v>
      </c>
      <c r="G3070" s="6" t="s">
        <v>12</v>
      </c>
    </row>
    <row r="3071" spans="1:7" x14ac:dyDescent="0.3">
      <c r="A3071" s="2" t="s">
        <v>3866</v>
      </c>
      <c r="B3071" s="2" t="s">
        <v>3864</v>
      </c>
      <c r="C3071" s="6" t="s">
        <v>3865</v>
      </c>
      <c r="D3071" s="1">
        <v>45654</v>
      </c>
      <c r="E3071" s="4">
        <v>293.26</v>
      </c>
      <c r="F3071" s="3">
        <v>3</v>
      </c>
      <c r="G3071" s="6" t="s">
        <v>38</v>
      </c>
    </row>
    <row r="3072" spans="1:7" x14ac:dyDescent="0.3">
      <c r="A3072" s="2" t="s">
        <v>3867</v>
      </c>
      <c r="B3072" s="2" t="s">
        <v>3864</v>
      </c>
      <c r="C3072" s="6" t="s">
        <v>3865</v>
      </c>
      <c r="D3072" s="1">
        <v>45588</v>
      </c>
      <c r="E3072" s="4">
        <v>439.53</v>
      </c>
      <c r="F3072" s="3">
        <v>1</v>
      </c>
      <c r="G3072" s="6" t="s">
        <v>12</v>
      </c>
    </row>
    <row r="3073" spans="1:7" x14ac:dyDescent="0.3">
      <c r="A3073" s="2" t="s">
        <v>3868</v>
      </c>
      <c r="B3073" s="2" t="s">
        <v>3869</v>
      </c>
      <c r="C3073" s="6" t="s">
        <v>3870</v>
      </c>
      <c r="D3073" s="1">
        <v>45595</v>
      </c>
      <c r="E3073" s="4">
        <v>294.22000000000003</v>
      </c>
      <c r="F3073" s="3">
        <v>3</v>
      </c>
      <c r="G3073" s="6" t="s">
        <v>38</v>
      </c>
    </row>
    <row r="3074" spans="1:7" x14ac:dyDescent="0.3">
      <c r="A3074" s="2" t="s">
        <v>3871</v>
      </c>
      <c r="B3074" s="2" t="s">
        <v>3869</v>
      </c>
      <c r="C3074" s="6" t="s">
        <v>3870</v>
      </c>
      <c r="D3074" s="1">
        <v>45628</v>
      </c>
      <c r="E3074" s="4">
        <v>150.32</v>
      </c>
      <c r="F3074" s="3">
        <v>3</v>
      </c>
      <c r="G3074" s="6" t="s">
        <v>18</v>
      </c>
    </row>
    <row r="3075" spans="1:7" x14ac:dyDescent="0.3">
      <c r="A3075" s="2" t="s">
        <v>3872</v>
      </c>
      <c r="B3075" s="2" t="s">
        <v>3869</v>
      </c>
      <c r="C3075" s="6" t="s">
        <v>3870</v>
      </c>
      <c r="D3075" s="1">
        <v>45596</v>
      </c>
      <c r="E3075" s="4">
        <v>235.68</v>
      </c>
      <c r="F3075" s="3">
        <v>2</v>
      </c>
      <c r="G3075" s="6" t="s">
        <v>12</v>
      </c>
    </row>
    <row r="3076" spans="1:7" x14ac:dyDescent="0.3">
      <c r="A3076" s="2" t="s">
        <v>3873</v>
      </c>
      <c r="B3076" s="2" t="s">
        <v>3869</v>
      </c>
      <c r="C3076" s="6" t="s">
        <v>3870</v>
      </c>
      <c r="D3076" s="1">
        <v>45417</v>
      </c>
      <c r="E3076" s="4">
        <v>154.06</v>
      </c>
      <c r="F3076" s="3">
        <v>3</v>
      </c>
      <c r="G3076" s="6" t="s">
        <v>15</v>
      </c>
    </row>
    <row r="3077" spans="1:7" x14ac:dyDescent="0.3">
      <c r="A3077" s="2" t="s">
        <v>3874</v>
      </c>
      <c r="B3077" s="2" t="s">
        <v>3869</v>
      </c>
      <c r="C3077" s="6" t="s">
        <v>3870</v>
      </c>
      <c r="D3077" s="1">
        <v>45495</v>
      </c>
      <c r="E3077" s="4">
        <v>162.94</v>
      </c>
      <c r="F3077" s="3">
        <v>2</v>
      </c>
      <c r="G3077" s="6" t="s">
        <v>38</v>
      </c>
    </row>
    <row r="3078" spans="1:7" x14ac:dyDescent="0.3">
      <c r="A3078" s="2" t="s">
        <v>3875</v>
      </c>
      <c r="B3078" s="2" t="s">
        <v>3869</v>
      </c>
      <c r="C3078" s="6" t="s">
        <v>3870</v>
      </c>
      <c r="D3078" s="1">
        <v>45508</v>
      </c>
      <c r="E3078" s="4">
        <v>123.81</v>
      </c>
      <c r="F3078" s="3">
        <v>4</v>
      </c>
      <c r="G3078" s="6" t="s">
        <v>10</v>
      </c>
    </row>
    <row r="3079" spans="1:7" x14ac:dyDescent="0.3">
      <c r="A3079" s="2" t="s">
        <v>3876</v>
      </c>
      <c r="B3079" s="2" t="s">
        <v>3869</v>
      </c>
      <c r="C3079" s="6" t="s">
        <v>3870</v>
      </c>
      <c r="D3079" s="1">
        <v>45467</v>
      </c>
      <c r="E3079" s="4">
        <v>302.35000000000002</v>
      </c>
      <c r="F3079" s="3">
        <v>1</v>
      </c>
      <c r="G3079" s="6" t="s">
        <v>15</v>
      </c>
    </row>
    <row r="3080" spans="1:7" x14ac:dyDescent="0.3">
      <c r="A3080" s="2" t="s">
        <v>3877</v>
      </c>
      <c r="B3080" s="2" t="s">
        <v>3869</v>
      </c>
      <c r="C3080" s="6" t="s">
        <v>3870</v>
      </c>
      <c r="D3080" s="1">
        <v>45468</v>
      </c>
      <c r="E3080" s="4">
        <v>338.78</v>
      </c>
      <c r="F3080" s="3">
        <v>1</v>
      </c>
      <c r="G3080" s="6" t="s">
        <v>38</v>
      </c>
    </row>
    <row r="3081" spans="1:7" x14ac:dyDescent="0.3">
      <c r="A3081" s="2" t="s">
        <v>3878</v>
      </c>
      <c r="B3081" s="2" t="s">
        <v>3869</v>
      </c>
      <c r="C3081" s="6" t="s">
        <v>3870</v>
      </c>
      <c r="D3081" s="1">
        <v>45648</v>
      </c>
      <c r="E3081" s="4">
        <v>159.61000000000001</v>
      </c>
      <c r="F3081" s="3">
        <v>1</v>
      </c>
      <c r="G3081" s="6" t="s">
        <v>10</v>
      </c>
    </row>
    <row r="3082" spans="1:7" x14ac:dyDescent="0.3">
      <c r="A3082" s="2" t="s">
        <v>3879</v>
      </c>
      <c r="B3082" s="2" t="s">
        <v>3869</v>
      </c>
      <c r="C3082" s="6" t="s">
        <v>3870</v>
      </c>
      <c r="D3082" s="1">
        <v>45417</v>
      </c>
      <c r="E3082" s="4">
        <v>387.36</v>
      </c>
      <c r="F3082" s="3">
        <v>2</v>
      </c>
      <c r="G3082" s="6" t="s">
        <v>18</v>
      </c>
    </row>
    <row r="3083" spans="1:7" x14ac:dyDescent="0.3">
      <c r="A3083" s="2" t="s">
        <v>3880</v>
      </c>
      <c r="B3083" s="2" t="s">
        <v>3881</v>
      </c>
      <c r="C3083" s="6" t="s">
        <v>3882</v>
      </c>
      <c r="D3083" s="1">
        <v>45550</v>
      </c>
      <c r="E3083" s="4">
        <v>279.05</v>
      </c>
      <c r="F3083" s="3">
        <v>1</v>
      </c>
      <c r="G3083" s="6" t="s">
        <v>38</v>
      </c>
    </row>
    <row r="3084" spans="1:7" x14ac:dyDescent="0.3">
      <c r="A3084" s="2" t="s">
        <v>3883</v>
      </c>
      <c r="B3084" s="2" t="s">
        <v>3881</v>
      </c>
      <c r="C3084" s="6" t="s">
        <v>3882</v>
      </c>
      <c r="D3084" s="1">
        <v>45652</v>
      </c>
      <c r="E3084" s="4">
        <v>24.87</v>
      </c>
      <c r="F3084" s="3">
        <v>3</v>
      </c>
      <c r="G3084" s="6" t="s">
        <v>15</v>
      </c>
    </row>
    <row r="3085" spans="1:7" x14ac:dyDescent="0.3">
      <c r="A3085" s="2" t="s">
        <v>3884</v>
      </c>
      <c r="B3085" s="2" t="s">
        <v>3881</v>
      </c>
      <c r="C3085" s="6" t="s">
        <v>3882</v>
      </c>
      <c r="D3085" s="1">
        <v>45650</v>
      </c>
      <c r="E3085" s="4">
        <v>283.77</v>
      </c>
      <c r="F3085" s="3">
        <v>2</v>
      </c>
      <c r="G3085" s="6" t="s">
        <v>15</v>
      </c>
    </row>
    <row r="3086" spans="1:7" x14ac:dyDescent="0.3">
      <c r="A3086" s="2" t="s">
        <v>3885</v>
      </c>
      <c r="B3086" s="2" t="s">
        <v>3881</v>
      </c>
      <c r="C3086" s="6" t="s">
        <v>3882</v>
      </c>
      <c r="D3086" s="1">
        <v>45627</v>
      </c>
      <c r="E3086" s="4">
        <v>413.22</v>
      </c>
      <c r="F3086" s="3">
        <v>1</v>
      </c>
      <c r="G3086" s="6" t="s">
        <v>12</v>
      </c>
    </row>
    <row r="3087" spans="1:7" x14ac:dyDescent="0.3">
      <c r="A3087" s="2" t="s">
        <v>3886</v>
      </c>
      <c r="B3087" s="2" t="s">
        <v>3881</v>
      </c>
      <c r="C3087" s="6" t="s">
        <v>3882</v>
      </c>
      <c r="D3087" s="1">
        <v>45548</v>
      </c>
      <c r="E3087" s="4">
        <v>155.77000000000001</v>
      </c>
      <c r="F3087" s="3">
        <v>2</v>
      </c>
      <c r="G3087" s="6" t="s">
        <v>10</v>
      </c>
    </row>
    <row r="3088" spans="1:7" x14ac:dyDescent="0.3">
      <c r="A3088" s="2" t="s">
        <v>3887</v>
      </c>
      <c r="B3088" s="2" t="s">
        <v>3881</v>
      </c>
      <c r="C3088" s="6" t="s">
        <v>3882</v>
      </c>
      <c r="D3088" s="1">
        <v>45531</v>
      </c>
      <c r="E3088" s="4">
        <v>351.25</v>
      </c>
      <c r="F3088" s="3">
        <v>2</v>
      </c>
      <c r="G3088" s="6" t="s">
        <v>15</v>
      </c>
    </row>
    <row r="3089" spans="1:7" x14ac:dyDescent="0.3">
      <c r="A3089" s="2" t="s">
        <v>3888</v>
      </c>
      <c r="B3089" s="2" t="s">
        <v>3889</v>
      </c>
      <c r="C3089" s="6" t="s">
        <v>3890</v>
      </c>
      <c r="D3089" s="1">
        <v>45625</v>
      </c>
      <c r="E3089" s="4">
        <v>199.05</v>
      </c>
      <c r="F3089" s="3">
        <v>4</v>
      </c>
      <c r="G3089" s="6" t="s">
        <v>18</v>
      </c>
    </row>
    <row r="3090" spans="1:7" x14ac:dyDescent="0.3">
      <c r="A3090" s="2" t="s">
        <v>3891</v>
      </c>
      <c r="B3090" s="2" t="s">
        <v>3889</v>
      </c>
      <c r="C3090" s="6" t="s">
        <v>3890</v>
      </c>
      <c r="D3090" s="1">
        <v>45538</v>
      </c>
      <c r="E3090" s="4">
        <v>486.36</v>
      </c>
      <c r="F3090" s="3">
        <v>3</v>
      </c>
      <c r="G3090" s="6" t="s">
        <v>10</v>
      </c>
    </row>
    <row r="3091" spans="1:7" x14ac:dyDescent="0.3">
      <c r="A3091" s="2" t="s">
        <v>3892</v>
      </c>
      <c r="B3091" s="2" t="s">
        <v>3889</v>
      </c>
      <c r="C3091" s="6" t="s">
        <v>3890</v>
      </c>
      <c r="D3091" s="1">
        <v>45559</v>
      </c>
      <c r="E3091" s="4">
        <v>485.58</v>
      </c>
      <c r="F3091" s="3">
        <v>2</v>
      </c>
      <c r="G3091" s="6" t="s">
        <v>26</v>
      </c>
    </row>
    <row r="3092" spans="1:7" x14ac:dyDescent="0.3">
      <c r="A3092" s="2" t="s">
        <v>3893</v>
      </c>
      <c r="B3092" s="2" t="s">
        <v>3889</v>
      </c>
      <c r="C3092" s="6" t="s">
        <v>3890</v>
      </c>
      <c r="D3092" s="1">
        <v>45529</v>
      </c>
      <c r="E3092" s="4">
        <v>166.16</v>
      </c>
      <c r="F3092" s="3">
        <v>4</v>
      </c>
      <c r="G3092" s="6" t="s">
        <v>15</v>
      </c>
    </row>
    <row r="3093" spans="1:7" x14ac:dyDescent="0.3">
      <c r="A3093" s="2" t="s">
        <v>3894</v>
      </c>
      <c r="B3093" s="2" t="s">
        <v>3889</v>
      </c>
      <c r="C3093" s="6" t="s">
        <v>3890</v>
      </c>
      <c r="D3093" s="1">
        <v>45531</v>
      </c>
      <c r="E3093" s="4">
        <v>102.58</v>
      </c>
      <c r="F3093" s="3">
        <v>1</v>
      </c>
      <c r="G3093" s="6" t="s">
        <v>15</v>
      </c>
    </row>
    <row r="3094" spans="1:7" x14ac:dyDescent="0.3">
      <c r="A3094" s="2" t="s">
        <v>3895</v>
      </c>
      <c r="B3094" s="2" t="s">
        <v>3889</v>
      </c>
      <c r="C3094" s="6" t="s">
        <v>3890</v>
      </c>
      <c r="D3094" s="1">
        <v>45575</v>
      </c>
      <c r="E3094" s="4">
        <v>339.87</v>
      </c>
      <c r="F3094" s="3">
        <v>3</v>
      </c>
      <c r="G3094" s="6" t="s">
        <v>10</v>
      </c>
    </row>
    <row r="3095" spans="1:7" x14ac:dyDescent="0.3">
      <c r="A3095" s="2" t="s">
        <v>3896</v>
      </c>
      <c r="B3095" s="2" t="s">
        <v>3897</v>
      </c>
      <c r="C3095" s="6" t="s">
        <v>3898</v>
      </c>
      <c r="D3095" s="1">
        <v>45369</v>
      </c>
      <c r="E3095" s="4">
        <v>47.17</v>
      </c>
      <c r="F3095" s="3">
        <v>1</v>
      </c>
      <c r="G3095" s="6" t="s">
        <v>26</v>
      </c>
    </row>
    <row r="3096" spans="1:7" x14ac:dyDescent="0.3">
      <c r="A3096" s="2" t="s">
        <v>3899</v>
      </c>
      <c r="B3096" s="2" t="s">
        <v>3900</v>
      </c>
      <c r="C3096" s="6" t="s">
        <v>3901</v>
      </c>
      <c r="D3096" s="1">
        <v>45563</v>
      </c>
      <c r="E3096" s="4">
        <v>234.25</v>
      </c>
      <c r="F3096" s="3">
        <v>1</v>
      </c>
      <c r="G3096" s="6" t="s">
        <v>38</v>
      </c>
    </row>
    <row r="3097" spans="1:7" x14ac:dyDescent="0.3">
      <c r="A3097" s="2" t="s">
        <v>3902</v>
      </c>
      <c r="B3097" s="2" t="s">
        <v>3900</v>
      </c>
      <c r="C3097" s="6" t="s">
        <v>3901</v>
      </c>
      <c r="D3097" s="1">
        <v>45525</v>
      </c>
      <c r="E3097" s="4">
        <v>463.64</v>
      </c>
      <c r="F3097" s="3">
        <v>1</v>
      </c>
      <c r="G3097" s="6" t="s">
        <v>15</v>
      </c>
    </row>
    <row r="3098" spans="1:7" x14ac:dyDescent="0.3">
      <c r="A3098" s="2" t="s">
        <v>3903</v>
      </c>
      <c r="B3098" s="2" t="s">
        <v>3900</v>
      </c>
      <c r="C3098" s="6" t="s">
        <v>3901</v>
      </c>
      <c r="D3098" s="1">
        <v>45518</v>
      </c>
      <c r="E3098" s="4">
        <v>165.25</v>
      </c>
      <c r="F3098" s="3">
        <v>4</v>
      </c>
      <c r="G3098" s="6" t="s">
        <v>10</v>
      </c>
    </row>
    <row r="3099" spans="1:7" x14ac:dyDescent="0.3">
      <c r="A3099" s="2" t="s">
        <v>3904</v>
      </c>
      <c r="B3099" s="2" t="s">
        <v>3900</v>
      </c>
      <c r="C3099" s="6" t="s">
        <v>3901</v>
      </c>
      <c r="D3099" s="1">
        <v>45543</v>
      </c>
      <c r="E3099" s="4">
        <v>443.16</v>
      </c>
      <c r="F3099" s="3">
        <v>2</v>
      </c>
      <c r="G3099" s="6" t="s">
        <v>15</v>
      </c>
    </row>
    <row r="3100" spans="1:7" x14ac:dyDescent="0.3">
      <c r="A3100" s="2" t="s">
        <v>3905</v>
      </c>
      <c r="B3100" s="2" t="s">
        <v>3906</v>
      </c>
      <c r="C3100" s="6" t="s">
        <v>3907</v>
      </c>
      <c r="D3100" s="1">
        <v>45446</v>
      </c>
      <c r="E3100" s="4">
        <v>204.21</v>
      </c>
      <c r="F3100" s="3">
        <v>1</v>
      </c>
      <c r="G3100" s="6" t="s">
        <v>38</v>
      </c>
    </row>
    <row r="3101" spans="1:7" x14ac:dyDescent="0.3">
      <c r="A3101" s="2" t="s">
        <v>3908</v>
      </c>
      <c r="B3101" s="2" t="s">
        <v>3906</v>
      </c>
      <c r="C3101" s="6" t="s">
        <v>3907</v>
      </c>
      <c r="D3101" s="1">
        <v>45576</v>
      </c>
      <c r="E3101" s="4">
        <v>61.92</v>
      </c>
      <c r="F3101" s="3">
        <v>4</v>
      </c>
      <c r="G3101" s="6" t="s">
        <v>12</v>
      </c>
    </row>
    <row r="3102" spans="1:7" x14ac:dyDescent="0.3">
      <c r="A3102" s="2" t="s">
        <v>3909</v>
      </c>
      <c r="B3102" s="2" t="s">
        <v>3906</v>
      </c>
      <c r="C3102" s="6" t="s">
        <v>3907</v>
      </c>
      <c r="D3102" s="1">
        <v>45504</v>
      </c>
      <c r="E3102" s="4">
        <v>13.81</v>
      </c>
      <c r="F3102" s="3">
        <v>2</v>
      </c>
      <c r="G3102" s="6" t="s">
        <v>12</v>
      </c>
    </row>
    <row r="3103" spans="1:7" x14ac:dyDescent="0.3">
      <c r="A3103" s="2" t="s">
        <v>3910</v>
      </c>
      <c r="B3103" s="2" t="s">
        <v>3906</v>
      </c>
      <c r="C3103" s="6" t="s">
        <v>3907</v>
      </c>
      <c r="D3103" s="1">
        <v>45581</v>
      </c>
      <c r="E3103" s="4">
        <v>50.35</v>
      </c>
      <c r="F3103" s="3">
        <v>3</v>
      </c>
      <c r="G3103" s="6" t="s">
        <v>18</v>
      </c>
    </row>
    <row r="3104" spans="1:7" x14ac:dyDescent="0.3">
      <c r="A3104" s="2" t="s">
        <v>3911</v>
      </c>
      <c r="B3104" s="2" t="s">
        <v>3906</v>
      </c>
      <c r="C3104" s="6" t="s">
        <v>3907</v>
      </c>
      <c r="D3104" s="1">
        <v>45254</v>
      </c>
      <c r="E3104" s="4">
        <v>256.60000000000002</v>
      </c>
      <c r="F3104" s="3">
        <v>3</v>
      </c>
      <c r="G3104" s="6" t="s">
        <v>15</v>
      </c>
    </row>
    <row r="3105" spans="1:7" x14ac:dyDescent="0.3">
      <c r="A3105" s="2" t="s">
        <v>3912</v>
      </c>
      <c r="B3105" s="2" t="s">
        <v>3906</v>
      </c>
      <c r="C3105" s="6" t="s">
        <v>3907</v>
      </c>
      <c r="D3105" s="1">
        <v>45514</v>
      </c>
      <c r="E3105" s="4">
        <v>31.26</v>
      </c>
      <c r="F3105" s="3">
        <v>1</v>
      </c>
      <c r="G3105" s="6" t="s">
        <v>10</v>
      </c>
    </row>
    <row r="3106" spans="1:7" x14ac:dyDescent="0.3">
      <c r="A3106" s="2" t="s">
        <v>3913</v>
      </c>
      <c r="B3106" s="2" t="s">
        <v>3906</v>
      </c>
      <c r="C3106" s="6" t="s">
        <v>3907</v>
      </c>
      <c r="D3106" s="1">
        <v>45244</v>
      </c>
      <c r="E3106" s="4">
        <v>417.68</v>
      </c>
      <c r="F3106" s="3">
        <v>1</v>
      </c>
      <c r="G3106" s="6" t="s">
        <v>18</v>
      </c>
    </row>
    <row r="3107" spans="1:7" x14ac:dyDescent="0.3">
      <c r="A3107" s="2" t="s">
        <v>3914</v>
      </c>
      <c r="B3107" s="2" t="s">
        <v>3906</v>
      </c>
      <c r="C3107" s="6" t="s">
        <v>3907</v>
      </c>
      <c r="D3107" s="1">
        <v>45533</v>
      </c>
      <c r="E3107" s="4">
        <v>112.79</v>
      </c>
      <c r="F3107" s="3">
        <v>3</v>
      </c>
      <c r="G3107" s="6" t="s">
        <v>12</v>
      </c>
    </row>
    <row r="3108" spans="1:7" x14ac:dyDescent="0.3">
      <c r="A3108" s="2" t="s">
        <v>3915</v>
      </c>
      <c r="B3108" s="2" t="s">
        <v>3906</v>
      </c>
      <c r="C3108" s="6" t="s">
        <v>3907</v>
      </c>
      <c r="D3108" s="1">
        <v>45356</v>
      </c>
      <c r="E3108" s="4">
        <v>115.22</v>
      </c>
      <c r="F3108" s="3">
        <v>3</v>
      </c>
      <c r="G3108" s="6" t="s">
        <v>10</v>
      </c>
    </row>
    <row r="3109" spans="1:7" x14ac:dyDescent="0.3">
      <c r="A3109" s="2" t="s">
        <v>3916</v>
      </c>
      <c r="B3109" s="2" t="s">
        <v>3906</v>
      </c>
      <c r="C3109" s="6" t="s">
        <v>3907</v>
      </c>
      <c r="D3109" s="1">
        <v>45320</v>
      </c>
      <c r="E3109" s="4">
        <v>475.76</v>
      </c>
      <c r="F3109" s="3">
        <v>4</v>
      </c>
      <c r="G3109" s="6" t="s">
        <v>18</v>
      </c>
    </row>
    <row r="3110" spans="1:7" x14ac:dyDescent="0.3">
      <c r="A3110" s="2" t="s">
        <v>3917</v>
      </c>
      <c r="B3110" s="2" t="s">
        <v>3906</v>
      </c>
      <c r="C3110" s="6" t="s">
        <v>3907</v>
      </c>
      <c r="D3110" s="1">
        <v>45447</v>
      </c>
      <c r="E3110" s="4">
        <v>195.2</v>
      </c>
      <c r="F3110" s="3">
        <v>3</v>
      </c>
      <c r="G3110" s="6" t="s">
        <v>18</v>
      </c>
    </row>
    <row r="3111" spans="1:7" x14ac:dyDescent="0.3">
      <c r="A3111" s="2" t="s">
        <v>3918</v>
      </c>
      <c r="B3111" s="2" t="s">
        <v>3919</v>
      </c>
      <c r="C3111" s="6" t="s">
        <v>3920</v>
      </c>
      <c r="D3111" s="1">
        <v>45599</v>
      </c>
      <c r="E3111" s="4">
        <v>29.31</v>
      </c>
      <c r="F3111" s="3">
        <v>1</v>
      </c>
      <c r="G3111" s="6" t="s">
        <v>12</v>
      </c>
    </row>
    <row r="3112" spans="1:7" x14ac:dyDescent="0.3">
      <c r="A3112" s="2" t="s">
        <v>3921</v>
      </c>
      <c r="B3112" s="2" t="s">
        <v>3919</v>
      </c>
      <c r="C3112" s="6" t="s">
        <v>3920</v>
      </c>
      <c r="D3112" s="1">
        <v>45593</v>
      </c>
      <c r="E3112" s="4">
        <v>276.82</v>
      </c>
      <c r="F3112" s="3">
        <v>4</v>
      </c>
      <c r="G3112" s="6" t="s">
        <v>10</v>
      </c>
    </row>
    <row r="3113" spans="1:7" x14ac:dyDescent="0.3">
      <c r="A3113" s="2" t="s">
        <v>3922</v>
      </c>
      <c r="B3113" s="2" t="s">
        <v>3919</v>
      </c>
      <c r="C3113" s="6" t="s">
        <v>3920</v>
      </c>
      <c r="D3113" s="1">
        <v>45631</v>
      </c>
      <c r="E3113" s="4">
        <v>352.13</v>
      </c>
      <c r="F3113" s="3">
        <v>1</v>
      </c>
      <c r="G3113" s="6" t="s">
        <v>38</v>
      </c>
    </row>
    <row r="3114" spans="1:7" x14ac:dyDescent="0.3">
      <c r="A3114" s="2" t="s">
        <v>3923</v>
      </c>
      <c r="B3114" s="2" t="s">
        <v>3919</v>
      </c>
      <c r="C3114" s="6" t="s">
        <v>3920</v>
      </c>
      <c r="D3114" s="1">
        <v>45624</v>
      </c>
      <c r="E3114" s="4">
        <v>129.05000000000001</v>
      </c>
      <c r="F3114" s="3">
        <v>4</v>
      </c>
      <c r="G3114" s="6" t="s">
        <v>10</v>
      </c>
    </row>
    <row r="3115" spans="1:7" x14ac:dyDescent="0.3">
      <c r="A3115" s="2" t="s">
        <v>3924</v>
      </c>
      <c r="B3115" s="2" t="s">
        <v>3919</v>
      </c>
      <c r="C3115" s="6" t="s">
        <v>3920</v>
      </c>
      <c r="D3115" s="1">
        <v>45647</v>
      </c>
      <c r="E3115" s="4">
        <v>269.42</v>
      </c>
      <c r="F3115" s="3">
        <v>4</v>
      </c>
      <c r="G3115" s="6" t="s">
        <v>18</v>
      </c>
    </row>
    <row r="3116" spans="1:7" x14ac:dyDescent="0.3">
      <c r="A3116" s="2" t="s">
        <v>3925</v>
      </c>
      <c r="B3116" s="2" t="s">
        <v>3919</v>
      </c>
      <c r="C3116" s="6" t="s">
        <v>3920</v>
      </c>
      <c r="D3116" s="1">
        <v>45655</v>
      </c>
      <c r="E3116" s="4">
        <v>250.42</v>
      </c>
      <c r="F3116" s="3">
        <v>2</v>
      </c>
      <c r="G3116" s="6" t="s">
        <v>12</v>
      </c>
    </row>
    <row r="3117" spans="1:7" x14ac:dyDescent="0.3">
      <c r="A3117" s="2" t="s">
        <v>3926</v>
      </c>
      <c r="B3117" s="2" t="s">
        <v>3919</v>
      </c>
      <c r="C3117" s="6" t="s">
        <v>3920</v>
      </c>
      <c r="D3117" s="1">
        <v>45602</v>
      </c>
      <c r="E3117" s="4">
        <v>188.05</v>
      </c>
      <c r="F3117" s="3">
        <v>4</v>
      </c>
      <c r="G3117" s="6" t="s">
        <v>10</v>
      </c>
    </row>
    <row r="3118" spans="1:7" x14ac:dyDescent="0.3">
      <c r="A3118" s="2" t="s">
        <v>3927</v>
      </c>
      <c r="B3118" s="2" t="s">
        <v>3928</v>
      </c>
      <c r="C3118" s="6" t="s">
        <v>3929</v>
      </c>
      <c r="D3118" s="1">
        <v>45473</v>
      </c>
      <c r="E3118" s="4">
        <v>494.55</v>
      </c>
      <c r="F3118" s="3">
        <v>2</v>
      </c>
      <c r="G3118" s="6" t="s">
        <v>38</v>
      </c>
    </row>
    <row r="3119" spans="1:7" x14ac:dyDescent="0.3">
      <c r="A3119" s="2" t="s">
        <v>3930</v>
      </c>
      <c r="B3119" s="2" t="s">
        <v>3928</v>
      </c>
      <c r="C3119" s="6" t="s">
        <v>3929</v>
      </c>
      <c r="D3119" s="1">
        <v>45529</v>
      </c>
      <c r="E3119" s="4">
        <v>467.37</v>
      </c>
      <c r="F3119" s="3">
        <v>1</v>
      </c>
      <c r="G3119" s="6" t="s">
        <v>10</v>
      </c>
    </row>
    <row r="3120" spans="1:7" x14ac:dyDescent="0.3">
      <c r="A3120" s="2" t="s">
        <v>3931</v>
      </c>
      <c r="B3120" s="2" t="s">
        <v>3928</v>
      </c>
      <c r="C3120" s="6" t="s">
        <v>3929</v>
      </c>
      <c r="D3120" s="1">
        <v>45506</v>
      </c>
      <c r="E3120" s="4">
        <v>120.59</v>
      </c>
      <c r="F3120" s="3">
        <v>3</v>
      </c>
      <c r="G3120" s="6" t="s">
        <v>38</v>
      </c>
    </row>
    <row r="3121" spans="1:7" x14ac:dyDescent="0.3">
      <c r="A3121" s="2" t="s">
        <v>3932</v>
      </c>
      <c r="B3121" s="2" t="s">
        <v>3928</v>
      </c>
      <c r="C3121" s="6" t="s">
        <v>3929</v>
      </c>
      <c r="D3121" s="1">
        <v>45546</v>
      </c>
      <c r="E3121" s="4">
        <v>320.77999999999997</v>
      </c>
      <c r="F3121" s="3">
        <v>3</v>
      </c>
      <c r="G3121" s="6" t="s">
        <v>38</v>
      </c>
    </row>
    <row r="3122" spans="1:7" x14ac:dyDescent="0.3">
      <c r="A3122" s="2" t="s">
        <v>3933</v>
      </c>
      <c r="B3122" s="2" t="s">
        <v>3928</v>
      </c>
      <c r="C3122" s="6" t="s">
        <v>3929</v>
      </c>
      <c r="D3122" s="1">
        <v>45519</v>
      </c>
      <c r="E3122" s="4">
        <v>300.64999999999998</v>
      </c>
      <c r="F3122" s="3">
        <v>4</v>
      </c>
      <c r="G3122" s="6" t="s">
        <v>12</v>
      </c>
    </row>
    <row r="3123" spans="1:7" x14ac:dyDescent="0.3">
      <c r="A3123" s="2" t="s">
        <v>3934</v>
      </c>
      <c r="B3123" s="2" t="s">
        <v>3928</v>
      </c>
      <c r="C3123" s="6" t="s">
        <v>3929</v>
      </c>
      <c r="D3123" s="1">
        <v>45590</v>
      </c>
      <c r="E3123" s="4">
        <v>395.41</v>
      </c>
      <c r="F3123" s="3">
        <v>2</v>
      </c>
      <c r="G3123" s="6" t="s">
        <v>18</v>
      </c>
    </row>
    <row r="3124" spans="1:7" x14ac:dyDescent="0.3">
      <c r="A3124" s="2" t="s">
        <v>3935</v>
      </c>
      <c r="B3124" s="2" t="s">
        <v>3928</v>
      </c>
      <c r="C3124" s="6" t="s">
        <v>3929</v>
      </c>
      <c r="D3124" s="1">
        <v>45604</v>
      </c>
      <c r="E3124" s="4">
        <v>81.36</v>
      </c>
      <c r="F3124" s="3">
        <v>2</v>
      </c>
      <c r="G3124" s="6" t="s">
        <v>18</v>
      </c>
    </row>
    <row r="3125" spans="1:7" x14ac:dyDescent="0.3">
      <c r="A3125" s="2" t="s">
        <v>3936</v>
      </c>
      <c r="B3125" s="2" t="s">
        <v>3928</v>
      </c>
      <c r="C3125" s="6" t="s">
        <v>3929</v>
      </c>
      <c r="D3125" s="1">
        <v>45577</v>
      </c>
      <c r="E3125" s="4">
        <v>415.18</v>
      </c>
      <c r="F3125" s="3">
        <v>3</v>
      </c>
      <c r="G3125" s="6" t="s">
        <v>12</v>
      </c>
    </row>
    <row r="3126" spans="1:7" x14ac:dyDescent="0.3">
      <c r="A3126" s="2" t="s">
        <v>3937</v>
      </c>
      <c r="B3126" s="2" t="s">
        <v>3928</v>
      </c>
      <c r="C3126" s="6" t="s">
        <v>3929</v>
      </c>
      <c r="D3126" s="1">
        <v>45536</v>
      </c>
      <c r="E3126" s="4">
        <v>473.67</v>
      </c>
      <c r="F3126" s="3">
        <v>2</v>
      </c>
      <c r="G3126" s="6" t="s">
        <v>26</v>
      </c>
    </row>
    <row r="3127" spans="1:7" x14ac:dyDescent="0.3">
      <c r="A3127" s="2" t="s">
        <v>3938</v>
      </c>
      <c r="B3127" s="2" t="s">
        <v>3928</v>
      </c>
      <c r="C3127" s="6" t="s">
        <v>3929</v>
      </c>
      <c r="D3127" s="1">
        <v>45501</v>
      </c>
      <c r="E3127" s="4">
        <v>466.95</v>
      </c>
      <c r="F3127" s="3">
        <v>1</v>
      </c>
      <c r="G3127" s="6" t="s">
        <v>10</v>
      </c>
    </row>
    <row r="3128" spans="1:7" x14ac:dyDescent="0.3">
      <c r="A3128" s="2" t="s">
        <v>3939</v>
      </c>
      <c r="B3128" s="2" t="s">
        <v>3928</v>
      </c>
      <c r="C3128" s="6" t="s">
        <v>3929</v>
      </c>
      <c r="D3128" s="1">
        <v>45568</v>
      </c>
      <c r="E3128" s="4">
        <v>62.39</v>
      </c>
      <c r="F3128" s="3">
        <v>2</v>
      </c>
      <c r="G3128" s="6" t="s">
        <v>18</v>
      </c>
    </row>
    <row r="3129" spans="1:7" x14ac:dyDescent="0.3">
      <c r="A3129" s="2" t="s">
        <v>3940</v>
      </c>
      <c r="B3129" s="2" t="s">
        <v>3928</v>
      </c>
      <c r="C3129" s="6" t="s">
        <v>3929</v>
      </c>
      <c r="D3129" s="1">
        <v>45604</v>
      </c>
      <c r="E3129" s="4">
        <v>395.28</v>
      </c>
      <c r="F3129" s="3">
        <v>3</v>
      </c>
      <c r="G3129" s="6" t="s">
        <v>26</v>
      </c>
    </row>
    <row r="3130" spans="1:7" x14ac:dyDescent="0.3">
      <c r="A3130" s="2" t="s">
        <v>3941</v>
      </c>
      <c r="B3130" s="2" t="s">
        <v>3942</v>
      </c>
      <c r="C3130" s="6" t="s">
        <v>3943</v>
      </c>
      <c r="D3130" s="1">
        <v>45266</v>
      </c>
      <c r="E3130" s="4">
        <v>131.91999999999999</v>
      </c>
      <c r="F3130" s="3">
        <v>2</v>
      </c>
      <c r="G3130" s="6" t="s">
        <v>18</v>
      </c>
    </row>
    <row r="3131" spans="1:7" x14ac:dyDescent="0.3">
      <c r="A3131" s="2" t="s">
        <v>3944</v>
      </c>
      <c r="B3131" s="2" t="s">
        <v>3942</v>
      </c>
      <c r="C3131" s="6" t="s">
        <v>3943</v>
      </c>
      <c r="D3131" s="1">
        <v>45581</v>
      </c>
      <c r="E3131" s="4">
        <v>314.20999999999998</v>
      </c>
      <c r="F3131" s="3">
        <v>4</v>
      </c>
      <c r="G3131" s="6" t="s">
        <v>26</v>
      </c>
    </row>
    <row r="3132" spans="1:7" x14ac:dyDescent="0.3">
      <c r="A3132" s="2" t="s">
        <v>3945</v>
      </c>
      <c r="B3132" s="2" t="s">
        <v>3942</v>
      </c>
      <c r="C3132" s="6" t="s">
        <v>3943</v>
      </c>
      <c r="D3132" s="1">
        <v>45300</v>
      </c>
      <c r="E3132" s="4">
        <v>414.11</v>
      </c>
      <c r="F3132" s="3">
        <v>1</v>
      </c>
      <c r="G3132" s="6" t="s">
        <v>26</v>
      </c>
    </row>
    <row r="3133" spans="1:7" x14ac:dyDescent="0.3">
      <c r="A3133" s="2" t="s">
        <v>3946</v>
      </c>
      <c r="B3133" s="2" t="s">
        <v>3942</v>
      </c>
      <c r="C3133" s="6" t="s">
        <v>3943</v>
      </c>
      <c r="D3133" s="1">
        <v>45630</v>
      </c>
      <c r="E3133" s="4">
        <v>86.38</v>
      </c>
      <c r="F3133" s="3">
        <v>3</v>
      </c>
      <c r="G3133" s="6" t="s">
        <v>38</v>
      </c>
    </row>
    <row r="3134" spans="1:7" x14ac:dyDescent="0.3">
      <c r="A3134" s="2" t="s">
        <v>3947</v>
      </c>
      <c r="B3134" s="2" t="s">
        <v>3948</v>
      </c>
      <c r="C3134" s="6" t="s">
        <v>3949</v>
      </c>
      <c r="D3134" s="1">
        <v>45505</v>
      </c>
      <c r="E3134" s="4">
        <v>359.38</v>
      </c>
      <c r="F3134" s="3">
        <v>2</v>
      </c>
      <c r="G3134" s="6" t="s">
        <v>38</v>
      </c>
    </row>
    <row r="3135" spans="1:7" x14ac:dyDescent="0.3">
      <c r="A3135" s="2" t="s">
        <v>3950</v>
      </c>
      <c r="B3135" s="2" t="s">
        <v>3948</v>
      </c>
      <c r="C3135" s="6" t="s">
        <v>3949</v>
      </c>
      <c r="D3135" s="1">
        <v>45365</v>
      </c>
      <c r="E3135" s="4">
        <v>86.76</v>
      </c>
      <c r="F3135" s="3">
        <v>1</v>
      </c>
      <c r="G3135" s="6" t="s">
        <v>18</v>
      </c>
    </row>
    <row r="3136" spans="1:7" x14ac:dyDescent="0.3">
      <c r="A3136" s="2" t="s">
        <v>3951</v>
      </c>
      <c r="B3136" s="2" t="s">
        <v>3948</v>
      </c>
      <c r="C3136" s="6" t="s">
        <v>3949</v>
      </c>
      <c r="D3136" s="1">
        <v>45489</v>
      </c>
      <c r="E3136" s="4">
        <v>175.24</v>
      </c>
      <c r="F3136" s="3">
        <v>1</v>
      </c>
      <c r="G3136" s="6" t="s">
        <v>12</v>
      </c>
    </row>
    <row r="3137" spans="1:7" x14ac:dyDescent="0.3">
      <c r="A3137" s="2" t="s">
        <v>3952</v>
      </c>
      <c r="B3137" s="2" t="s">
        <v>3948</v>
      </c>
      <c r="C3137" s="6" t="s">
        <v>3949</v>
      </c>
      <c r="D3137" s="1">
        <v>45373</v>
      </c>
      <c r="E3137" s="4">
        <v>216.36</v>
      </c>
      <c r="F3137" s="3">
        <v>4</v>
      </c>
      <c r="G3137" s="6" t="s">
        <v>15</v>
      </c>
    </row>
    <row r="3138" spans="1:7" x14ac:dyDescent="0.3">
      <c r="A3138" s="2" t="s">
        <v>3953</v>
      </c>
      <c r="B3138" s="2" t="s">
        <v>3948</v>
      </c>
      <c r="C3138" s="6" t="s">
        <v>3949</v>
      </c>
      <c r="D3138" s="1">
        <v>45382</v>
      </c>
      <c r="E3138" s="4">
        <v>209.22</v>
      </c>
      <c r="F3138" s="3">
        <v>4</v>
      </c>
      <c r="G3138" s="6" t="s">
        <v>18</v>
      </c>
    </row>
    <row r="3139" spans="1:7" x14ac:dyDescent="0.3">
      <c r="A3139" s="2" t="s">
        <v>3954</v>
      </c>
      <c r="B3139" s="2" t="s">
        <v>3948</v>
      </c>
      <c r="C3139" s="6" t="s">
        <v>3949</v>
      </c>
      <c r="D3139" s="1">
        <v>45395</v>
      </c>
      <c r="E3139" s="4">
        <v>333.3</v>
      </c>
      <c r="F3139" s="3">
        <v>4</v>
      </c>
      <c r="G3139" s="6" t="s">
        <v>26</v>
      </c>
    </row>
    <row r="3140" spans="1:7" x14ac:dyDescent="0.3">
      <c r="A3140" s="2" t="s">
        <v>3955</v>
      </c>
      <c r="B3140" s="2" t="s">
        <v>3948</v>
      </c>
      <c r="C3140" s="6" t="s">
        <v>3949</v>
      </c>
      <c r="D3140" s="1">
        <v>45617</v>
      </c>
      <c r="E3140" s="4">
        <v>372.11</v>
      </c>
      <c r="F3140" s="3">
        <v>2</v>
      </c>
      <c r="G3140" s="6" t="s">
        <v>38</v>
      </c>
    </row>
    <row r="3141" spans="1:7" x14ac:dyDescent="0.3">
      <c r="A3141" s="2" t="s">
        <v>3956</v>
      </c>
      <c r="B3141" s="2" t="s">
        <v>3948</v>
      </c>
      <c r="C3141" s="6" t="s">
        <v>3949</v>
      </c>
      <c r="D3141" s="1">
        <v>45592</v>
      </c>
      <c r="E3141" s="4">
        <v>85.12</v>
      </c>
      <c r="F3141" s="3">
        <v>2</v>
      </c>
      <c r="G3141" s="6" t="s">
        <v>18</v>
      </c>
    </row>
    <row r="3142" spans="1:7" x14ac:dyDescent="0.3">
      <c r="A3142" s="2" t="s">
        <v>3957</v>
      </c>
      <c r="B3142" s="2" t="s">
        <v>3948</v>
      </c>
      <c r="C3142" s="6" t="s">
        <v>3949</v>
      </c>
      <c r="D3142" s="1">
        <v>45504</v>
      </c>
      <c r="E3142" s="4">
        <v>178.13</v>
      </c>
      <c r="F3142" s="3">
        <v>1</v>
      </c>
      <c r="G3142" s="6" t="s">
        <v>12</v>
      </c>
    </row>
    <row r="3143" spans="1:7" x14ac:dyDescent="0.3">
      <c r="A3143" s="2" t="s">
        <v>3958</v>
      </c>
      <c r="B3143" s="2" t="s">
        <v>3948</v>
      </c>
      <c r="C3143" s="6" t="s">
        <v>3949</v>
      </c>
      <c r="D3143" s="1">
        <v>45431</v>
      </c>
      <c r="E3143" s="4">
        <v>19.39</v>
      </c>
      <c r="F3143" s="3">
        <v>2</v>
      </c>
      <c r="G3143" s="6" t="s">
        <v>10</v>
      </c>
    </row>
    <row r="3144" spans="1:7" x14ac:dyDescent="0.3">
      <c r="A3144" s="2" t="s">
        <v>3959</v>
      </c>
      <c r="B3144" s="2" t="s">
        <v>3948</v>
      </c>
      <c r="C3144" s="6" t="s">
        <v>3949</v>
      </c>
      <c r="D3144" s="1">
        <v>45645</v>
      </c>
      <c r="E3144" s="4">
        <v>250.21</v>
      </c>
      <c r="F3144" s="3">
        <v>1</v>
      </c>
      <c r="G3144" s="6" t="s">
        <v>38</v>
      </c>
    </row>
    <row r="3145" spans="1:7" x14ac:dyDescent="0.3">
      <c r="A3145" s="2" t="s">
        <v>3960</v>
      </c>
      <c r="B3145" s="2" t="s">
        <v>3948</v>
      </c>
      <c r="C3145" s="6" t="s">
        <v>3949</v>
      </c>
      <c r="D3145" s="1">
        <v>45406</v>
      </c>
      <c r="E3145" s="4">
        <v>129.47999999999999</v>
      </c>
      <c r="F3145" s="3">
        <v>4</v>
      </c>
      <c r="G3145" s="6" t="s">
        <v>26</v>
      </c>
    </row>
    <row r="3146" spans="1:7" x14ac:dyDescent="0.3">
      <c r="A3146" s="2" t="s">
        <v>3961</v>
      </c>
      <c r="B3146" s="2" t="s">
        <v>3962</v>
      </c>
      <c r="C3146" s="6" t="s">
        <v>3963</v>
      </c>
      <c r="D3146" s="1">
        <v>45610</v>
      </c>
      <c r="E3146" s="4">
        <v>230.25</v>
      </c>
      <c r="F3146" s="3">
        <v>1</v>
      </c>
      <c r="G3146" s="6" t="s">
        <v>12</v>
      </c>
    </row>
    <row r="3147" spans="1:7" x14ac:dyDescent="0.3">
      <c r="A3147" s="2" t="s">
        <v>3964</v>
      </c>
      <c r="B3147" s="2" t="s">
        <v>3965</v>
      </c>
      <c r="C3147" s="6" t="s">
        <v>3966</v>
      </c>
      <c r="D3147" s="1">
        <v>45332</v>
      </c>
      <c r="E3147" s="4">
        <v>152.33000000000001</v>
      </c>
      <c r="F3147" s="3">
        <v>1</v>
      </c>
      <c r="G3147" s="6" t="s">
        <v>26</v>
      </c>
    </row>
    <row r="3148" spans="1:7" x14ac:dyDescent="0.3">
      <c r="A3148" s="2" t="s">
        <v>3967</v>
      </c>
      <c r="B3148" s="2" t="s">
        <v>3965</v>
      </c>
      <c r="C3148" s="6" t="s">
        <v>3966</v>
      </c>
      <c r="D3148" s="1">
        <v>45550</v>
      </c>
      <c r="E3148" s="4">
        <v>103.32</v>
      </c>
      <c r="F3148" s="3">
        <v>2</v>
      </c>
      <c r="G3148" s="6" t="s">
        <v>10</v>
      </c>
    </row>
    <row r="3149" spans="1:7" x14ac:dyDescent="0.3">
      <c r="A3149" s="2" t="s">
        <v>3968</v>
      </c>
      <c r="B3149" s="2" t="s">
        <v>3969</v>
      </c>
      <c r="C3149" s="6" t="s">
        <v>3970</v>
      </c>
      <c r="D3149" s="1">
        <v>45633</v>
      </c>
      <c r="E3149" s="4">
        <v>373.39</v>
      </c>
      <c r="F3149" s="3">
        <v>4</v>
      </c>
      <c r="G3149" s="6" t="s">
        <v>12</v>
      </c>
    </row>
    <row r="3150" spans="1:7" x14ac:dyDescent="0.3">
      <c r="A3150" s="2" t="s">
        <v>3971</v>
      </c>
      <c r="B3150" s="2" t="s">
        <v>3969</v>
      </c>
      <c r="C3150" s="6" t="s">
        <v>3970</v>
      </c>
      <c r="D3150" s="1">
        <v>45531</v>
      </c>
      <c r="E3150" s="4">
        <v>301.72000000000003</v>
      </c>
      <c r="F3150" s="3">
        <v>1</v>
      </c>
      <c r="G3150" s="6" t="s">
        <v>18</v>
      </c>
    </row>
    <row r="3151" spans="1:7" x14ac:dyDescent="0.3">
      <c r="A3151" s="2" t="s">
        <v>3972</v>
      </c>
      <c r="B3151" s="2" t="s">
        <v>3969</v>
      </c>
      <c r="C3151" s="6" t="s">
        <v>3970</v>
      </c>
      <c r="D3151" s="1">
        <v>45635</v>
      </c>
      <c r="E3151" s="4">
        <v>497.32</v>
      </c>
      <c r="F3151" s="3">
        <v>4</v>
      </c>
      <c r="G3151" s="6" t="s">
        <v>12</v>
      </c>
    </row>
    <row r="3152" spans="1:7" x14ac:dyDescent="0.3">
      <c r="A3152" s="2" t="s">
        <v>3973</v>
      </c>
      <c r="B3152" s="2" t="s">
        <v>3969</v>
      </c>
      <c r="C3152" s="6" t="s">
        <v>3970</v>
      </c>
      <c r="D3152" s="1">
        <v>45613</v>
      </c>
      <c r="E3152" s="4">
        <v>347.3</v>
      </c>
      <c r="F3152" s="3">
        <v>3</v>
      </c>
      <c r="G3152" s="6" t="s">
        <v>26</v>
      </c>
    </row>
    <row r="3153" spans="1:7" x14ac:dyDescent="0.3">
      <c r="A3153" s="2" t="s">
        <v>3974</v>
      </c>
      <c r="B3153" s="2" t="s">
        <v>3969</v>
      </c>
      <c r="C3153" s="6" t="s">
        <v>3970</v>
      </c>
      <c r="D3153" s="1">
        <v>45557</v>
      </c>
      <c r="E3153" s="4">
        <v>150.22999999999999</v>
      </c>
      <c r="F3153" s="3">
        <v>1</v>
      </c>
      <c r="G3153" s="6" t="s">
        <v>12</v>
      </c>
    </row>
    <row r="3154" spans="1:7" x14ac:dyDescent="0.3">
      <c r="A3154" s="2" t="s">
        <v>3975</v>
      </c>
      <c r="B3154" s="2" t="s">
        <v>3969</v>
      </c>
      <c r="C3154" s="6" t="s">
        <v>3970</v>
      </c>
      <c r="D3154" s="1">
        <v>45515</v>
      </c>
      <c r="E3154" s="4">
        <v>459.95</v>
      </c>
      <c r="F3154" s="3">
        <v>3</v>
      </c>
      <c r="G3154" s="6" t="s">
        <v>26</v>
      </c>
    </row>
    <row r="3155" spans="1:7" x14ac:dyDescent="0.3">
      <c r="A3155" s="2" t="s">
        <v>3976</v>
      </c>
      <c r="B3155" s="2" t="s">
        <v>3969</v>
      </c>
      <c r="C3155" s="6" t="s">
        <v>3970</v>
      </c>
      <c r="D3155" s="1">
        <v>45536</v>
      </c>
      <c r="E3155" s="4">
        <v>104.65</v>
      </c>
      <c r="F3155" s="3">
        <v>2</v>
      </c>
      <c r="G3155" s="6" t="s">
        <v>26</v>
      </c>
    </row>
    <row r="3156" spans="1:7" x14ac:dyDescent="0.3">
      <c r="A3156" s="2" t="s">
        <v>3977</v>
      </c>
      <c r="B3156" s="2" t="s">
        <v>3969</v>
      </c>
      <c r="C3156" s="6" t="s">
        <v>3970</v>
      </c>
      <c r="D3156" s="1">
        <v>45518</v>
      </c>
      <c r="E3156" s="4">
        <v>89.5</v>
      </c>
      <c r="F3156" s="3">
        <v>1</v>
      </c>
      <c r="G3156" s="6" t="s">
        <v>12</v>
      </c>
    </row>
    <row r="3157" spans="1:7" x14ac:dyDescent="0.3">
      <c r="A3157" s="2" t="s">
        <v>3978</v>
      </c>
      <c r="B3157" s="2" t="s">
        <v>3969</v>
      </c>
      <c r="C3157" s="6" t="s">
        <v>3970</v>
      </c>
      <c r="D3157" s="1">
        <v>45541</v>
      </c>
      <c r="E3157" s="4">
        <v>299.02</v>
      </c>
      <c r="F3157" s="3">
        <v>1</v>
      </c>
      <c r="G3157" s="6" t="s">
        <v>10</v>
      </c>
    </row>
    <row r="3158" spans="1:7" x14ac:dyDescent="0.3">
      <c r="A3158" s="2" t="s">
        <v>3979</v>
      </c>
      <c r="B3158" s="2" t="s">
        <v>3969</v>
      </c>
      <c r="C3158" s="6" t="s">
        <v>3970</v>
      </c>
      <c r="D3158" s="1">
        <v>45535</v>
      </c>
      <c r="E3158" s="4">
        <v>260.54000000000002</v>
      </c>
      <c r="F3158" s="3">
        <v>2</v>
      </c>
      <c r="G3158" s="6" t="s">
        <v>15</v>
      </c>
    </row>
    <row r="3159" spans="1:7" x14ac:dyDescent="0.3">
      <c r="A3159" s="2" t="s">
        <v>3980</v>
      </c>
      <c r="B3159" s="2" t="s">
        <v>3969</v>
      </c>
      <c r="C3159" s="6" t="s">
        <v>3970</v>
      </c>
      <c r="D3159" s="1">
        <v>45522</v>
      </c>
      <c r="E3159" s="4">
        <v>352.56</v>
      </c>
      <c r="F3159" s="3">
        <v>3</v>
      </c>
      <c r="G3159" s="6" t="s">
        <v>26</v>
      </c>
    </row>
    <row r="3160" spans="1:7" x14ac:dyDescent="0.3">
      <c r="A3160" s="2" t="s">
        <v>3981</v>
      </c>
      <c r="B3160" s="2" t="s">
        <v>3969</v>
      </c>
      <c r="C3160" s="6" t="s">
        <v>3970</v>
      </c>
      <c r="D3160" s="1">
        <v>45551</v>
      </c>
      <c r="E3160" s="4">
        <v>324.42</v>
      </c>
      <c r="F3160" s="3">
        <v>2</v>
      </c>
      <c r="G3160" s="6" t="s">
        <v>26</v>
      </c>
    </row>
    <row r="3161" spans="1:7" x14ac:dyDescent="0.3">
      <c r="A3161" s="2" t="s">
        <v>3982</v>
      </c>
      <c r="B3161" s="2" t="s">
        <v>3969</v>
      </c>
      <c r="C3161" s="6" t="s">
        <v>3970</v>
      </c>
      <c r="D3161" s="1">
        <v>45533</v>
      </c>
      <c r="E3161" s="4">
        <v>206.17</v>
      </c>
      <c r="F3161" s="3">
        <v>3</v>
      </c>
      <c r="G3161" s="6" t="s">
        <v>15</v>
      </c>
    </row>
    <row r="3162" spans="1:7" x14ac:dyDescent="0.3">
      <c r="A3162" s="2" t="s">
        <v>3983</v>
      </c>
      <c r="B3162" s="2" t="s">
        <v>3969</v>
      </c>
      <c r="C3162" s="6" t="s">
        <v>3970</v>
      </c>
      <c r="D3162" s="1">
        <v>45643</v>
      </c>
      <c r="E3162" s="4">
        <v>29.23</v>
      </c>
      <c r="F3162" s="3">
        <v>1</v>
      </c>
      <c r="G3162" s="6" t="s">
        <v>18</v>
      </c>
    </row>
    <row r="3163" spans="1:7" x14ac:dyDescent="0.3">
      <c r="A3163" s="2" t="s">
        <v>3984</v>
      </c>
      <c r="B3163" s="2" t="s">
        <v>3969</v>
      </c>
      <c r="C3163" s="6" t="s">
        <v>3970</v>
      </c>
      <c r="D3163" s="1">
        <v>45556</v>
      </c>
      <c r="E3163" s="4">
        <v>117.45</v>
      </c>
      <c r="F3163" s="3">
        <v>2</v>
      </c>
      <c r="G3163" s="6" t="s">
        <v>15</v>
      </c>
    </row>
    <row r="3164" spans="1:7" x14ac:dyDescent="0.3">
      <c r="A3164" s="2" t="s">
        <v>3985</v>
      </c>
      <c r="B3164" s="2" t="s">
        <v>3986</v>
      </c>
      <c r="C3164" s="6" t="s">
        <v>3987</v>
      </c>
      <c r="D3164" s="1">
        <v>45499</v>
      </c>
      <c r="E3164" s="4">
        <v>262.39</v>
      </c>
      <c r="F3164" s="3">
        <v>1</v>
      </c>
      <c r="G3164" s="6" t="s">
        <v>12</v>
      </c>
    </row>
    <row r="3165" spans="1:7" x14ac:dyDescent="0.3">
      <c r="A3165" s="2" t="s">
        <v>3988</v>
      </c>
      <c r="B3165" s="2" t="s">
        <v>3986</v>
      </c>
      <c r="C3165" s="6" t="s">
        <v>3987</v>
      </c>
      <c r="D3165" s="1">
        <v>45442</v>
      </c>
      <c r="E3165" s="4">
        <v>217.88</v>
      </c>
      <c r="F3165" s="3">
        <v>4</v>
      </c>
      <c r="G3165" s="6" t="s">
        <v>15</v>
      </c>
    </row>
    <row r="3166" spans="1:7" x14ac:dyDescent="0.3">
      <c r="A3166" s="2" t="s">
        <v>3989</v>
      </c>
      <c r="B3166" s="2" t="s">
        <v>3986</v>
      </c>
      <c r="C3166" s="6" t="s">
        <v>3987</v>
      </c>
      <c r="D3166" s="1">
        <v>45290</v>
      </c>
      <c r="E3166" s="4">
        <v>474.55</v>
      </c>
      <c r="F3166" s="3">
        <v>3</v>
      </c>
      <c r="G3166" s="6" t="s">
        <v>18</v>
      </c>
    </row>
    <row r="3167" spans="1:7" x14ac:dyDescent="0.3">
      <c r="A3167" s="2" t="s">
        <v>3990</v>
      </c>
      <c r="B3167" s="2" t="s">
        <v>3986</v>
      </c>
      <c r="C3167" s="6" t="s">
        <v>3987</v>
      </c>
      <c r="D3167" s="1">
        <v>45231</v>
      </c>
      <c r="E3167" s="4">
        <v>243.48</v>
      </c>
      <c r="F3167" s="3">
        <v>1</v>
      </c>
      <c r="G3167" s="6" t="s">
        <v>10</v>
      </c>
    </row>
    <row r="3168" spans="1:7" x14ac:dyDescent="0.3">
      <c r="A3168" s="2" t="s">
        <v>3991</v>
      </c>
      <c r="B3168" s="2" t="s">
        <v>3986</v>
      </c>
      <c r="C3168" s="6" t="s">
        <v>3987</v>
      </c>
      <c r="D3168" s="1">
        <v>45292</v>
      </c>
      <c r="E3168" s="4">
        <v>163.38</v>
      </c>
      <c r="F3168" s="3">
        <v>4</v>
      </c>
      <c r="G3168" s="6" t="s">
        <v>15</v>
      </c>
    </row>
    <row r="3169" spans="1:7" x14ac:dyDescent="0.3">
      <c r="A3169" s="2" t="s">
        <v>3992</v>
      </c>
      <c r="B3169" s="2" t="s">
        <v>3986</v>
      </c>
      <c r="C3169" s="6" t="s">
        <v>3987</v>
      </c>
      <c r="D3169" s="1">
        <v>45173</v>
      </c>
      <c r="E3169" s="4">
        <v>481.55</v>
      </c>
      <c r="F3169" s="3">
        <v>2</v>
      </c>
      <c r="G3169" s="6" t="s">
        <v>26</v>
      </c>
    </row>
    <row r="3170" spans="1:7" x14ac:dyDescent="0.3">
      <c r="A3170" s="2" t="s">
        <v>3993</v>
      </c>
      <c r="B3170" s="2" t="s">
        <v>3986</v>
      </c>
      <c r="C3170" s="6" t="s">
        <v>3987</v>
      </c>
      <c r="D3170" s="1">
        <v>45384</v>
      </c>
      <c r="E3170" s="4">
        <v>156.04</v>
      </c>
      <c r="F3170" s="3">
        <v>1</v>
      </c>
      <c r="G3170" s="6" t="s">
        <v>12</v>
      </c>
    </row>
    <row r="3171" spans="1:7" x14ac:dyDescent="0.3">
      <c r="A3171" s="2" t="s">
        <v>3994</v>
      </c>
      <c r="B3171" s="2" t="s">
        <v>3986</v>
      </c>
      <c r="C3171" s="6" t="s">
        <v>3987</v>
      </c>
      <c r="D3171" s="1">
        <v>45250</v>
      </c>
      <c r="E3171" s="4">
        <v>144.65</v>
      </c>
      <c r="F3171" s="3">
        <v>2</v>
      </c>
      <c r="G3171" s="6" t="s">
        <v>12</v>
      </c>
    </row>
    <row r="3172" spans="1:7" x14ac:dyDescent="0.3">
      <c r="A3172" s="2" t="s">
        <v>3995</v>
      </c>
      <c r="B3172" s="2" t="s">
        <v>3986</v>
      </c>
      <c r="C3172" s="6" t="s">
        <v>3987</v>
      </c>
      <c r="D3172" s="1">
        <v>45355</v>
      </c>
      <c r="E3172" s="4">
        <v>202.74</v>
      </c>
      <c r="F3172" s="3">
        <v>2</v>
      </c>
      <c r="G3172" s="6" t="s">
        <v>26</v>
      </c>
    </row>
    <row r="3173" spans="1:7" x14ac:dyDescent="0.3">
      <c r="A3173" s="2" t="s">
        <v>3996</v>
      </c>
      <c r="B3173" s="2" t="s">
        <v>3986</v>
      </c>
      <c r="C3173" s="6" t="s">
        <v>3987</v>
      </c>
      <c r="D3173" s="1">
        <v>45373</v>
      </c>
      <c r="E3173" s="4">
        <v>111.39</v>
      </c>
      <c r="F3173" s="3">
        <v>4</v>
      </c>
      <c r="G3173" s="6" t="s">
        <v>12</v>
      </c>
    </row>
    <row r="3174" spans="1:7" x14ac:dyDescent="0.3">
      <c r="A3174" s="2" t="s">
        <v>3997</v>
      </c>
      <c r="B3174" s="2" t="s">
        <v>3986</v>
      </c>
      <c r="C3174" s="6" t="s">
        <v>3987</v>
      </c>
      <c r="D3174" s="1">
        <v>45612</v>
      </c>
      <c r="E3174" s="4">
        <v>374.32</v>
      </c>
      <c r="F3174" s="3">
        <v>1</v>
      </c>
      <c r="G3174" s="6" t="s">
        <v>12</v>
      </c>
    </row>
    <row r="3175" spans="1:7" x14ac:dyDescent="0.3">
      <c r="A3175" s="2" t="s">
        <v>3998</v>
      </c>
      <c r="B3175" s="2" t="s">
        <v>3986</v>
      </c>
      <c r="C3175" s="6" t="s">
        <v>3987</v>
      </c>
      <c r="D3175" s="1">
        <v>45520</v>
      </c>
      <c r="E3175" s="4">
        <v>111.31</v>
      </c>
      <c r="F3175" s="3">
        <v>4</v>
      </c>
      <c r="G3175" s="6" t="s">
        <v>10</v>
      </c>
    </row>
    <row r="3176" spans="1:7" x14ac:dyDescent="0.3">
      <c r="A3176" s="2" t="s">
        <v>3999</v>
      </c>
      <c r="B3176" s="2" t="s">
        <v>3986</v>
      </c>
      <c r="C3176" s="6" t="s">
        <v>3987</v>
      </c>
      <c r="D3176" s="1">
        <v>45212</v>
      </c>
      <c r="E3176" s="4">
        <v>339.23</v>
      </c>
      <c r="F3176" s="3">
        <v>1</v>
      </c>
      <c r="G3176" s="6" t="s">
        <v>12</v>
      </c>
    </row>
    <row r="3177" spans="1:7" x14ac:dyDescent="0.3">
      <c r="A3177" s="2" t="s">
        <v>4000</v>
      </c>
      <c r="B3177" s="2" t="s">
        <v>4001</v>
      </c>
      <c r="C3177" s="6" t="s">
        <v>4002</v>
      </c>
      <c r="D3177" s="1">
        <v>45621</v>
      </c>
      <c r="E3177" s="4">
        <v>11.29</v>
      </c>
      <c r="F3177" s="3">
        <v>2</v>
      </c>
      <c r="G3177" s="6" t="s">
        <v>38</v>
      </c>
    </row>
    <row r="3178" spans="1:7" x14ac:dyDescent="0.3">
      <c r="A3178" s="2" t="s">
        <v>4003</v>
      </c>
      <c r="B3178" s="2" t="s">
        <v>4001</v>
      </c>
      <c r="C3178" s="6" t="s">
        <v>4002</v>
      </c>
      <c r="D3178" s="1">
        <v>45551</v>
      </c>
      <c r="E3178" s="4">
        <v>254.99</v>
      </c>
      <c r="F3178" s="3">
        <v>2</v>
      </c>
      <c r="G3178" s="6" t="s">
        <v>18</v>
      </c>
    </row>
    <row r="3179" spans="1:7" x14ac:dyDescent="0.3">
      <c r="A3179" s="2" t="s">
        <v>4004</v>
      </c>
      <c r="B3179" s="2" t="s">
        <v>4001</v>
      </c>
      <c r="C3179" s="6" t="s">
        <v>4002</v>
      </c>
      <c r="D3179" s="1">
        <v>45627</v>
      </c>
      <c r="E3179" s="4">
        <v>431.24</v>
      </c>
      <c r="F3179" s="3">
        <v>4</v>
      </c>
      <c r="G3179" s="6" t="s">
        <v>18</v>
      </c>
    </row>
    <row r="3180" spans="1:7" x14ac:dyDescent="0.3">
      <c r="A3180" s="2" t="s">
        <v>4005</v>
      </c>
      <c r="B3180" s="2" t="s">
        <v>4001</v>
      </c>
      <c r="C3180" s="6" t="s">
        <v>4002</v>
      </c>
      <c r="D3180" s="1">
        <v>45645</v>
      </c>
      <c r="E3180" s="4">
        <v>81.93</v>
      </c>
      <c r="F3180" s="3">
        <v>1</v>
      </c>
      <c r="G3180" s="6" t="s">
        <v>26</v>
      </c>
    </row>
    <row r="3181" spans="1:7" x14ac:dyDescent="0.3">
      <c r="A3181" s="2" t="s">
        <v>4006</v>
      </c>
      <c r="B3181" s="2" t="s">
        <v>4001</v>
      </c>
      <c r="C3181" s="6" t="s">
        <v>4002</v>
      </c>
      <c r="D3181" s="1">
        <v>45547</v>
      </c>
      <c r="E3181" s="4">
        <v>115.39</v>
      </c>
      <c r="F3181" s="3">
        <v>3</v>
      </c>
      <c r="G3181" s="6" t="s">
        <v>15</v>
      </c>
    </row>
    <row r="3182" spans="1:7" x14ac:dyDescent="0.3">
      <c r="A3182" s="2" t="s">
        <v>4007</v>
      </c>
      <c r="B3182" s="2" t="s">
        <v>4001</v>
      </c>
      <c r="C3182" s="6" t="s">
        <v>4002</v>
      </c>
      <c r="D3182" s="1">
        <v>45641</v>
      </c>
      <c r="E3182" s="4">
        <v>318.27</v>
      </c>
      <c r="F3182" s="3">
        <v>2</v>
      </c>
      <c r="G3182" s="6" t="s">
        <v>15</v>
      </c>
    </row>
    <row r="3183" spans="1:7" x14ac:dyDescent="0.3">
      <c r="A3183" s="2" t="s">
        <v>4008</v>
      </c>
      <c r="B3183" s="2" t="s">
        <v>4001</v>
      </c>
      <c r="C3183" s="6" t="s">
        <v>4002</v>
      </c>
      <c r="D3183" s="1">
        <v>45650</v>
      </c>
      <c r="E3183" s="4">
        <v>236.54</v>
      </c>
      <c r="F3183" s="3">
        <v>4</v>
      </c>
      <c r="G3183" s="6" t="s">
        <v>26</v>
      </c>
    </row>
    <row r="3184" spans="1:7" x14ac:dyDescent="0.3">
      <c r="A3184" s="2" t="s">
        <v>4009</v>
      </c>
      <c r="B3184" s="2" t="s">
        <v>4001</v>
      </c>
      <c r="C3184" s="6" t="s">
        <v>4002</v>
      </c>
      <c r="D3184" s="1">
        <v>45546</v>
      </c>
      <c r="E3184" s="4">
        <v>137.71</v>
      </c>
      <c r="F3184" s="3">
        <v>2</v>
      </c>
      <c r="G3184" s="6" t="s">
        <v>10</v>
      </c>
    </row>
    <row r="3185" spans="1:7" x14ac:dyDescent="0.3">
      <c r="A3185" s="2" t="s">
        <v>4010</v>
      </c>
      <c r="B3185" s="2" t="s">
        <v>4001</v>
      </c>
      <c r="C3185" s="6" t="s">
        <v>4002</v>
      </c>
      <c r="D3185" s="1">
        <v>45629</v>
      </c>
      <c r="E3185" s="4">
        <v>281.8</v>
      </c>
      <c r="F3185" s="3">
        <v>2</v>
      </c>
      <c r="G3185" s="6" t="s">
        <v>26</v>
      </c>
    </row>
    <row r="3186" spans="1:7" x14ac:dyDescent="0.3">
      <c r="A3186" s="2" t="s">
        <v>4011</v>
      </c>
      <c r="B3186" s="2" t="s">
        <v>4001</v>
      </c>
      <c r="C3186" s="6" t="s">
        <v>4002</v>
      </c>
      <c r="D3186" s="1">
        <v>45557</v>
      </c>
      <c r="E3186" s="4">
        <v>71.569999999999993</v>
      </c>
      <c r="F3186" s="3">
        <v>3</v>
      </c>
      <c r="G3186" s="6" t="s">
        <v>15</v>
      </c>
    </row>
    <row r="3187" spans="1:7" x14ac:dyDescent="0.3">
      <c r="A3187" s="2" t="s">
        <v>4012</v>
      </c>
      <c r="B3187" s="2" t="s">
        <v>4001</v>
      </c>
      <c r="C3187" s="6" t="s">
        <v>4002</v>
      </c>
      <c r="D3187" s="1">
        <v>45544</v>
      </c>
      <c r="E3187" s="4">
        <v>422.59</v>
      </c>
      <c r="F3187" s="3">
        <v>1</v>
      </c>
      <c r="G3187" s="6" t="s">
        <v>18</v>
      </c>
    </row>
    <row r="3188" spans="1:7" x14ac:dyDescent="0.3">
      <c r="A3188" s="2" t="s">
        <v>4013</v>
      </c>
      <c r="B3188" s="2" t="s">
        <v>4001</v>
      </c>
      <c r="C3188" s="6" t="s">
        <v>4002</v>
      </c>
      <c r="D3188" s="1">
        <v>45547</v>
      </c>
      <c r="E3188" s="4">
        <v>220</v>
      </c>
      <c r="F3188" s="3">
        <v>1</v>
      </c>
      <c r="G3188" s="6" t="s">
        <v>12</v>
      </c>
    </row>
    <row r="3189" spans="1:7" x14ac:dyDescent="0.3">
      <c r="A3189" s="2" t="s">
        <v>4014</v>
      </c>
      <c r="B3189" s="2" t="s">
        <v>4001</v>
      </c>
      <c r="C3189" s="6" t="s">
        <v>4002</v>
      </c>
      <c r="D3189" s="1">
        <v>45614</v>
      </c>
      <c r="E3189" s="4">
        <v>162.77000000000001</v>
      </c>
      <c r="F3189" s="3">
        <v>3</v>
      </c>
      <c r="G3189" s="6" t="s">
        <v>18</v>
      </c>
    </row>
    <row r="3190" spans="1:7" x14ac:dyDescent="0.3">
      <c r="A3190" s="2" t="s">
        <v>4015</v>
      </c>
      <c r="B3190" s="2" t="s">
        <v>4001</v>
      </c>
      <c r="C3190" s="6" t="s">
        <v>4002</v>
      </c>
      <c r="D3190" s="1">
        <v>45613</v>
      </c>
      <c r="E3190" s="4">
        <v>218.34</v>
      </c>
      <c r="F3190" s="3">
        <v>4</v>
      </c>
      <c r="G3190" s="6" t="s">
        <v>15</v>
      </c>
    </row>
    <row r="3191" spans="1:7" x14ac:dyDescent="0.3">
      <c r="A3191" s="2" t="s">
        <v>4016</v>
      </c>
      <c r="B3191" s="2" t="s">
        <v>4017</v>
      </c>
      <c r="C3191" s="6" t="s">
        <v>4018</v>
      </c>
      <c r="D3191" s="1">
        <v>45655</v>
      </c>
      <c r="E3191" s="4">
        <v>140.03</v>
      </c>
      <c r="F3191" s="3">
        <v>4</v>
      </c>
      <c r="G3191" s="6" t="s">
        <v>26</v>
      </c>
    </row>
    <row r="3192" spans="1:7" x14ac:dyDescent="0.3">
      <c r="A3192" s="2" t="s">
        <v>4019</v>
      </c>
      <c r="B3192" s="2" t="s">
        <v>4017</v>
      </c>
      <c r="C3192" s="6" t="s">
        <v>4018</v>
      </c>
      <c r="D3192" s="1">
        <v>45592</v>
      </c>
      <c r="E3192" s="4">
        <v>338.46</v>
      </c>
      <c r="F3192" s="3">
        <v>1</v>
      </c>
      <c r="G3192" s="6" t="s">
        <v>10</v>
      </c>
    </row>
    <row r="3193" spans="1:7" x14ac:dyDescent="0.3">
      <c r="A3193" s="2" t="s">
        <v>4020</v>
      </c>
      <c r="B3193" s="2" t="s">
        <v>4017</v>
      </c>
      <c r="C3193" s="6" t="s">
        <v>4018</v>
      </c>
      <c r="D3193" s="1">
        <v>45609</v>
      </c>
      <c r="E3193" s="4">
        <v>422.29</v>
      </c>
      <c r="F3193" s="3">
        <v>4</v>
      </c>
      <c r="G3193" s="6" t="s">
        <v>26</v>
      </c>
    </row>
    <row r="3194" spans="1:7" x14ac:dyDescent="0.3">
      <c r="A3194" s="2" t="s">
        <v>4021</v>
      </c>
      <c r="B3194" s="2" t="s">
        <v>4017</v>
      </c>
      <c r="C3194" s="6" t="s">
        <v>4018</v>
      </c>
      <c r="D3194" s="1">
        <v>45540</v>
      </c>
      <c r="E3194" s="4">
        <v>251.01</v>
      </c>
      <c r="F3194" s="3">
        <v>3</v>
      </c>
      <c r="G3194" s="6" t="s">
        <v>15</v>
      </c>
    </row>
    <row r="3195" spans="1:7" x14ac:dyDescent="0.3">
      <c r="A3195" s="2" t="s">
        <v>4022</v>
      </c>
      <c r="B3195" s="2" t="s">
        <v>4017</v>
      </c>
      <c r="C3195" s="6" t="s">
        <v>4018</v>
      </c>
      <c r="D3195" s="1">
        <v>45606</v>
      </c>
      <c r="E3195" s="4">
        <v>492.78</v>
      </c>
      <c r="F3195" s="3">
        <v>2</v>
      </c>
      <c r="G3195" s="6" t="s">
        <v>12</v>
      </c>
    </row>
    <row r="3196" spans="1:7" x14ac:dyDescent="0.3">
      <c r="A3196" s="2" t="s">
        <v>4023</v>
      </c>
      <c r="B3196" s="2" t="s">
        <v>4017</v>
      </c>
      <c r="C3196" s="6" t="s">
        <v>4018</v>
      </c>
      <c r="D3196" s="1">
        <v>45472</v>
      </c>
      <c r="E3196" s="4">
        <v>495.92</v>
      </c>
      <c r="F3196" s="3">
        <v>1</v>
      </c>
      <c r="G3196" s="6" t="s">
        <v>38</v>
      </c>
    </row>
    <row r="3197" spans="1:7" x14ac:dyDescent="0.3">
      <c r="A3197" s="2" t="s">
        <v>4024</v>
      </c>
      <c r="B3197" s="2" t="s">
        <v>4017</v>
      </c>
      <c r="C3197" s="6" t="s">
        <v>4018</v>
      </c>
      <c r="D3197" s="1">
        <v>45591</v>
      </c>
      <c r="E3197" s="4">
        <v>463.38</v>
      </c>
      <c r="F3197" s="3">
        <v>4</v>
      </c>
      <c r="G3197" s="6" t="s">
        <v>38</v>
      </c>
    </row>
    <row r="3198" spans="1:7" x14ac:dyDescent="0.3">
      <c r="A3198" s="2" t="s">
        <v>4025</v>
      </c>
      <c r="B3198" s="2" t="s">
        <v>4017</v>
      </c>
      <c r="C3198" s="6" t="s">
        <v>4018</v>
      </c>
      <c r="D3198" s="1">
        <v>45529</v>
      </c>
      <c r="E3198" s="4">
        <v>474.26</v>
      </c>
      <c r="F3198" s="3">
        <v>3</v>
      </c>
      <c r="G3198" s="6" t="s">
        <v>26</v>
      </c>
    </row>
    <row r="3199" spans="1:7" x14ac:dyDescent="0.3">
      <c r="A3199" s="2" t="s">
        <v>4026</v>
      </c>
      <c r="B3199" s="2" t="s">
        <v>4017</v>
      </c>
      <c r="C3199" s="6" t="s">
        <v>4018</v>
      </c>
      <c r="D3199" s="1">
        <v>45421</v>
      </c>
      <c r="E3199" s="4">
        <v>412.04</v>
      </c>
      <c r="F3199" s="3">
        <v>1</v>
      </c>
      <c r="G3199" s="6" t="s">
        <v>18</v>
      </c>
    </row>
    <row r="3200" spans="1:7" x14ac:dyDescent="0.3">
      <c r="A3200" s="2" t="s">
        <v>4027</v>
      </c>
      <c r="B3200" s="2" t="s">
        <v>4017</v>
      </c>
      <c r="C3200" s="6" t="s">
        <v>4018</v>
      </c>
      <c r="D3200" s="1">
        <v>45558</v>
      </c>
      <c r="E3200" s="4">
        <v>140.87</v>
      </c>
      <c r="F3200" s="3">
        <v>1</v>
      </c>
      <c r="G3200" s="6" t="s">
        <v>26</v>
      </c>
    </row>
    <row r="3201" spans="1:7" x14ac:dyDescent="0.3">
      <c r="A3201" s="2" t="s">
        <v>4028</v>
      </c>
      <c r="B3201" s="2" t="s">
        <v>4017</v>
      </c>
      <c r="C3201" s="6" t="s">
        <v>4018</v>
      </c>
      <c r="D3201" s="1">
        <v>45517</v>
      </c>
      <c r="E3201" s="4">
        <v>142.97</v>
      </c>
      <c r="F3201" s="3">
        <v>3</v>
      </c>
      <c r="G3201" s="6" t="s">
        <v>10</v>
      </c>
    </row>
    <row r="3202" spans="1:7" x14ac:dyDescent="0.3">
      <c r="A3202" s="2" t="s">
        <v>4029</v>
      </c>
      <c r="B3202" s="2" t="s">
        <v>4017</v>
      </c>
      <c r="C3202" s="6" t="s">
        <v>4018</v>
      </c>
      <c r="D3202" s="1">
        <v>45530</v>
      </c>
      <c r="E3202" s="4">
        <v>398.98</v>
      </c>
      <c r="F3202" s="3">
        <v>4</v>
      </c>
      <c r="G3202" s="6" t="s">
        <v>26</v>
      </c>
    </row>
    <row r="3203" spans="1:7" x14ac:dyDescent="0.3">
      <c r="A3203" s="2" t="s">
        <v>4030</v>
      </c>
      <c r="B3203" s="2" t="s">
        <v>4017</v>
      </c>
      <c r="C3203" s="6" t="s">
        <v>4018</v>
      </c>
      <c r="D3203" s="1">
        <v>45552</v>
      </c>
      <c r="E3203" s="4">
        <v>497.63</v>
      </c>
      <c r="F3203" s="3">
        <v>4</v>
      </c>
      <c r="G3203" s="6" t="s">
        <v>10</v>
      </c>
    </row>
    <row r="3204" spans="1:7" x14ac:dyDescent="0.3">
      <c r="A3204" s="2" t="s">
        <v>4031</v>
      </c>
      <c r="B3204" s="2" t="s">
        <v>4017</v>
      </c>
      <c r="C3204" s="6" t="s">
        <v>4018</v>
      </c>
      <c r="D3204" s="1">
        <v>45533</v>
      </c>
      <c r="E3204" s="4">
        <v>62.21</v>
      </c>
      <c r="F3204" s="3">
        <v>4</v>
      </c>
      <c r="G3204" s="6" t="s">
        <v>10</v>
      </c>
    </row>
    <row r="3205" spans="1:7" x14ac:dyDescent="0.3">
      <c r="A3205" s="2" t="s">
        <v>4032</v>
      </c>
      <c r="B3205" s="2" t="s">
        <v>4017</v>
      </c>
      <c r="C3205" s="6" t="s">
        <v>4018</v>
      </c>
      <c r="D3205" s="1">
        <v>45547</v>
      </c>
      <c r="E3205" s="4">
        <v>350.86</v>
      </c>
      <c r="F3205" s="3">
        <v>1</v>
      </c>
      <c r="G3205" s="6" t="s">
        <v>10</v>
      </c>
    </row>
    <row r="3206" spans="1:7" x14ac:dyDescent="0.3">
      <c r="A3206" s="2" t="s">
        <v>4033</v>
      </c>
      <c r="B3206" s="2" t="s">
        <v>4034</v>
      </c>
      <c r="C3206" s="6" t="s">
        <v>4035</v>
      </c>
      <c r="D3206" s="1">
        <v>45597</v>
      </c>
      <c r="E3206" s="4">
        <v>332.84</v>
      </c>
      <c r="F3206" s="3">
        <v>3</v>
      </c>
      <c r="G3206" s="6" t="s">
        <v>10</v>
      </c>
    </row>
    <row r="3207" spans="1:7" x14ac:dyDescent="0.3">
      <c r="A3207" s="2" t="s">
        <v>4036</v>
      </c>
      <c r="B3207" s="2" t="s">
        <v>4034</v>
      </c>
      <c r="C3207" s="6" t="s">
        <v>4035</v>
      </c>
      <c r="D3207" s="1">
        <v>45649</v>
      </c>
      <c r="E3207" s="4">
        <v>256.04000000000002</v>
      </c>
      <c r="F3207" s="3">
        <v>1</v>
      </c>
      <c r="G3207" s="6" t="s">
        <v>38</v>
      </c>
    </row>
    <row r="3208" spans="1:7" x14ac:dyDescent="0.3">
      <c r="A3208" s="2" t="s">
        <v>4037</v>
      </c>
      <c r="B3208" s="2" t="s">
        <v>4034</v>
      </c>
      <c r="C3208" s="6" t="s">
        <v>4035</v>
      </c>
      <c r="D3208" s="1">
        <v>45586</v>
      </c>
      <c r="E3208" s="4">
        <v>383.87</v>
      </c>
      <c r="F3208" s="3">
        <v>4</v>
      </c>
      <c r="G3208" s="6" t="s">
        <v>26</v>
      </c>
    </row>
    <row r="3209" spans="1:7" x14ac:dyDescent="0.3">
      <c r="A3209" s="2" t="s">
        <v>4038</v>
      </c>
      <c r="B3209" s="2" t="s">
        <v>4034</v>
      </c>
      <c r="C3209" s="6" t="s">
        <v>4035</v>
      </c>
      <c r="D3209" s="1">
        <v>45622</v>
      </c>
      <c r="E3209" s="4">
        <v>249.17</v>
      </c>
      <c r="F3209" s="3">
        <v>2</v>
      </c>
      <c r="G3209" s="6" t="s">
        <v>15</v>
      </c>
    </row>
    <row r="3210" spans="1:7" x14ac:dyDescent="0.3">
      <c r="A3210" s="2" t="s">
        <v>4039</v>
      </c>
      <c r="B3210" s="2" t="s">
        <v>4034</v>
      </c>
      <c r="C3210" s="6" t="s">
        <v>4035</v>
      </c>
      <c r="D3210" s="1">
        <v>45637</v>
      </c>
      <c r="E3210" s="4">
        <v>463.62</v>
      </c>
      <c r="F3210" s="3">
        <v>1</v>
      </c>
      <c r="G3210" s="6" t="s">
        <v>38</v>
      </c>
    </row>
    <row r="3211" spans="1:7" x14ac:dyDescent="0.3">
      <c r="A3211" s="2" t="s">
        <v>4040</v>
      </c>
      <c r="B3211" s="2" t="s">
        <v>4034</v>
      </c>
      <c r="C3211" s="6" t="s">
        <v>4035</v>
      </c>
      <c r="D3211" s="1">
        <v>45640</v>
      </c>
      <c r="E3211" s="4">
        <v>76.56</v>
      </c>
      <c r="F3211" s="3">
        <v>2</v>
      </c>
      <c r="G3211" s="6" t="s">
        <v>38</v>
      </c>
    </row>
    <row r="3212" spans="1:7" x14ac:dyDescent="0.3">
      <c r="A3212" s="2" t="s">
        <v>4041</v>
      </c>
      <c r="B3212" s="2" t="s">
        <v>4034</v>
      </c>
      <c r="C3212" s="6" t="s">
        <v>4035</v>
      </c>
      <c r="D3212" s="1">
        <v>45650</v>
      </c>
      <c r="E3212" s="4">
        <v>108</v>
      </c>
      <c r="F3212" s="3">
        <v>2</v>
      </c>
      <c r="G3212" s="6" t="s">
        <v>15</v>
      </c>
    </row>
    <row r="3213" spans="1:7" x14ac:dyDescent="0.3">
      <c r="A3213" s="2" t="s">
        <v>4042</v>
      </c>
      <c r="B3213" s="2" t="s">
        <v>4034</v>
      </c>
      <c r="C3213" s="6" t="s">
        <v>4035</v>
      </c>
      <c r="D3213" s="1">
        <v>45655</v>
      </c>
      <c r="E3213" s="4">
        <v>159.62</v>
      </c>
      <c r="F3213" s="3">
        <v>2</v>
      </c>
      <c r="G3213" s="6" t="s">
        <v>38</v>
      </c>
    </row>
    <row r="3214" spans="1:7" x14ac:dyDescent="0.3">
      <c r="A3214" s="2" t="s">
        <v>4043</v>
      </c>
      <c r="B3214" s="2" t="s">
        <v>4034</v>
      </c>
      <c r="C3214" s="6" t="s">
        <v>4035</v>
      </c>
      <c r="D3214" s="1">
        <v>45584</v>
      </c>
      <c r="E3214" s="4">
        <v>316.35000000000002</v>
      </c>
      <c r="F3214" s="3">
        <v>2</v>
      </c>
      <c r="G3214" s="6" t="s">
        <v>15</v>
      </c>
    </row>
    <row r="3215" spans="1:7" x14ac:dyDescent="0.3">
      <c r="A3215" s="2" t="s">
        <v>4044</v>
      </c>
      <c r="B3215" s="2" t="s">
        <v>4034</v>
      </c>
      <c r="C3215" s="6" t="s">
        <v>4035</v>
      </c>
      <c r="D3215" s="1">
        <v>45620</v>
      </c>
      <c r="E3215" s="4">
        <v>137.18</v>
      </c>
      <c r="F3215" s="3">
        <v>2</v>
      </c>
      <c r="G3215" s="6" t="s">
        <v>18</v>
      </c>
    </row>
    <row r="3216" spans="1:7" x14ac:dyDescent="0.3">
      <c r="A3216" s="2" t="s">
        <v>4045</v>
      </c>
      <c r="B3216" s="2" t="s">
        <v>4034</v>
      </c>
      <c r="C3216" s="6" t="s">
        <v>4035</v>
      </c>
      <c r="D3216" s="1">
        <v>45649</v>
      </c>
      <c r="E3216" s="4">
        <v>50.77</v>
      </c>
      <c r="F3216" s="3">
        <v>1</v>
      </c>
      <c r="G3216" s="6" t="s">
        <v>26</v>
      </c>
    </row>
    <row r="3217" spans="1:7" x14ac:dyDescent="0.3">
      <c r="A3217" s="2" t="s">
        <v>4046</v>
      </c>
      <c r="B3217" s="2" t="s">
        <v>4034</v>
      </c>
      <c r="C3217" s="6" t="s">
        <v>4035</v>
      </c>
      <c r="D3217" s="1">
        <v>45648</v>
      </c>
      <c r="E3217" s="4">
        <v>302.05</v>
      </c>
      <c r="F3217" s="3">
        <v>2</v>
      </c>
      <c r="G3217" s="6" t="s">
        <v>12</v>
      </c>
    </row>
    <row r="3218" spans="1:7" x14ac:dyDescent="0.3">
      <c r="A3218" s="2" t="s">
        <v>4047</v>
      </c>
      <c r="B3218" s="2" t="s">
        <v>4048</v>
      </c>
      <c r="C3218" s="6" t="s">
        <v>4049</v>
      </c>
      <c r="D3218" s="1">
        <v>45478</v>
      </c>
      <c r="E3218" s="4">
        <v>321.82</v>
      </c>
      <c r="F3218" s="3">
        <v>1</v>
      </c>
      <c r="G3218" s="6" t="s">
        <v>26</v>
      </c>
    </row>
    <row r="3219" spans="1:7" x14ac:dyDescent="0.3">
      <c r="A3219" s="2" t="s">
        <v>4050</v>
      </c>
      <c r="B3219" s="2" t="s">
        <v>4048</v>
      </c>
      <c r="C3219" s="6" t="s">
        <v>4049</v>
      </c>
      <c r="D3219" s="1">
        <v>45645</v>
      </c>
      <c r="E3219" s="4">
        <v>107.22</v>
      </c>
      <c r="F3219" s="3">
        <v>1</v>
      </c>
      <c r="G3219" s="6" t="s">
        <v>12</v>
      </c>
    </row>
    <row r="3220" spans="1:7" x14ac:dyDescent="0.3">
      <c r="A3220" s="2" t="s">
        <v>4051</v>
      </c>
      <c r="B3220" s="2" t="s">
        <v>4048</v>
      </c>
      <c r="C3220" s="6" t="s">
        <v>4049</v>
      </c>
      <c r="D3220" s="1">
        <v>45515</v>
      </c>
      <c r="E3220" s="4">
        <v>442.26</v>
      </c>
      <c r="F3220" s="3">
        <v>4</v>
      </c>
      <c r="G3220" s="6" t="s">
        <v>26</v>
      </c>
    </row>
    <row r="3221" spans="1:7" x14ac:dyDescent="0.3">
      <c r="A3221" s="2" t="s">
        <v>4052</v>
      </c>
      <c r="B3221" s="2" t="s">
        <v>4048</v>
      </c>
      <c r="C3221" s="6" t="s">
        <v>4049</v>
      </c>
      <c r="D3221" s="1">
        <v>45415</v>
      </c>
      <c r="E3221" s="4">
        <v>188.55</v>
      </c>
      <c r="F3221" s="3">
        <v>4</v>
      </c>
      <c r="G3221" s="6" t="s">
        <v>26</v>
      </c>
    </row>
    <row r="3222" spans="1:7" x14ac:dyDescent="0.3">
      <c r="A3222" s="2" t="s">
        <v>4053</v>
      </c>
      <c r="B3222" s="2" t="s">
        <v>4054</v>
      </c>
      <c r="C3222" s="6" t="s">
        <v>4055</v>
      </c>
      <c r="D3222" s="1">
        <v>45552</v>
      </c>
      <c r="E3222" s="4">
        <v>89.66</v>
      </c>
      <c r="F3222" s="3">
        <v>2</v>
      </c>
      <c r="G3222" s="6" t="s">
        <v>26</v>
      </c>
    </row>
    <row r="3223" spans="1:7" x14ac:dyDescent="0.3">
      <c r="A3223" s="2" t="s">
        <v>4056</v>
      </c>
      <c r="B3223" s="2" t="s">
        <v>4054</v>
      </c>
      <c r="C3223" s="6" t="s">
        <v>4055</v>
      </c>
      <c r="D3223" s="1">
        <v>45641</v>
      </c>
      <c r="E3223" s="4">
        <v>34.51</v>
      </c>
      <c r="F3223" s="3">
        <v>1</v>
      </c>
      <c r="G3223" s="6" t="s">
        <v>10</v>
      </c>
    </row>
    <row r="3224" spans="1:7" x14ac:dyDescent="0.3">
      <c r="A3224" s="2" t="s">
        <v>4057</v>
      </c>
      <c r="B3224" s="2" t="s">
        <v>4054</v>
      </c>
      <c r="C3224" s="6" t="s">
        <v>4055</v>
      </c>
      <c r="D3224" s="1">
        <v>45610</v>
      </c>
      <c r="E3224" s="4">
        <v>67.989999999999995</v>
      </c>
      <c r="F3224" s="3">
        <v>3</v>
      </c>
      <c r="G3224" s="6" t="s">
        <v>12</v>
      </c>
    </row>
    <row r="3225" spans="1:7" x14ac:dyDescent="0.3">
      <c r="A3225" s="2" t="s">
        <v>4058</v>
      </c>
      <c r="B3225" s="2" t="s">
        <v>4054</v>
      </c>
      <c r="C3225" s="6" t="s">
        <v>4055</v>
      </c>
      <c r="D3225" s="1">
        <v>45630</v>
      </c>
      <c r="E3225" s="4">
        <v>358.02</v>
      </c>
      <c r="F3225" s="3">
        <v>4</v>
      </c>
      <c r="G3225" s="6" t="s">
        <v>15</v>
      </c>
    </row>
    <row r="3226" spans="1:7" x14ac:dyDescent="0.3">
      <c r="A3226" s="2" t="s">
        <v>4059</v>
      </c>
      <c r="B3226" s="2" t="s">
        <v>4054</v>
      </c>
      <c r="C3226" s="6" t="s">
        <v>4055</v>
      </c>
      <c r="D3226" s="1">
        <v>45589</v>
      </c>
      <c r="E3226" s="4">
        <v>409.45</v>
      </c>
      <c r="F3226" s="3">
        <v>4</v>
      </c>
      <c r="G3226" s="6" t="s">
        <v>38</v>
      </c>
    </row>
    <row r="3227" spans="1:7" x14ac:dyDescent="0.3">
      <c r="A3227" s="2" t="s">
        <v>4060</v>
      </c>
      <c r="B3227" s="2" t="s">
        <v>4054</v>
      </c>
      <c r="C3227" s="6" t="s">
        <v>4055</v>
      </c>
      <c r="D3227" s="1">
        <v>45595</v>
      </c>
      <c r="E3227" s="4">
        <v>452.95</v>
      </c>
      <c r="F3227" s="3">
        <v>1</v>
      </c>
      <c r="G3227" s="6" t="s">
        <v>26</v>
      </c>
    </row>
    <row r="3228" spans="1:7" x14ac:dyDescent="0.3">
      <c r="A3228" s="2" t="s">
        <v>4061</v>
      </c>
      <c r="B3228" s="2" t="s">
        <v>4054</v>
      </c>
      <c r="C3228" s="6" t="s">
        <v>4055</v>
      </c>
      <c r="D3228" s="1">
        <v>45595</v>
      </c>
      <c r="E3228" s="4">
        <v>420.87</v>
      </c>
      <c r="F3228" s="3">
        <v>1</v>
      </c>
      <c r="G3228" s="6" t="s">
        <v>18</v>
      </c>
    </row>
    <row r="3229" spans="1:7" x14ac:dyDescent="0.3">
      <c r="A3229" s="2" t="s">
        <v>4062</v>
      </c>
      <c r="B3229" s="2" t="s">
        <v>4054</v>
      </c>
      <c r="C3229" s="6" t="s">
        <v>4055</v>
      </c>
      <c r="D3229" s="1">
        <v>45654</v>
      </c>
      <c r="E3229" s="4">
        <v>284.66000000000003</v>
      </c>
      <c r="F3229" s="3">
        <v>3</v>
      </c>
      <c r="G3229" s="6" t="s">
        <v>10</v>
      </c>
    </row>
    <row r="3230" spans="1:7" x14ac:dyDescent="0.3">
      <c r="A3230" s="2" t="s">
        <v>4063</v>
      </c>
      <c r="B3230" s="2" t="s">
        <v>4054</v>
      </c>
      <c r="C3230" s="6" t="s">
        <v>4055</v>
      </c>
      <c r="D3230" s="1">
        <v>45625</v>
      </c>
      <c r="E3230" s="4">
        <v>189.58</v>
      </c>
      <c r="F3230" s="3">
        <v>2</v>
      </c>
      <c r="G3230" s="6" t="s">
        <v>38</v>
      </c>
    </row>
    <row r="3231" spans="1:7" x14ac:dyDescent="0.3">
      <c r="A3231" s="2" t="s">
        <v>4064</v>
      </c>
      <c r="B3231" s="2" t="s">
        <v>4054</v>
      </c>
      <c r="C3231" s="6" t="s">
        <v>4055</v>
      </c>
      <c r="D3231" s="1">
        <v>45650</v>
      </c>
      <c r="E3231" s="4">
        <v>366.91</v>
      </c>
      <c r="F3231" s="3">
        <v>2</v>
      </c>
      <c r="G3231" s="6" t="s">
        <v>10</v>
      </c>
    </row>
    <row r="3232" spans="1:7" x14ac:dyDescent="0.3">
      <c r="A3232" s="2" t="s">
        <v>4065</v>
      </c>
      <c r="B3232" s="2" t="s">
        <v>4054</v>
      </c>
      <c r="C3232" s="6" t="s">
        <v>4055</v>
      </c>
      <c r="D3232" s="1">
        <v>45561</v>
      </c>
      <c r="E3232" s="4">
        <v>106.77</v>
      </c>
      <c r="F3232" s="3">
        <v>1</v>
      </c>
      <c r="G3232" s="6" t="s">
        <v>10</v>
      </c>
    </row>
    <row r="3233" spans="1:7" x14ac:dyDescent="0.3">
      <c r="A3233" s="2" t="s">
        <v>4066</v>
      </c>
      <c r="B3233" s="2" t="s">
        <v>4054</v>
      </c>
      <c r="C3233" s="6" t="s">
        <v>4055</v>
      </c>
      <c r="D3233" s="1">
        <v>45564</v>
      </c>
      <c r="E3233" s="4">
        <v>386.54</v>
      </c>
      <c r="F3233" s="3">
        <v>2</v>
      </c>
      <c r="G3233" s="6" t="s">
        <v>26</v>
      </c>
    </row>
    <row r="3234" spans="1:7" x14ac:dyDescent="0.3">
      <c r="A3234" s="2" t="s">
        <v>4067</v>
      </c>
      <c r="B3234" s="2" t="s">
        <v>4054</v>
      </c>
      <c r="C3234" s="6" t="s">
        <v>4055</v>
      </c>
      <c r="D3234" s="1">
        <v>45581</v>
      </c>
      <c r="E3234" s="4">
        <v>139.05000000000001</v>
      </c>
      <c r="F3234" s="3">
        <v>2</v>
      </c>
      <c r="G3234" s="6" t="s">
        <v>18</v>
      </c>
    </row>
    <row r="3235" spans="1:7" x14ac:dyDescent="0.3">
      <c r="A3235" s="2" t="s">
        <v>4068</v>
      </c>
      <c r="B3235" s="2" t="s">
        <v>4054</v>
      </c>
      <c r="C3235" s="6" t="s">
        <v>4055</v>
      </c>
      <c r="D3235" s="1">
        <v>45549</v>
      </c>
      <c r="E3235" s="4">
        <v>215</v>
      </c>
      <c r="F3235" s="3">
        <v>1</v>
      </c>
      <c r="G3235" s="6" t="s">
        <v>12</v>
      </c>
    </row>
    <row r="3236" spans="1:7" x14ac:dyDescent="0.3">
      <c r="A3236" s="2" t="s">
        <v>4069</v>
      </c>
      <c r="B3236" s="2" t="s">
        <v>4054</v>
      </c>
      <c r="C3236" s="6" t="s">
        <v>4055</v>
      </c>
      <c r="D3236" s="1">
        <v>45612</v>
      </c>
      <c r="E3236" s="4">
        <v>281.86</v>
      </c>
      <c r="F3236" s="3">
        <v>4</v>
      </c>
      <c r="G3236" s="6" t="s">
        <v>38</v>
      </c>
    </row>
    <row r="3237" spans="1:7" x14ac:dyDescent="0.3">
      <c r="A3237" s="2" t="s">
        <v>4070</v>
      </c>
      <c r="B3237" s="2" t="s">
        <v>4071</v>
      </c>
      <c r="C3237" s="6" t="s">
        <v>4072</v>
      </c>
      <c r="D3237" s="1">
        <v>45652</v>
      </c>
      <c r="E3237" s="4">
        <v>482.55</v>
      </c>
      <c r="F3237" s="3">
        <v>4</v>
      </c>
      <c r="G3237" s="6" t="s">
        <v>12</v>
      </c>
    </row>
    <row r="3238" spans="1:7" x14ac:dyDescent="0.3">
      <c r="A3238" s="2" t="s">
        <v>4073</v>
      </c>
      <c r="B3238" s="2" t="s">
        <v>4071</v>
      </c>
      <c r="C3238" s="6" t="s">
        <v>4072</v>
      </c>
      <c r="D3238" s="1">
        <v>45556</v>
      </c>
      <c r="E3238" s="4">
        <v>403.9</v>
      </c>
      <c r="F3238" s="3">
        <v>4</v>
      </c>
      <c r="G3238" s="6" t="s">
        <v>10</v>
      </c>
    </row>
    <row r="3239" spans="1:7" x14ac:dyDescent="0.3">
      <c r="A3239" s="2" t="s">
        <v>4074</v>
      </c>
      <c r="B3239" s="2" t="s">
        <v>4075</v>
      </c>
      <c r="C3239" s="6" t="s">
        <v>4076</v>
      </c>
      <c r="D3239" s="1">
        <v>45500</v>
      </c>
      <c r="E3239" s="4">
        <v>376.66</v>
      </c>
      <c r="F3239" s="3">
        <v>4</v>
      </c>
      <c r="G3239" s="6" t="s">
        <v>15</v>
      </c>
    </row>
    <row r="3240" spans="1:7" x14ac:dyDescent="0.3">
      <c r="A3240" s="2" t="s">
        <v>4077</v>
      </c>
      <c r="B3240" s="2" t="s">
        <v>4075</v>
      </c>
      <c r="C3240" s="6" t="s">
        <v>4076</v>
      </c>
      <c r="D3240" s="1">
        <v>45293</v>
      </c>
      <c r="E3240" s="4">
        <v>361.7</v>
      </c>
      <c r="F3240" s="3">
        <v>2</v>
      </c>
      <c r="G3240" s="6" t="s">
        <v>38</v>
      </c>
    </row>
    <row r="3241" spans="1:7" x14ac:dyDescent="0.3">
      <c r="A3241" s="2" t="s">
        <v>4078</v>
      </c>
      <c r="B3241" s="2" t="s">
        <v>4075</v>
      </c>
      <c r="C3241" s="6" t="s">
        <v>4076</v>
      </c>
      <c r="D3241" s="1">
        <v>45244</v>
      </c>
      <c r="E3241" s="4">
        <v>432.48</v>
      </c>
      <c r="F3241" s="3">
        <v>4</v>
      </c>
      <c r="G3241" s="6" t="s">
        <v>10</v>
      </c>
    </row>
    <row r="3242" spans="1:7" x14ac:dyDescent="0.3">
      <c r="A3242" s="2" t="s">
        <v>4079</v>
      </c>
      <c r="B3242" s="2" t="s">
        <v>4075</v>
      </c>
      <c r="C3242" s="6" t="s">
        <v>4076</v>
      </c>
      <c r="D3242" s="1">
        <v>45225</v>
      </c>
      <c r="E3242" s="4">
        <v>192.77</v>
      </c>
      <c r="F3242" s="3">
        <v>4</v>
      </c>
      <c r="G3242" s="6" t="s">
        <v>12</v>
      </c>
    </row>
    <row r="3243" spans="1:7" x14ac:dyDescent="0.3">
      <c r="A3243" s="2" t="s">
        <v>4080</v>
      </c>
      <c r="B3243" s="2" t="s">
        <v>4075</v>
      </c>
      <c r="C3243" s="6" t="s">
        <v>4076</v>
      </c>
      <c r="D3243" s="1">
        <v>45461</v>
      </c>
      <c r="E3243" s="4">
        <v>465.67</v>
      </c>
      <c r="F3243" s="3">
        <v>3</v>
      </c>
      <c r="G3243" s="6" t="s">
        <v>18</v>
      </c>
    </row>
    <row r="3244" spans="1:7" x14ac:dyDescent="0.3">
      <c r="A3244" s="2" t="s">
        <v>4081</v>
      </c>
      <c r="B3244" s="2" t="s">
        <v>4075</v>
      </c>
      <c r="C3244" s="6" t="s">
        <v>4076</v>
      </c>
      <c r="D3244" s="1">
        <v>45466</v>
      </c>
      <c r="E3244" s="4">
        <v>456.03</v>
      </c>
      <c r="F3244" s="3">
        <v>4</v>
      </c>
      <c r="G3244" s="6" t="s">
        <v>15</v>
      </c>
    </row>
    <row r="3245" spans="1:7" x14ac:dyDescent="0.3">
      <c r="A3245" s="2" t="s">
        <v>4082</v>
      </c>
      <c r="B3245" s="2" t="s">
        <v>4075</v>
      </c>
      <c r="C3245" s="6" t="s">
        <v>4076</v>
      </c>
      <c r="D3245" s="1">
        <v>45534</v>
      </c>
      <c r="E3245" s="4">
        <v>24.91</v>
      </c>
      <c r="F3245" s="3">
        <v>4</v>
      </c>
      <c r="G3245" s="6" t="s">
        <v>38</v>
      </c>
    </row>
    <row r="3246" spans="1:7" x14ac:dyDescent="0.3">
      <c r="A3246" s="2" t="s">
        <v>4083</v>
      </c>
      <c r="B3246" s="2" t="s">
        <v>4075</v>
      </c>
      <c r="C3246" s="6" t="s">
        <v>4076</v>
      </c>
      <c r="D3246" s="1">
        <v>45382</v>
      </c>
      <c r="E3246" s="4">
        <v>379.57</v>
      </c>
      <c r="F3246" s="3">
        <v>1</v>
      </c>
      <c r="G3246" s="6" t="s">
        <v>18</v>
      </c>
    </row>
    <row r="3247" spans="1:7" x14ac:dyDescent="0.3">
      <c r="A3247" s="2" t="s">
        <v>4084</v>
      </c>
      <c r="B3247" s="2" t="s">
        <v>4075</v>
      </c>
      <c r="C3247" s="6" t="s">
        <v>4076</v>
      </c>
      <c r="D3247" s="1">
        <v>45402</v>
      </c>
      <c r="E3247" s="4">
        <v>469.85</v>
      </c>
      <c r="F3247" s="3">
        <v>4</v>
      </c>
      <c r="G3247" s="6" t="s">
        <v>18</v>
      </c>
    </row>
    <row r="3248" spans="1:7" x14ac:dyDescent="0.3">
      <c r="A3248" s="2" t="s">
        <v>4085</v>
      </c>
      <c r="B3248" s="2" t="s">
        <v>4075</v>
      </c>
      <c r="C3248" s="6" t="s">
        <v>4076</v>
      </c>
      <c r="D3248" s="1">
        <v>45489</v>
      </c>
      <c r="E3248" s="4">
        <v>189.9</v>
      </c>
      <c r="F3248" s="3">
        <v>4</v>
      </c>
      <c r="G3248" s="6" t="s">
        <v>26</v>
      </c>
    </row>
    <row r="3249" spans="1:7" x14ac:dyDescent="0.3">
      <c r="A3249" s="2" t="s">
        <v>4086</v>
      </c>
      <c r="B3249" s="2" t="s">
        <v>4075</v>
      </c>
      <c r="C3249" s="6" t="s">
        <v>4076</v>
      </c>
      <c r="D3249" s="1">
        <v>45376</v>
      </c>
      <c r="E3249" s="4">
        <v>276.18</v>
      </c>
      <c r="F3249" s="3">
        <v>4</v>
      </c>
      <c r="G3249" s="6" t="s">
        <v>38</v>
      </c>
    </row>
    <row r="3250" spans="1:7" x14ac:dyDescent="0.3">
      <c r="A3250" s="2" t="s">
        <v>4087</v>
      </c>
      <c r="B3250" s="2" t="s">
        <v>4075</v>
      </c>
      <c r="C3250" s="6" t="s">
        <v>4076</v>
      </c>
      <c r="D3250" s="1">
        <v>45569</v>
      </c>
      <c r="E3250" s="4">
        <v>310.89999999999998</v>
      </c>
      <c r="F3250" s="3">
        <v>3</v>
      </c>
      <c r="G3250" s="6" t="s">
        <v>26</v>
      </c>
    </row>
    <row r="3251" spans="1:7" x14ac:dyDescent="0.3">
      <c r="A3251" s="2" t="s">
        <v>4088</v>
      </c>
      <c r="B3251" s="2" t="s">
        <v>4075</v>
      </c>
      <c r="C3251" s="6" t="s">
        <v>4076</v>
      </c>
      <c r="D3251" s="1">
        <v>45443</v>
      </c>
      <c r="E3251" s="4">
        <v>293.68</v>
      </c>
      <c r="F3251" s="3">
        <v>3</v>
      </c>
      <c r="G3251" s="6" t="s">
        <v>26</v>
      </c>
    </row>
    <row r="3252" spans="1:7" x14ac:dyDescent="0.3">
      <c r="A3252" s="2" t="s">
        <v>4089</v>
      </c>
      <c r="B3252" s="2" t="s">
        <v>4075</v>
      </c>
      <c r="C3252" s="6" t="s">
        <v>4076</v>
      </c>
      <c r="D3252" s="1">
        <v>45217</v>
      </c>
      <c r="E3252" s="4">
        <v>419.26</v>
      </c>
      <c r="F3252" s="3">
        <v>4</v>
      </c>
      <c r="G3252" s="6" t="s">
        <v>15</v>
      </c>
    </row>
    <row r="3253" spans="1:7" x14ac:dyDescent="0.3">
      <c r="A3253" s="2" t="s">
        <v>4090</v>
      </c>
      <c r="B3253" s="2" t="s">
        <v>4091</v>
      </c>
      <c r="C3253" s="6" t="s">
        <v>4092</v>
      </c>
      <c r="D3253" s="1">
        <v>45569</v>
      </c>
      <c r="E3253" s="4">
        <v>121.45</v>
      </c>
      <c r="F3253" s="3">
        <v>3</v>
      </c>
      <c r="G3253" s="6" t="s">
        <v>15</v>
      </c>
    </row>
    <row r="3254" spans="1:7" x14ac:dyDescent="0.3">
      <c r="A3254" s="2" t="s">
        <v>4093</v>
      </c>
      <c r="B3254" s="2" t="s">
        <v>4094</v>
      </c>
      <c r="C3254" s="6" t="s">
        <v>4095</v>
      </c>
      <c r="D3254" s="1">
        <v>45382</v>
      </c>
      <c r="E3254" s="4">
        <v>241.67</v>
      </c>
      <c r="F3254" s="3">
        <v>4</v>
      </c>
      <c r="G3254" s="6" t="s">
        <v>10</v>
      </c>
    </row>
    <row r="3255" spans="1:7" x14ac:dyDescent="0.3">
      <c r="A3255" s="2" t="s">
        <v>4096</v>
      </c>
      <c r="B3255" s="2" t="s">
        <v>4094</v>
      </c>
      <c r="C3255" s="6" t="s">
        <v>4095</v>
      </c>
      <c r="D3255" s="1">
        <v>45203</v>
      </c>
      <c r="E3255" s="4">
        <v>413.75</v>
      </c>
      <c r="F3255" s="3">
        <v>1</v>
      </c>
      <c r="G3255" s="6" t="s">
        <v>18</v>
      </c>
    </row>
    <row r="3256" spans="1:7" x14ac:dyDescent="0.3">
      <c r="A3256" s="2" t="s">
        <v>4097</v>
      </c>
      <c r="B3256" s="2" t="s">
        <v>4094</v>
      </c>
      <c r="C3256" s="6" t="s">
        <v>4095</v>
      </c>
      <c r="D3256" s="1">
        <v>45560</v>
      </c>
      <c r="E3256" s="4">
        <v>36.409999999999997</v>
      </c>
      <c r="F3256" s="3">
        <v>1</v>
      </c>
      <c r="G3256" s="6" t="s">
        <v>15</v>
      </c>
    </row>
    <row r="3257" spans="1:7" x14ac:dyDescent="0.3">
      <c r="A3257" s="2" t="s">
        <v>4098</v>
      </c>
      <c r="B3257" s="2" t="s">
        <v>4094</v>
      </c>
      <c r="C3257" s="6" t="s">
        <v>4095</v>
      </c>
      <c r="D3257" s="1">
        <v>45568</v>
      </c>
      <c r="E3257" s="4">
        <v>134.22</v>
      </c>
      <c r="F3257" s="3">
        <v>4</v>
      </c>
      <c r="G3257" s="6" t="s">
        <v>10</v>
      </c>
    </row>
    <row r="3258" spans="1:7" x14ac:dyDescent="0.3">
      <c r="A3258" s="2" t="s">
        <v>4099</v>
      </c>
      <c r="B3258" s="2" t="s">
        <v>4094</v>
      </c>
      <c r="C3258" s="6" t="s">
        <v>4095</v>
      </c>
      <c r="D3258" s="1">
        <v>45346</v>
      </c>
      <c r="E3258" s="4">
        <v>457.7</v>
      </c>
      <c r="F3258" s="3">
        <v>2</v>
      </c>
      <c r="G3258" s="6" t="s">
        <v>26</v>
      </c>
    </row>
    <row r="3259" spans="1:7" x14ac:dyDescent="0.3">
      <c r="A3259" s="2" t="s">
        <v>4100</v>
      </c>
      <c r="B3259" s="2" t="s">
        <v>4094</v>
      </c>
      <c r="C3259" s="6" t="s">
        <v>4095</v>
      </c>
      <c r="D3259" s="1">
        <v>45413</v>
      </c>
      <c r="E3259" s="4">
        <v>261.08999999999997</v>
      </c>
      <c r="F3259" s="3">
        <v>3</v>
      </c>
      <c r="G3259" s="6" t="s">
        <v>26</v>
      </c>
    </row>
    <row r="3260" spans="1:7" x14ac:dyDescent="0.3">
      <c r="A3260" s="2" t="s">
        <v>4101</v>
      </c>
      <c r="B3260" s="2" t="s">
        <v>4094</v>
      </c>
      <c r="C3260" s="6" t="s">
        <v>4095</v>
      </c>
      <c r="D3260" s="1">
        <v>45211</v>
      </c>
      <c r="E3260" s="4">
        <v>183.26</v>
      </c>
      <c r="F3260" s="3">
        <v>4</v>
      </c>
      <c r="G3260" s="6" t="s">
        <v>26</v>
      </c>
    </row>
    <row r="3261" spans="1:7" x14ac:dyDescent="0.3">
      <c r="A3261" s="2" t="s">
        <v>4102</v>
      </c>
      <c r="B3261" s="2" t="s">
        <v>4103</v>
      </c>
      <c r="C3261" s="6" t="s">
        <v>4104</v>
      </c>
      <c r="D3261" s="1">
        <v>45242</v>
      </c>
      <c r="E3261" s="4">
        <v>380.79</v>
      </c>
      <c r="F3261" s="3">
        <v>1</v>
      </c>
      <c r="G3261" s="6" t="s">
        <v>10</v>
      </c>
    </row>
    <row r="3262" spans="1:7" x14ac:dyDescent="0.3">
      <c r="A3262" s="2" t="s">
        <v>4105</v>
      </c>
      <c r="B3262" s="2" t="s">
        <v>4103</v>
      </c>
      <c r="C3262" s="6" t="s">
        <v>4104</v>
      </c>
      <c r="D3262" s="1">
        <v>45348</v>
      </c>
      <c r="E3262" s="4">
        <v>489.06</v>
      </c>
      <c r="F3262" s="3">
        <v>1</v>
      </c>
      <c r="G3262" s="6" t="s">
        <v>26</v>
      </c>
    </row>
    <row r="3263" spans="1:7" x14ac:dyDescent="0.3">
      <c r="A3263" s="2" t="s">
        <v>4106</v>
      </c>
      <c r="B3263" s="2" t="s">
        <v>4103</v>
      </c>
      <c r="C3263" s="6" t="s">
        <v>4104</v>
      </c>
      <c r="D3263" s="1">
        <v>45106</v>
      </c>
      <c r="E3263" s="4">
        <v>10.09</v>
      </c>
      <c r="F3263" s="3">
        <v>4</v>
      </c>
      <c r="G3263" s="6" t="s">
        <v>15</v>
      </c>
    </row>
    <row r="3264" spans="1:7" x14ac:dyDescent="0.3">
      <c r="A3264" s="2" t="s">
        <v>4107</v>
      </c>
      <c r="B3264" s="2" t="s">
        <v>4103</v>
      </c>
      <c r="C3264" s="6" t="s">
        <v>4104</v>
      </c>
      <c r="D3264" s="1">
        <v>45533</v>
      </c>
      <c r="E3264" s="4">
        <v>303.86</v>
      </c>
      <c r="F3264" s="3">
        <v>1</v>
      </c>
      <c r="G3264" s="6" t="s">
        <v>26</v>
      </c>
    </row>
    <row r="3265" spans="1:7" x14ac:dyDescent="0.3">
      <c r="A3265" s="2" t="s">
        <v>4108</v>
      </c>
      <c r="B3265" s="2" t="s">
        <v>4103</v>
      </c>
      <c r="C3265" s="6" t="s">
        <v>4104</v>
      </c>
      <c r="D3265" s="1">
        <v>45115</v>
      </c>
      <c r="E3265" s="4">
        <v>288.24</v>
      </c>
      <c r="F3265" s="3">
        <v>2</v>
      </c>
      <c r="G3265" s="6" t="s">
        <v>12</v>
      </c>
    </row>
    <row r="3266" spans="1:7" x14ac:dyDescent="0.3">
      <c r="A3266" s="2" t="s">
        <v>4109</v>
      </c>
      <c r="B3266" s="2" t="s">
        <v>4103</v>
      </c>
      <c r="C3266" s="6" t="s">
        <v>4104</v>
      </c>
      <c r="D3266" s="1">
        <v>45055</v>
      </c>
      <c r="E3266" s="4">
        <v>39.61</v>
      </c>
      <c r="F3266" s="3">
        <v>3</v>
      </c>
      <c r="G3266" s="6" t="s">
        <v>10</v>
      </c>
    </row>
    <row r="3267" spans="1:7" x14ac:dyDescent="0.3">
      <c r="A3267" s="2" t="s">
        <v>4110</v>
      </c>
      <c r="B3267" s="2" t="s">
        <v>4103</v>
      </c>
      <c r="C3267" s="6" t="s">
        <v>4104</v>
      </c>
      <c r="D3267" s="1">
        <v>45394</v>
      </c>
      <c r="E3267" s="4">
        <v>247.82</v>
      </c>
      <c r="F3267" s="3">
        <v>2</v>
      </c>
      <c r="G3267" s="6" t="s">
        <v>10</v>
      </c>
    </row>
    <row r="3268" spans="1:7" x14ac:dyDescent="0.3">
      <c r="A3268" s="2" t="s">
        <v>4111</v>
      </c>
      <c r="B3268" s="2" t="s">
        <v>4103</v>
      </c>
      <c r="C3268" s="6" t="s">
        <v>4104</v>
      </c>
      <c r="D3268" s="1">
        <v>45511</v>
      </c>
      <c r="E3268" s="4">
        <v>70.88</v>
      </c>
      <c r="F3268" s="3">
        <v>3</v>
      </c>
      <c r="G3268" s="6" t="s">
        <v>15</v>
      </c>
    </row>
    <row r="3269" spans="1:7" x14ac:dyDescent="0.3">
      <c r="A3269" s="2" t="s">
        <v>4112</v>
      </c>
      <c r="B3269" s="2" t="s">
        <v>4113</v>
      </c>
      <c r="C3269" s="6" t="s">
        <v>4114</v>
      </c>
      <c r="D3269" s="1">
        <v>45080</v>
      </c>
      <c r="E3269" s="4">
        <v>308.02</v>
      </c>
      <c r="F3269" s="3">
        <v>4</v>
      </c>
      <c r="G3269" s="6" t="s">
        <v>12</v>
      </c>
    </row>
    <row r="3270" spans="1:7" x14ac:dyDescent="0.3">
      <c r="A3270" s="2" t="s">
        <v>4115</v>
      </c>
      <c r="B3270" s="2" t="s">
        <v>4113</v>
      </c>
      <c r="C3270" s="6" t="s">
        <v>4114</v>
      </c>
      <c r="D3270" s="1">
        <v>45620</v>
      </c>
      <c r="E3270" s="4">
        <v>153.76</v>
      </c>
      <c r="F3270" s="3">
        <v>3</v>
      </c>
      <c r="G3270" s="6" t="s">
        <v>18</v>
      </c>
    </row>
    <row r="3271" spans="1:7" x14ac:dyDescent="0.3">
      <c r="A3271" s="2" t="s">
        <v>4116</v>
      </c>
      <c r="B3271" s="2" t="s">
        <v>4113</v>
      </c>
      <c r="C3271" s="6" t="s">
        <v>4114</v>
      </c>
      <c r="D3271" s="1">
        <v>45054</v>
      </c>
      <c r="E3271" s="4">
        <v>295.88</v>
      </c>
      <c r="F3271" s="3">
        <v>2</v>
      </c>
      <c r="G3271" s="6" t="s">
        <v>38</v>
      </c>
    </row>
    <row r="3272" spans="1:7" x14ac:dyDescent="0.3">
      <c r="A3272" s="2" t="s">
        <v>4117</v>
      </c>
      <c r="B3272" s="2" t="s">
        <v>4113</v>
      </c>
      <c r="C3272" s="6" t="s">
        <v>4114</v>
      </c>
      <c r="D3272" s="1">
        <v>45300</v>
      </c>
      <c r="E3272" s="4">
        <v>411.18</v>
      </c>
      <c r="F3272" s="3">
        <v>1</v>
      </c>
      <c r="G3272" s="6" t="s">
        <v>15</v>
      </c>
    </row>
    <row r="3273" spans="1:7" x14ac:dyDescent="0.3">
      <c r="A3273" s="2" t="s">
        <v>4118</v>
      </c>
      <c r="B3273" s="2" t="s">
        <v>4113</v>
      </c>
      <c r="C3273" s="6" t="s">
        <v>4114</v>
      </c>
      <c r="D3273" s="1">
        <v>44947</v>
      </c>
      <c r="E3273" s="4">
        <v>449.78</v>
      </c>
      <c r="F3273" s="3">
        <v>1</v>
      </c>
      <c r="G3273" s="6" t="s">
        <v>26</v>
      </c>
    </row>
    <row r="3274" spans="1:7" x14ac:dyDescent="0.3">
      <c r="A3274" s="2" t="s">
        <v>4119</v>
      </c>
      <c r="B3274" s="2" t="s">
        <v>4113</v>
      </c>
      <c r="C3274" s="6" t="s">
        <v>4114</v>
      </c>
      <c r="D3274" s="1">
        <v>45418</v>
      </c>
      <c r="E3274" s="4">
        <v>132.62</v>
      </c>
      <c r="F3274" s="3">
        <v>2</v>
      </c>
      <c r="G3274" s="6" t="s">
        <v>15</v>
      </c>
    </row>
    <row r="3275" spans="1:7" x14ac:dyDescent="0.3">
      <c r="A3275" s="2" t="s">
        <v>4120</v>
      </c>
      <c r="B3275" s="2" t="s">
        <v>4113</v>
      </c>
      <c r="C3275" s="6" t="s">
        <v>4114</v>
      </c>
      <c r="D3275" s="1">
        <v>44970</v>
      </c>
      <c r="E3275" s="4">
        <v>458.08</v>
      </c>
      <c r="F3275" s="3">
        <v>3</v>
      </c>
      <c r="G3275" s="6" t="s">
        <v>12</v>
      </c>
    </row>
    <row r="3276" spans="1:7" x14ac:dyDescent="0.3">
      <c r="A3276" s="2" t="s">
        <v>4121</v>
      </c>
      <c r="B3276" s="2" t="s">
        <v>4113</v>
      </c>
      <c r="C3276" s="6" t="s">
        <v>4114</v>
      </c>
      <c r="D3276" s="1">
        <v>45528</v>
      </c>
      <c r="E3276" s="4">
        <v>434.19</v>
      </c>
      <c r="F3276" s="3">
        <v>2</v>
      </c>
      <c r="G3276" s="6" t="s">
        <v>38</v>
      </c>
    </row>
    <row r="3277" spans="1:7" x14ac:dyDescent="0.3">
      <c r="A3277" s="2" t="s">
        <v>4122</v>
      </c>
      <c r="B3277" s="2" t="s">
        <v>4113</v>
      </c>
      <c r="C3277" s="6" t="s">
        <v>4114</v>
      </c>
      <c r="D3277" s="1">
        <v>45016</v>
      </c>
      <c r="E3277" s="4">
        <v>383.84</v>
      </c>
      <c r="F3277" s="3">
        <v>3</v>
      </c>
      <c r="G3277" s="6" t="s">
        <v>38</v>
      </c>
    </row>
    <row r="3278" spans="1:7" x14ac:dyDescent="0.3">
      <c r="A3278" s="2" t="s">
        <v>4123</v>
      </c>
      <c r="B3278" s="2" t="s">
        <v>4113</v>
      </c>
      <c r="C3278" s="6" t="s">
        <v>4114</v>
      </c>
      <c r="D3278" s="1">
        <v>44955</v>
      </c>
      <c r="E3278" s="4">
        <v>367.23</v>
      </c>
      <c r="F3278" s="3">
        <v>3</v>
      </c>
      <c r="G3278" s="6" t="s">
        <v>18</v>
      </c>
    </row>
    <row r="3279" spans="1:7" x14ac:dyDescent="0.3">
      <c r="A3279" s="2" t="s">
        <v>4124</v>
      </c>
      <c r="B3279" s="2" t="s">
        <v>4113</v>
      </c>
      <c r="C3279" s="6" t="s">
        <v>4114</v>
      </c>
      <c r="D3279" s="1">
        <v>45200</v>
      </c>
      <c r="E3279" s="4">
        <v>316.05</v>
      </c>
      <c r="F3279" s="3">
        <v>4</v>
      </c>
      <c r="G3279" s="6" t="s">
        <v>18</v>
      </c>
    </row>
    <row r="3280" spans="1:7" x14ac:dyDescent="0.3">
      <c r="A3280" s="2" t="s">
        <v>4125</v>
      </c>
      <c r="B3280" s="2" t="s">
        <v>4113</v>
      </c>
      <c r="C3280" s="6" t="s">
        <v>4114</v>
      </c>
      <c r="D3280" s="1">
        <v>44971</v>
      </c>
      <c r="E3280" s="4">
        <v>220.37</v>
      </c>
      <c r="F3280" s="3">
        <v>2</v>
      </c>
      <c r="G3280" s="6" t="s">
        <v>18</v>
      </c>
    </row>
    <row r="3281" spans="1:7" x14ac:dyDescent="0.3">
      <c r="A3281" s="2" t="s">
        <v>4126</v>
      </c>
      <c r="B3281" s="2" t="s">
        <v>4127</v>
      </c>
      <c r="C3281" s="6" t="s">
        <v>4128</v>
      </c>
      <c r="D3281" s="1">
        <v>45353</v>
      </c>
      <c r="E3281" s="4">
        <v>468.81</v>
      </c>
      <c r="F3281" s="3">
        <v>4</v>
      </c>
      <c r="G3281" s="6" t="s">
        <v>15</v>
      </c>
    </row>
    <row r="3282" spans="1:7" x14ac:dyDescent="0.3">
      <c r="A3282" s="2" t="s">
        <v>4129</v>
      </c>
      <c r="B3282" s="2" t="s">
        <v>4127</v>
      </c>
      <c r="C3282" s="6" t="s">
        <v>4128</v>
      </c>
      <c r="D3282" s="1">
        <v>45592</v>
      </c>
      <c r="E3282" s="4">
        <v>370.68</v>
      </c>
      <c r="F3282" s="3">
        <v>1</v>
      </c>
      <c r="G3282" s="6" t="s">
        <v>38</v>
      </c>
    </row>
    <row r="3283" spans="1:7" x14ac:dyDescent="0.3">
      <c r="A3283" s="2" t="s">
        <v>4130</v>
      </c>
      <c r="B3283" s="2" t="s">
        <v>4127</v>
      </c>
      <c r="C3283" s="6" t="s">
        <v>4128</v>
      </c>
      <c r="D3283" s="1">
        <v>45304</v>
      </c>
      <c r="E3283" s="4">
        <v>293.89999999999998</v>
      </c>
      <c r="F3283" s="3">
        <v>4</v>
      </c>
      <c r="G3283" s="6" t="s">
        <v>18</v>
      </c>
    </row>
    <row r="3284" spans="1:7" x14ac:dyDescent="0.3">
      <c r="A3284" s="2" t="s">
        <v>4131</v>
      </c>
      <c r="B3284" s="2" t="s">
        <v>4127</v>
      </c>
      <c r="C3284" s="6" t="s">
        <v>4128</v>
      </c>
      <c r="D3284" s="1">
        <v>45458</v>
      </c>
      <c r="E3284" s="4">
        <v>488.03</v>
      </c>
      <c r="F3284" s="3">
        <v>1</v>
      </c>
      <c r="G3284" s="6" t="s">
        <v>26</v>
      </c>
    </row>
    <row r="3285" spans="1:7" x14ac:dyDescent="0.3">
      <c r="A3285" s="2" t="s">
        <v>4132</v>
      </c>
      <c r="B3285" s="2" t="s">
        <v>4127</v>
      </c>
      <c r="C3285" s="6" t="s">
        <v>4128</v>
      </c>
      <c r="D3285" s="1">
        <v>45473</v>
      </c>
      <c r="E3285" s="4">
        <v>333.03</v>
      </c>
      <c r="F3285" s="3">
        <v>3</v>
      </c>
      <c r="G3285" s="6" t="s">
        <v>15</v>
      </c>
    </row>
    <row r="3286" spans="1:7" x14ac:dyDescent="0.3">
      <c r="A3286" s="2" t="s">
        <v>4133</v>
      </c>
      <c r="B3286" s="2" t="s">
        <v>4127</v>
      </c>
      <c r="C3286" s="6" t="s">
        <v>4128</v>
      </c>
      <c r="D3286" s="1">
        <v>45324</v>
      </c>
      <c r="E3286" s="4">
        <v>162.47999999999999</v>
      </c>
      <c r="F3286" s="3">
        <v>2</v>
      </c>
      <c r="G3286" s="6" t="s">
        <v>15</v>
      </c>
    </row>
    <row r="3287" spans="1:7" x14ac:dyDescent="0.3">
      <c r="A3287" s="2" t="s">
        <v>4134</v>
      </c>
      <c r="B3287" s="2" t="s">
        <v>4127</v>
      </c>
      <c r="C3287" s="6" t="s">
        <v>4128</v>
      </c>
      <c r="D3287" s="1">
        <v>45454</v>
      </c>
      <c r="E3287" s="4">
        <v>58.87</v>
      </c>
      <c r="F3287" s="3">
        <v>1</v>
      </c>
      <c r="G3287" s="6" t="s">
        <v>10</v>
      </c>
    </row>
    <row r="3288" spans="1:7" x14ac:dyDescent="0.3">
      <c r="A3288" s="2" t="s">
        <v>4135</v>
      </c>
      <c r="B3288" s="2" t="s">
        <v>4127</v>
      </c>
      <c r="C3288" s="6" t="s">
        <v>4128</v>
      </c>
      <c r="D3288" s="1">
        <v>45325</v>
      </c>
      <c r="E3288" s="4">
        <v>15.67</v>
      </c>
      <c r="F3288" s="3">
        <v>2</v>
      </c>
      <c r="G3288" s="6" t="s">
        <v>18</v>
      </c>
    </row>
    <row r="3289" spans="1:7" x14ac:dyDescent="0.3">
      <c r="A3289" s="2" t="s">
        <v>4136</v>
      </c>
      <c r="B3289" s="2" t="s">
        <v>4127</v>
      </c>
      <c r="C3289" s="6" t="s">
        <v>4128</v>
      </c>
      <c r="D3289" s="1">
        <v>45568</v>
      </c>
      <c r="E3289" s="4">
        <v>384.41</v>
      </c>
      <c r="F3289" s="3">
        <v>2</v>
      </c>
      <c r="G3289" s="6" t="s">
        <v>12</v>
      </c>
    </row>
    <row r="3290" spans="1:7" x14ac:dyDescent="0.3">
      <c r="A3290" s="2" t="s">
        <v>4137</v>
      </c>
      <c r="B3290" s="2" t="s">
        <v>4127</v>
      </c>
      <c r="C3290" s="6" t="s">
        <v>4128</v>
      </c>
      <c r="D3290" s="1">
        <v>45417</v>
      </c>
      <c r="E3290" s="4">
        <v>190.22</v>
      </c>
      <c r="F3290" s="3">
        <v>3</v>
      </c>
      <c r="G3290" s="6" t="s">
        <v>15</v>
      </c>
    </row>
    <row r="3291" spans="1:7" x14ac:dyDescent="0.3">
      <c r="A3291" s="2" t="s">
        <v>4138</v>
      </c>
      <c r="B3291" s="2" t="s">
        <v>4139</v>
      </c>
      <c r="C3291" s="6" t="s">
        <v>4140</v>
      </c>
      <c r="D3291" s="1">
        <v>45071</v>
      </c>
      <c r="E3291" s="4">
        <v>235.5</v>
      </c>
      <c r="F3291" s="3">
        <v>3</v>
      </c>
      <c r="G3291" s="6" t="s">
        <v>10</v>
      </c>
    </row>
    <row r="3292" spans="1:7" x14ac:dyDescent="0.3">
      <c r="A3292" s="2" t="s">
        <v>4141</v>
      </c>
      <c r="B3292" s="2" t="s">
        <v>4139</v>
      </c>
      <c r="C3292" s="6" t="s">
        <v>4140</v>
      </c>
      <c r="D3292" s="1">
        <v>45270</v>
      </c>
      <c r="E3292" s="4">
        <v>267.22000000000003</v>
      </c>
      <c r="F3292" s="3">
        <v>2</v>
      </c>
      <c r="G3292" s="6" t="s">
        <v>26</v>
      </c>
    </row>
    <row r="3293" spans="1:7" x14ac:dyDescent="0.3">
      <c r="A3293" s="2" t="s">
        <v>4142</v>
      </c>
      <c r="B3293" s="2" t="s">
        <v>4139</v>
      </c>
      <c r="C3293" s="6" t="s">
        <v>4140</v>
      </c>
      <c r="D3293" s="1">
        <v>45615</v>
      </c>
      <c r="E3293" s="4">
        <v>101.99</v>
      </c>
      <c r="F3293" s="3">
        <v>2</v>
      </c>
      <c r="G3293" s="6" t="s">
        <v>18</v>
      </c>
    </row>
    <row r="3294" spans="1:7" x14ac:dyDescent="0.3">
      <c r="A3294" s="2" t="s">
        <v>4143</v>
      </c>
      <c r="B3294" s="2" t="s">
        <v>4139</v>
      </c>
      <c r="C3294" s="6" t="s">
        <v>4140</v>
      </c>
      <c r="D3294" s="1">
        <v>45383</v>
      </c>
      <c r="E3294" s="4">
        <v>136.5</v>
      </c>
      <c r="F3294" s="3">
        <v>3</v>
      </c>
      <c r="G3294" s="6" t="s">
        <v>15</v>
      </c>
    </row>
    <row r="3295" spans="1:7" x14ac:dyDescent="0.3">
      <c r="A3295" s="2" t="s">
        <v>4144</v>
      </c>
      <c r="B3295" s="2" t="s">
        <v>4145</v>
      </c>
      <c r="C3295" s="6" t="s">
        <v>4146</v>
      </c>
      <c r="D3295" s="1">
        <v>45393</v>
      </c>
      <c r="E3295" s="4">
        <v>354.37</v>
      </c>
      <c r="F3295" s="3">
        <v>1</v>
      </c>
      <c r="G3295" s="6" t="s">
        <v>10</v>
      </c>
    </row>
    <row r="3296" spans="1:7" x14ac:dyDescent="0.3">
      <c r="A3296" s="2" t="s">
        <v>4147</v>
      </c>
      <c r="B3296" s="2" t="s">
        <v>4145</v>
      </c>
      <c r="C3296" s="6" t="s">
        <v>4146</v>
      </c>
      <c r="D3296" s="1">
        <v>45593</v>
      </c>
      <c r="E3296" s="4">
        <v>343.79</v>
      </c>
      <c r="F3296" s="3">
        <v>4</v>
      </c>
      <c r="G3296" s="6" t="s">
        <v>10</v>
      </c>
    </row>
    <row r="3297" spans="1:7" x14ac:dyDescent="0.3">
      <c r="A3297" s="2" t="s">
        <v>4148</v>
      </c>
      <c r="B3297" s="2" t="s">
        <v>4145</v>
      </c>
      <c r="C3297" s="6" t="s">
        <v>4146</v>
      </c>
      <c r="D3297" s="1">
        <v>45387</v>
      </c>
      <c r="E3297" s="4">
        <v>450.93</v>
      </c>
      <c r="F3297" s="3">
        <v>1</v>
      </c>
      <c r="G3297" s="6" t="s">
        <v>12</v>
      </c>
    </row>
    <row r="3298" spans="1:7" x14ac:dyDescent="0.3">
      <c r="A3298" s="2" t="s">
        <v>4149</v>
      </c>
      <c r="B3298" s="2" t="s">
        <v>4145</v>
      </c>
      <c r="C3298" s="6" t="s">
        <v>4146</v>
      </c>
      <c r="D3298" s="1">
        <v>45486</v>
      </c>
      <c r="E3298" s="4">
        <v>104.16</v>
      </c>
      <c r="F3298" s="3">
        <v>2</v>
      </c>
      <c r="G3298" s="6" t="s">
        <v>18</v>
      </c>
    </row>
    <row r="3299" spans="1:7" x14ac:dyDescent="0.3">
      <c r="A3299" s="2" t="s">
        <v>4150</v>
      </c>
      <c r="B3299" s="2" t="s">
        <v>4145</v>
      </c>
      <c r="C3299" s="6" t="s">
        <v>4146</v>
      </c>
      <c r="D3299" s="1">
        <v>45453</v>
      </c>
      <c r="E3299" s="4">
        <v>491.64</v>
      </c>
      <c r="F3299" s="3">
        <v>2</v>
      </c>
      <c r="G3299" s="6" t="s">
        <v>15</v>
      </c>
    </row>
    <row r="3300" spans="1:7" x14ac:dyDescent="0.3">
      <c r="A3300" s="2" t="s">
        <v>4151</v>
      </c>
      <c r="B3300" s="2" t="s">
        <v>4152</v>
      </c>
      <c r="C3300" s="6" t="s">
        <v>4153</v>
      </c>
      <c r="D3300" s="1">
        <v>45495</v>
      </c>
      <c r="E3300" s="4">
        <v>137.03</v>
      </c>
      <c r="F3300" s="3">
        <v>2</v>
      </c>
      <c r="G3300" s="6" t="s">
        <v>26</v>
      </c>
    </row>
    <row r="3301" spans="1:7" x14ac:dyDescent="0.3">
      <c r="A3301" s="2" t="s">
        <v>4154</v>
      </c>
      <c r="B3301" s="2" t="s">
        <v>4152</v>
      </c>
      <c r="C3301" s="6" t="s">
        <v>4153</v>
      </c>
      <c r="D3301" s="1">
        <v>45388</v>
      </c>
      <c r="E3301" s="4">
        <v>253.54</v>
      </c>
      <c r="F3301" s="3">
        <v>2</v>
      </c>
      <c r="G3301" s="6" t="s">
        <v>18</v>
      </c>
    </row>
    <row r="3302" spans="1:7" x14ac:dyDescent="0.3">
      <c r="A3302" s="2" t="s">
        <v>4155</v>
      </c>
      <c r="B3302" s="2" t="s">
        <v>4152</v>
      </c>
      <c r="C3302" s="6" t="s">
        <v>4153</v>
      </c>
      <c r="D3302" s="1">
        <v>45570</v>
      </c>
      <c r="E3302" s="4">
        <v>18.29</v>
      </c>
      <c r="F3302" s="3">
        <v>2</v>
      </c>
      <c r="G3302" s="6" t="s">
        <v>38</v>
      </c>
    </row>
    <row r="3303" spans="1:7" x14ac:dyDescent="0.3">
      <c r="A3303" s="2" t="s">
        <v>4156</v>
      </c>
      <c r="B3303" s="2" t="s">
        <v>4152</v>
      </c>
      <c r="C3303" s="6" t="s">
        <v>4153</v>
      </c>
      <c r="D3303" s="1">
        <v>45640</v>
      </c>
      <c r="E3303" s="4">
        <v>381.07</v>
      </c>
      <c r="F3303" s="3">
        <v>4</v>
      </c>
      <c r="G3303" s="6" t="s">
        <v>38</v>
      </c>
    </row>
    <row r="3304" spans="1:7" x14ac:dyDescent="0.3">
      <c r="A3304" s="2" t="s">
        <v>4157</v>
      </c>
      <c r="B3304" s="2" t="s">
        <v>4152</v>
      </c>
      <c r="C3304" s="6" t="s">
        <v>4153</v>
      </c>
      <c r="D3304" s="1">
        <v>45403</v>
      </c>
      <c r="E3304" s="4">
        <v>89.09</v>
      </c>
      <c r="F3304" s="3">
        <v>4</v>
      </c>
      <c r="G3304" s="6" t="s">
        <v>15</v>
      </c>
    </row>
    <row r="3305" spans="1:7" x14ac:dyDescent="0.3">
      <c r="A3305" s="2" t="s">
        <v>4158</v>
      </c>
      <c r="B3305" s="2" t="s">
        <v>4152</v>
      </c>
      <c r="C3305" s="6" t="s">
        <v>4153</v>
      </c>
      <c r="D3305" s="1">
        <v>45647</v>
      </c>
      <c r="E3305" s="4">
        <v>415.68</v>
      </c>
      <c r="F3305" s="3">
        <v>3</v>
      </c>
      <c r="G3305" s="6" t="s">
        <v>38</v>
      </c>
    </row>
    <row r="3306" spans="1:7" x14ac:dyDescent="0.3">
      <c r="A3306" s="2" t="s">
        <v>4159</v>
      </c>
      <c r="B3306" s="2" t="s">
        <v>4152</v>
      </c>
      <c r="C3306" s="6" t="s">
        <v>4153</v>
      </c>
      <c r="D3306" s="1">
        <v>45438</v>
      </c>
      <c r="E3306" s="4">
        <v>140.09</v>
      </c>
      <c r="F3306" s="3">
        <v>1</v>
      </c>
      <c r="G3306" s="6" t="s">
        <v>38</v>
      </c>
    </row>
    <row r="3307" spans="1:7" x14ac:dyDescent="0.3">
      <c r="A3307" s="2" t="s">
        <v>4160</v>
      </c>
      <c r="B3307" s="2" t="s">
        <v>4152</v>
      </c>
      <c r="C3307" s="6" t="s">
        <v>4153</v>
      </c>
      <c r="D3307" s="1">
        <v>45574</v>
      </c>
      <c r="E3307" s="4">
        <v>486.33</v>
      </c>
      <c r="F3307" s="3">
        <v>4</v>
      </c>
      <c r="G3307" s="6" t="s">
        <v>26</v>
      </c>
    </row>
    <row r="3308" spans="1:7" x14ac:dyDescent="0.3">
      <c r="A3308" s="2" t="s">
        <v>4161</v>
      </c>
      <c r="B3308" s="2" t="s">
        <v>4152</v>
      </c>
      <c r="C3308" s="6" t="s">
        <v>4153</v>
      </c>
      <c r="D3308" s="1">
        <v>45554</v>
      </c>
      <c r="E3308" s="4">
        <v>354.49</v>
      </c>
      <c r="F3308" s="3">
        <v>3</v>
      </c>
      <c r="G3308" s="6" t="s">
        <v>18</v>
      </c>
    </row>
    <row r="3309" spans="1:7" x14ac:dyDescent="0.3">
      <c r="A3309" s="2" t="s">
        <v>4162</v>
      </c>
      <c r="B3309" s="2" t="s">
        <v>4152</v>
      </c>
      <c r="C3309" s="6" t="s">
        <v>4153</v>
      </c>
      <c r="D3309" s="1">
        <v>45387</v>
      </c>
      <c r="E3309" s="4">
        <v>260.83</v>
      </c>
      <c r="F3309" s="3">
        <v>2</v>
      </c>
      <c r="G3309" s="6" t="s">
        <v>12</v>
      </c>
    </row>
    <row r="3310" spans="1:7" x14ac:dyDescent="0.3">
      <c r="A3310" s="2" t="s">
        <v>4163</v>
      </c>
      <c r="B3310" s="2" t="s">
        <v>4152</v>
      </c>
      <c r="C3310" s="6" t="s">
        <v>4153</v>
      </c>
      <c r="D3310" s="1">
        <v>45653</v>
      </c>
      <c r="E3310" s="4">
        <v>236.62</v>
      </c>
      <c r="F3310" s="3">
        <v>3</v>
      </c>
      <c r="G3310" s="6" t="s">
        <v>10</v>
      </c>
    </row>
    <row r="3311" spans="1:7" x14ac:dyDescent="0.3">
      <c r="A3311" s="2" t="s">
        <v>4164</v>
      </c>
      <c r="B3311" s="2" t="s">
        <v>4165</v>
      </c>
      <c r="C3311" s="6" t="s">
        <v>4166</v>
      </c>
      <c r="D3311" s="1">
        <v>45626</v>
      </c>
      <c r="E3311" s="4">
        <v>133.76</v>
      </c>
      <c r="F3311" s="3">
        <v>2</v>
      </c>
      <c r="G3311" s="6" t="s">
        <v>38</v>
      </c>
    </row>
    <row r="3312" spans="1:7" x14ac:dyDescent="0.3">
      <c r="A3312" s="2" t="s">
        <v>4167</v>
      </c>
      <c r="B3312" s="2" t="s">
        <v>4165</v>
      </c>
      <c r="C3312" s="6" t="s">
        <v>4166</v>
      </c>
      <c r="D3312" s="1">
        <v>45618</v>
      </c>
      <c r="E3312" s="4">
        <v>458.8</v>
      </c>
      <c r="F3312" s="3">
        <v>4</v>
      </c>
      <c r="G3312" s="6" t="s">
        <v>10</v>
      </c>
    </row>
    <row r="3313" spans="1:7" x14ac:dyDescent="0.3">
      <c r="A3313" s="2" t="s">
        <v>4168</v>
      </c>
      <c r="B3313" s="2" t="s">
        <v>4165</v>
      </c>
      <c r="C3313" s="6" t="s">
        <v>4166</v>
      </c>
      <c r="D3313" s="1">
        <v>45640</v>
      </c>
      <c r="E3313" s="4">
        <v>20.05</v>
      </c>
      <c r="F3313" s="3">
        <v>4</v>
      </c>
      <c r="G3313" s="6" t="s">
        <v>38</v>
      </c>
    </row>
    <row r="3314" spans="1:7" x14ac:dyDescent="0.3">
      <c r="A3314" s="2" t="s">
        <v>4169</v>
      </c>
      <c r="B3314" s="2" t="s">
        <v>4165</v>
      </c>
      <c r="C3314" s="6" t="s">
        <v>4166</v>
      </c>
      <c r="D3314" s="1">
        <v>45651</v>
      </c>
      <c r="E3314" s="4">
        <v>325.33</v>
      </c>
      <c r="F3314" s="3">
        <v>3</v>
      </c>
      <c r="G3314" s="6" t="s">
        <v>12</v>
      </c>
    </row>
    <row r="3315" spans="1:7" x14ac:dyDescent="0.3">
      <c r="A3315" s="2" t="s">
        <v>4170</v>
      </c>
      <c r="B3315" s="2" t="s">
        <v>4165</v>
      </c>
      <c r="C3315" s="6" t="s">
        <v>4166</v>
      </c>
      <c r="D3315" s="1">
        <v>45625</v>
      </c>
      <c r="E3315" s="4">
        <v>81.290000000000006</v>
      </c>
      <c r="F3315" s="3">
        <v>2</v>
      </c>
      <c r="G3315" s="6" t="s">
        <v>26</v>
      </c>
    </row>
    <row r="3316" spans="1:7" x14ac:dyDescent="0.3">
      <c r="A3316" s="2" t="s">
        <v>4171</v>
      </c>
      <c r="B3316" s="2" t="s">
        <v>4165</v>
      </c>
      <c r="C3316" s="6" t="s">
        <v>4166</v>
      </c>
      <c r="D3316" s="1">
        <v>45650</v>
      </c>
      <c r="E3316" s="4">
        <v>326.52</v>
      </c>
      <c r="F3316" s="3">
        <v>4</v>
      </c>
      <c r="G3316" s="6" t="s">
        <v>26</v>
      </c>
    </row>
    <row r="3317" spans="1:7" x14ac:dyDescent="0.3">
      <c r="A3317" s="2" t="s">
        <v>4172</v>
      </c>
      <c r="B3317" s="2" t="s">
        <v>4165</v>
      </c>
      <c r="C3317" s="6" t="s">
        <v>4166</v>
      </c>
      <c r="D3317" s="1">
        <v>45653</v>
      </c>
      <c r="E3317" s="4">
        <v>225.66</v>
      </c>
      <c r="F3317" s="3">
        <v>4</v>
      </c>
      <c r="G3317" s="6" t="s">
        <v>38</v>
      </c>
    </row>
    <row r="3318" spans="1:7" x14ac:dyDescent="0.3">
      <c r="A3318" s="2" t="s">
        <v>4173</v>
      </c>
      <c r="B3318" s="2" t="s">
        <v>4165</v>
      </c>
      <c r="C3318" s="6" t="s">
        <v>4166</v>
      </c>
      <c r="D3318" s="1">
        <v>45656</v>
      </c>
      <c r="E3318" s="4">
        <v>17.09</v>
      </c>
      <c r="F3318" s="3">
        <v>4</v>
      </c>
      <c r="G3318" s="6" t="s">
        <v>18</v>
      </c>
    </row>
    <row r="3319" spans="1:7" x14ac:dyDescent="0.3">
      <c r="A3319" s="2" t="s">
        <v>4174</v>
      </c>
      <c r="B3319" s="2" t="s">
        <v>4165</v>
      </c>
      <c r="C3319" s="6" t="s">
        <v>4166</v>
      </c>
      <c r="D3319" s="1">
        <v>45632</v>
      </c>
      <c r="E3319" s="4">
        <v>342.54</v>
      </c>
      <c r="F3319" s="3">
        <v>1</v>
      </c>
      <c r="G3319" s="6" t="s">
        <v>26</v>
      </c>
    </row>
    <row r="3320" spans="1:7" x14ac:dyDescent="0.3">
      <c r="A3320" s="2" t="s">
        <v>4175</v>
      </c>
      <c r="B3320" s="2" t="s">
        <v>4165</v>
      </c>
      <c r="C3320" s="6" t="s">
        <v>4166</v>
      </c>
      <c r="D3320" s="1">
        <v>45620</v>
      </c>
      <c r="E3320" s="4">
        <v>463.07</v>
      </c>
      <c r="F3320" s="3">
        <v>1</v>
      </c>
      <c r="G3320" s="6" t="s">
        <v>15</v>
      </c>
    </row>
    <row r="3321" spans="1:7" x14ac:dyDescent="0.3">
      <c r="A3321" s="2" t="s">
        <v>4176</v>
      </c>
      <c r="B3321" s="2" t="s">
        <v>4165</v>
      </c>
      <c r="C3321" s="6" t="s">
        <v>4166</v>
      </c>
      <c r="D3321" s="1">
        <v>45641</v>
      </c>
      <c r="E3321" s="4">
        <v>44.87</v>
      </c>
      <c r="F3321" s="3">
        <v>2</v>
      </c>
      <c r="G3321" s="6" t="s">
        <v>15</v>
      </c>
    </row>
    <row r="3322" spans="1:7" x14ac:dyDescent="0.3">
      <c r="A3322" s="2" t="s">
        <v>4177</v>
      </c>
      <c r="B3322" s="2" t="s">
        <v>4165</v>
      </c>
      <c r="C3322" s="6" t="s">
        <v>4166</v>
      </c>
      <c r="D3322" s="1">
        <v>45639</v>
      </c>
      <c r="E3322" s="4">
        <v>428.83</v>
      </c>
      <c r="F3322" s="3">
        <v>4</v>
      </c>
      <c r="G3322" s="6" t="s">
        <v>15</v>
      </c>
    </row>
    <row r="3323" spans="1:7" x14ac:dyDescent="0.3">
      <c r="A3323" s="2" t="s">
        <v>4178</v>
      </c>
      <c r="B3323" s="2" t="s">
        <v>4165</v>
      </c>
      <c r="C3323" s="6" t="s">
        <v>4166</v>
      </c>
      <c r="D3323" s="1">
        <v>45633</v>
      </c>
      <c r="E3323" s="4">
        <v>445.46</v>
      </c>
      <c r="F3323" s="3">
        <v>2</v>
      </c>
      <c r="G3323" s="6" t="s">
        <v>10</v>
      </c>
    </row>
    <row r="3324" spans="1:7" x14ac:dyDescent="0.3">
      <c r="A3324" s="2" t="s">
        <v>4179</v>
      </c>
      <c r="B3324" s="2" t="s">
        <v>4165</v>
      </c>
      <c r="C3324" s="6" t="s">
        <v>4166</v>
      </c>
      <c r="D3324" s="1">
        <v>45636</v>
      </c>
      <c r="E3324" s="4">
        <v>399.84</v>
      </c>
      <c r="F3324" s="3">
        <v>4</v>
      </c>
      <c r="G3324" s="6" t="s">
        <v>10</v>
      </c>
    </row>
    <row r="3325" spans="1:7" x14ac:dyDescent="0.3">
      <c r="A3325" s="2" t="s">
        <v>4180</v>
      </c>
      <c r="B3325" s="2" t="s">
        <v>4181</v>
      </c>
      <c r="C3325" s="6" t="s">
        <v>4182</v>
      </c>
      <c r="D3325" s="1">
        <v>45481</v>
      </c>
      <c r="E3325" s="4">
        <v>74.25</v>
      </c>
      <c r="F3325" s="3">
        <v>4</v>
      </c>
      <c r="G3325" s="6" t="s">
        <v>12</v>
      </c>
    </row>
    <row r="3326" spans="1:7" x14ac:dyDescent="0.3">
      <c r="A3326" s="2" t="s">
        <v>4183</v>
      </c>
      <c r="B3326" s="2" t="s">
        <v>4181</v>
      </c>
      <c r="C3326" s="6" t="s">
        <v>4182</v>
      </c>
      <c r="D3326" s="1">
        <v>45546</v>
      </c>
      <c r="E3326" s="4">
        <v>242.42</v>
      </c>
      <c r="F3326" s="3">
        <v>3</v>
      </c>
      <c r="G3326" s="6" t="s">
        <v>18</v>
      </c>
    </row>
    <row r="3327" spans="1:7" x14ac:dyDescent="0.3">
      <c r="A3327" s="2" t="s">
        <v>4184</v>
      </c>
      <c r="B3327" s="2" t="s">
        <v>4181</v>
      </c>
      <c r="C3327" s="6" t="s">
        <v>4182</v>
      </c>
      <c r="D3327" s="1">
        <v>45257</v>
      </c>
      <c r="E3327" s="4">
        <v>215.04</v>
      </c>
      <c r="F3327" s="3">
        <v>2</v>
      </c>
      <c r="G3327" s="6" t="s">
        <v>38</v>
      </c>
    </row>
    <row r="3328" spans="1:7" x14ac:dyDescent="0.3">
      <c r="A3328" s="2" t="s">
        <v>4185</v>
      </c>
      <c r="B3328" s="2" t="s">
        <v>4181</v>
      </c>
      <c r="C3328" s="6" t="s">
        <v>4182</v>
      </c>
      <c r="D3328" s="1">
        <v>45656</v>
      </c>
      <c r="E3328" s="4">
        <v>438.1</v>
      </c>
      <c r="F3328" s="3">
        <v>2</v>
      </c>
      <c r="G3328" s="6" t="s">
        <v>38</v>
      </c>
    </row>
    <row r="3329" spans="1:7" x14ac:dyDescent="0.3">
      <c r="A3329" s="2" t="s">
        <v>4186</v>
      </c>
      <c r="B3329" s="2" t="s">
        <v>4181</v>
      </c>
      <c r="C3329" s="6" t="s">
        <v>4182</v>
      </c>
      <c r="D3329" s="1">
        <v>45537</v>
      </c>
      <c r="E3329" s="4">
        <v>243.05</v>
      </c>
      <c r="F3329" s="3">
        <v>3</v>
      </c>
      <c r="G3329" s="6" t="s">
        <v>18</v>
      </c>
    </row>
    <row r="3330" spans="1:7" x14ac:dyDescent="0.3">
      <c r="A3330" s="2" t="s">
        <v>4187</v>
      </c>
      <c r="B3330" s="2" t="s">
        <v>4181</v>
      </c>
      <c r="C3330" s="6" t="s">
        <v>4182</v>
      </c>
      <c r="D3330" s="1">
        <v>45517</v>
      </c>
      <c r="E3330" s="4">
        <v>275.64999999999998</v>
      </c>
      <c r="F3330" s="3">
        <v>3</v>
      </c>
      <c r="G3330" s="6" t="s">
        <v>26</v>
      </c>
    </row>
    <row r="3331" spans="1:7" x14ac:dyDescent="0.3">
      <c r="A3331" s="2" t="s">
        <v>4188</v>
      </c>
      <c r="B3331" s="2" t="s">
        <v>4181</v>
      </c>
      <c r="C3331" s="6" t="s">
        <v>4182</v>
      </c>
      <c r="D3331" s="1">
        <v>45184</v>
      </c>
      <c r="E3331" s="4">
        <v>225.43</v>
      </c>
      <c r="F3331" s="3">
        <v>3</v>
      </c>
      <c r="G3331" s="6" t="s">
        <v>26</v>
      </c>
    </row>
    <row r="3332" spans="1:7" x14ac:dyDescent="0.3">
      <c r="A3332" s="2" t="s">
        <v>4189</v>
      </c>
      <c r="B3332" s="2" t="s">
        <v>4181</v>
      </c>
      <c r="C3332" s="6" t="s">
        <v>4182</v>
      </c>
      <c r="D3332" s="1">
        <v>45119</v>
      </c>
      <c r="E3332" s="4">
        <v>273.91000000000003</v>
      </c>
      <c r="F3332" s="3">
        <v>3</v>
      </c>
      <c r="G3332" s="6" t="s">
        <v>38</v>
      </c>
    </row>
    <row r="3333" spans="1:7" x14ac:dyDescent="0.3">
      <c r="A3333" s="2" t="s">
        <v>4190</v>
      </c>
      <c r="B3333" s="2" t="s">
        <v>4181</v>
      </c>
      <c r="C3333" s="6" t="s">
        <v>4182</v>
      </c>
      <c r="D3333" s="1">
        <v>45454</v>
      </c>
      <c r="E3333" s="4">
        <v>323.62</v>
      </c>
      <c r="F3333" s="3">
        <v>3</v>
      </c>
      <c r="G3333" s="6" t="s">
        <v>15</v>
      </c>
    </row>
    <row r="3334" spans="1:7" x14ac:dyDescent="0.3">
      <c r="A3334" s="2" t="s">
        <v>4191</v>
      </c>
      <c r="B3334" s="2" t="s">
        <v>4181</v>
      </c>
      <c r="C3334" s="6" t="s">
        <v>4182</v>
      </c>
      <c r="D3334" s="1">
        <v>45127</v>
      </c>
      <c r="E3334" s="4">
        <v>438.6</v>
      </c>
      <c r="F3334" s="3">
        <v>1</v>
      </c>
      <c r="G3334" s="6" t="s">
        <v>38</v>
      </c>
    </row>
    <row r="3335" spans="1:7" x14ac:dyDescent="0.3">
      <c r="A3335" s="2" t="s">
        <v>4192</v>
      </c>
      <c r="B3335" s="2" t="s">
        <v>4181</v>
      </c>
      <c r="C3335" s="6" t="s">
        <v>4182</v>
      </c>
      <c r="D3335" s="1">
        <v>45605</v>
      </c>
      <c r="E3335" s="4">
        <v>318.89999999999998</v>
      </c>
      <c r="F3335" s="3">
        <v>4</v>
      </c>
      <c r="G3335" s="6" t="s">
        <v>38</v>
      </c>
    </row>
    <row r="3336" spans="1:7" x14ac:dyDescent="0.3">
      <c r="A3336" s="2" t="s">
        <v>4193</v>
      </c>
      <c r="B3336" s="2" t="s">
        <v>4181</v>
      </c>
      <c r="C3336" s="6" t="s">
        <v>4182</v>
      </c>
      <c r="D3336" s="1">
        <v>45600</v>
      </c>
      <c r="E3336" s="4">
        <v>52.02</v>
      </c>
      <c r="F3336" s="3">
        <v>3</v>
      </c>
      <c r="G3336" s="6" t="s">
        <v>10</v>
      </c>
    </row>
    <row r="3337" spans="1:7" x14ac:dyDescent="0.3">
      <c r="A3337" s="2" t="s">
        <v>4194</v>
      </c>
      <c r="B3337" s="2" t="s">
        <v>4195</v>
      </c>
      <c r="C3337" s="6" t="s">
        <v>4196</v>
      </c>
      <c r="D3337" s="1">
        <v>45531</v>
      </c>
      <c r="E3337" s="4">
        <v>336.92</v>
      </c>
      <c r="F3337" s="3">
        <v>2</v>
      </c>
      <c r="G3337" s="6" t="s">
        <v>12</v>
      </c>
    </row>
    <row r="3338" spans="1:7" x14ac:dyDescent="0.3">
      <c r="A3338" s="2" t="s">
        <v>4197</v>
      </c>
      <c r="B3338" s="2" t="s">
        <v>4195</v>
      </c>
      <c r="C3338" s="6" t="s">
        <v>4196</v>
      </c>
      <c r="D3338" s="1">
        <v>45625</v>
      </c>
      <c r="E3338" s="4">
        <v>302.99</v>
      </c>
      <c r="F3338" s="3">
        <v>3</v>
      </c>
      <c r="G3338" s="6" t="s">
        <v>15</v>
      </c>
    </row>
    <row r="3339" spans="1:7" x14ac:dyDescent="0.3">
      <c r="A3339" s="2" t="s">
        <v>4198</v>
      </c>
      <c r="B3339" s="2" t="s">
        <v>4195</v>
      </c>
      <c r="C3339" s="6" t="s">
        <v>4196</v>
      </c>
      <c r="D3339" s="1">
        <v>45552</v>
      </c>
      <c r="E3339" s="4">
        <v>219.43</v>
      </c>
      <c r="F3339" s="3">
        <v>1</v>
      </c>
      <c r="G3339" s="6" t="s">
        <v>15</v>
      </c>
    </row>
    <row r="3340" spans="1:7" x14ac:dyDescent="0.3">
      <c r="A3340" s="2" t="s">
        <v>4199</v>
      </c>
      <c r="B3340" s="2" t="s">
        <v>4195</v>
      </c>
      <c r="C3340" s="6" t="s">
        <v>4196</v>
      </c>
      <c r="D3340" s="1">
        <v>45518</v>
      </c>
      <c r="E3340" s="4">
        <v>396.39</v>
      </c>
      <c r="F3340" s="3">
        <v>1</v>
      </c>
      <c r="G3340" s="6" t="s">
        <v>10</v>
      </c>
    </row>
    <row r="3341" spans="1:7" x14ac:dyDescent="0.3">
      <c r="A3341" s="2" t="s">
        <v>4200</v>
      </c>
      <c r="B3341" s="2" t="s">
        <v>4201</v>
      </c>
      <c r="C3341" s="6" t="s">
        <v>4202</v>
      </c>
      <c r="D3341" s="1">
        <v>45488</v>
      </c>
      <c r="E3341" s="4">
        <v>343.65</v>
      </c>
      <c r="F3341" s="3">
        <v>2</v>
      </c>
      <c r="G3341" s="6" t="s">
        <v>26</v>
      </c>
    </row>
    <row r="3342" spans="1:7" x14ac:dyDescent="0.3">
      <c r="A3342" s="2" t="s">
        <v>4203</v>
      </c>
      <c r="B3342" s="2" t="s">
        <v>4201</v>
      </c>
      <c r="C3342" s="6" t="s">
        <v>4202</v>
      </c>
      <c r="D3342" s="1">
        <v>45143</v>
      </c>
      <c r="E3342" s="4">
        <v>488.48</v>
      </c>
      <c r="F3342" s="3">
        <v>2</v>
      </c>
      <c r="G3342" s="6" t="s">
        <v>10</v>
      </c>
    </row>
    <row r="3343" spans="1:7" x14ac:dyDescent="0.3">
      <c r="A3343" s="2" t="s">
        <v>4204</v>
      </c>
      <c r="B3343" s="2" t="s">
        <v>4201</v>
      </c>
      <c r="C3343" s="6" t="s">
        <v>4202</v>
      </c>
      <c r="D3343" s="1">
        <v>45191</v>
      </c>
      <c r="E3343" s="4">
        <v>164.38</v>
      </c>
      <c r="F3343" s="3">
        <v>1</v>
      </c>
      <c r="G3343" s="6" t="s">
        <v>38</v>
      </c>
    </row>
    <row r="3344" spans="1:7" x14ac:dyDescent="0.3">
      <c r="A3344" s="2" t="s">
        <v>4205</v>
      </c>
      <c r="B3344" s="2" t="s">
        <v>4201</v>
      </c>
      <c r="C3344" s="6" t="s">
        <v>4202</v>
      </c>
      <c r="D3344" s="1">
        <v>45601</v>
      </c>
      <c r="E3344" s="4">
        <v>148.63999999999999</v>
      </c>
      <c r="F3344" s="3">
        <v>4</v>
      </c>
      <c r="G3344" s="6" t="s">
        <v>10</v>
      </c>
    </row>
    <row r="3345" spans="1:7" x14ac:dyDescent="0.3">
      <c r="A3345" s="2" t="s">
        <v>4206</v>
      </c>
      <c r="B3345" s="2" t="s">
        <v>4207</v>
      </c>
      <c r="C3345" s="6" t="s">
        <v>4208</v>
      </c>
      <c r="D3345" s="1">
        <v>44944</v>
      </c>
      <c r="E3345" s="4">
        <v>356.33</v>
      </c>
      <c r="F3345" s="3">
        <v>2</v>
      </c>
      <c r="G3345" s="6" t="s">
        <v>12</v>
      </c>
    </row>
    <row r="3346" spans="1:7" x14ac:dyDescent="0.3">
      <c r="A3346" s="2" t="s">
        <v>4209</v>
      </c>
      <c r="B3346" s="2" t="s">
        <v>4207</v>
      </c>
      <c r="C3346" s="6" t="s">
        <v>4208</v>
      </c>
      <c r="D3346" s="1">
        <v>45050</v>
      </c>
      <c r="E3346" s="4">
        <v>196.02</v>
      </c>
      <c r="F3346" s="3">
        <v>1</v>
      </c>
      <c r="G3346" s="6" t="s">
        <v>10</v>
      </c>
    </row>
    <row r="3347" spans="1:7" x14ac:dyDescent="0.3">
      <c r="A3347" s="2" t="s">
        <v>4210</v>
      </c>
      <c r="B3347" s="2" t="s">
        <v>4207</v>
      </c>
      <c r="C3347" s="6" t="s">
        <v>4208</v>
      </c>
      <c r="D3347" s="1">
        <v>45526</v>
      </c>
      <c r="E3347" s="4">
        <v>431.65</v>
      </c>
      <c r="F3347" s="3">
        <v>3</v>
      </c>
      <c r="G3347" s="6" t="s">
        <v>12</v>
      </c>
    </row>
    <row r="3348" spans="1:7" x14ac:dyDescent="0.3">
      <c r="A3348" s="2" t="s">
        <v>4211</v>
      </c>
      <c r="B3348" s="2" t="s">
        <v>4207</v>
      </c>
      <c r="C3348" s="6" t="s">
        <v>4208</v>
      </c>
      <c r="D3348" s="1">
        <v>45386</v>
      </c>
      <c r="E3348" s="4">
        <v>294.5</v>
      </c>
      <c r="F3348" s="3">
        <v>1</v>
      </c>
      <c r="G3348" s="6" t="s">
        <v>12</v>
      </c>
    </row>
    <row r="3349" spans="1:7" x14ac:dyDescent="0.3">
      <c r="A3349" s="2" t="s">
        <v>4212</v>
      </c>
      <c r="B3349" s="2" t="s">
        <v>4207</v>
      </c>
      <c r="C3349" s="6" t="s">
        <v>4208</v>
      </c>
      <c r="D3349" s="1">
        <v>45600</v>
      </c>
      <c r="E3349" s="4">
        <v>215.35</v>
      </c>
      <c r="F3349" s="3">
        <v>3</v>
      </c>
      <c r="G3349" s="6" t="s">
        <v>38</v>
      </c>
    </row>
    <row r="3350" spans="1:7" x14ac:dyDescent="0.3">
      <c r="A3350" s="2" t="s">
        <v>4213</v>
      </c>
      <c r="B3350" s="2" t="s">
        <v>4207</v>
      </c>
      <c r="C3350" s="6" t="s">
        <v>4208</v>
      </c>
      <c r="D3350" s="1">
        <v>45333</v>
      </c>
      <c r="E3350" s="4">
        <v>277.58999999999997</v>
      </c>
      <c r="F3350" s="3">
        <v>3</v>
      </c>
      <c r="G3350" s="6" t="s">
        <v>10</v>
      </c>
    </row>
    <row r="3351" spans="1:7" x14ac:dyDescent="0.3">
      <c r="A3351" s="2" t="s">
        <v>4214</v>
      </c>
      <c r="B3351" s="2" t="s">
        <v>4207</v>
      </c>
      <c r="C3351" s="6" t="s">
        <v>4208</v>
      </c>
      <c r="D3351" s="1">
        <v>45049</v>
      </c>
      <c r="E3351" s="4">
        <v>165.91</v>
      </c>
      <c r="F3351" s="3">
        <v>1</v>
      </c>
      <c r="G3351" s="6" t="s">
        <v>18</v>
      </c>
    </row>
    <row r="3352" spans="1:7" x14ac:dyDescent="0.3">
      <c r="A3352" s="2" t="s">
        <v>4215</v>
      </c>
      <c r="B3352" s="2" t="s">
        <v>4207</v>
      </c>
      <c r="C3352" s="6" t="s">
        <v>4208</v>
      </c>
      <c r="D3352" s="1">
        <v>45101</v>
      </c>
      <c r="E3352" s="4">
        <v>73.58</v>
      </c>
      <c r="F3352" s="3">
        <v>1</v>
      </c>
      <c r="G3352" s="6" t="s">
        <v>26</v>
      </c>
    </row>
    <row r="3353" spans="1:7" x14ac:dyDescent="0.3">
      <c r="A3353" s="2" t="s">
        <v>4216</v>
      </c>
      <c r="B3353" s="2" t="s">
        <v>4207</v>
      </c>
      <c r="C3353" s="6" t="s">
        <v>4208</v>
      </c>
      <c r="D3353" s="1">
        <v>45097</v>
      </c>
      <c r="E3353" s="4">
        <v>492.24</v>
      </c>
      <c r="F3353" s="3">
        <v>2</v>
      </c>
      <c r="G3353" s="6" t="s">
        <v>26</v>
      </c>
    </row>
    <row r="3354" spans="1:7" x14ac:dyDescent="0.3">
      <c r="A3354" s="2" t="s">
        <v>4217</v>
      </c>
      <c r="B3354" s="2" t="s">
        <v>4207</v>
      </c>
      <c r="C3354" s="6" t="s">
        <v>4208</v>
      </c>
      <c r="D3354" s="1">
        <v>45539</v>
      </c>
      <c r="E3354" s="4">
        <v>133.93</v>
      </c>
      <c r="F3354" s="3">
        <v>4</v>
      </c>
      <c r="G3354" s="6" t="s">
        <v>10</v>
      </c>
    </row>
    <row r="3355" spans="1:7" x14ac:dyDescent="0.3">
      <c r="A3355" s="2" t="s">
        <v>4218</v>
      </c>
      <c r="B3355" s="2" t="s">
        <v>4207</v>
      </c>
      <c r="C3355" s="6" t="s">
        <v>4208</v>
      </c>
      <c r="D3355" s="1">
        <v>45304</v>
      </c>
      <c r="E3355" s="4">
        <v>461.99</v>
      </c>
      <c r="F3355" s="3">
        <v>2</v>
      </c>
      <c r="G3355" s="6" t="s">
        <v>38</v>
      </c>
    </row>
    <row r="3356" spans="1:7" x14ac:dyDescent="0.3">
      <c r="A3356" s="2" t="s">
        <v>4219</v>
      </c>
      <c r="B3356" s="2" t="s">
        <v>4207</v>
      </c>
      <c r="C3356" s="6" t="s">
        <v>4208</v>
      </c>
      <c r="D3356" s="1">
        <v>45254</v>
      </c>
      <c r="E3356" s="4">
        <v>448.32</v>
      </c>
      <c r="F3356" s="3">
        <v>3</v>
      </c>
      <c r="G3356" s="6" t="s">
        <v>18</v>
      </c>
    </row>
    <row r="3357" spans="1:7" x14ac:dyDescent="0.3">
      <c r="A3357" s="2" t="s">
        <v>4220</v>
      </c>
      <c r="B3357" s="2" t="s">
        <v>4207</v>
      </c>
      <c r="C3357" s="6" t="s">
        <v>4208</v>
      </c>
      <c r="D3357" s="1">
        <v>45535</v>
      </c>
      <c r="E3357" s="4">
        <v>343.95</v>
      </c>
      <c r="F3357" s="3">
        <v>1</v>
      </c>
      <c r="G3357" s="6" t="s">
        <v>38</v>
      </c>
    </row>
    <row r="3358" spans="1:7" x14ac:dyDescent="0.3">
      <c r="A3358" s="2" t="s">
        <v>4221</v>
      </c>
      <c r="B3358" s="2" t="s">
        <v>4222</v>
      </c>
      <c r="C3358" s="6" t="s">
        <v>4223</v>
      </c>
      <c r="D3358" s="1">
        <v>45302</v>
      </c>
      <c r="E3358" s="4">
        <v>53.33</v>
      </c>
      <c r="F3358" s="3">
        <v>3</v>
      </c>
      <c r="G3358" s="6" t="s">
        <v>15</v>
      </c>
    </row>
    <row r="3359" spans="1:7" x14ac:dyDescent="0.3">
      <c r="A3359" s="2" t="s">
        <v>4224</v>
      </c>
      <c r="B3359" s="2" t="s">
        <v>4225</v>
      </c>
      <c r="C3359" s="6" t="s">
        <v>4226</v>
      </c>
      <c r="D3359" s="1">
        <v>45616</v>
      </c>
      <c r="E3359" s="4">
        <v>198.26</v>
      </c>
      <c r="F3359" s="3">
        <v>3</v>
      </c>
      <c r="G3359" s="6" t="s">
        <v>26</v>
      </c>
    </row>
    <row r="3360" spans="1:7" x14ac:dyDescent="0.3">
      <c r="A3360" s="2" t="s">
        <v>4227</v>
      </c>
      <c r="B3360" s="2" t="s">
        <v>4225</v>
      </c>
      <c r="C3360" s="6" t="s">
        <v>4226</v>
      </c>
      <c r="D3360" s="1">
        <v>45655</v>
      </c>
      <c r="E3360" s="4">
        <v>253.42</v>
      </c>
      <c r="F3360" s="3">
        <v>2</v>
      </c>
      <c r="G3360" s="6" t="s">
        <v>15</v>
      </c>
    </row>
    <row r="3361" spans="1:7" x14ac:dyDescent="0.3">
      <c r="A3361" s="2" t="s">
        <v>4228</v>
      </c>
      <c r="B3361" s="2" t="s">
        <v>4225</v>
      </c>
      <c r="C3361" s="6" t="s">
        <v>4226</v>
      </c>
      <c r="D3361" s="1">
        <v>45638</v>
      </c>
      <c r="E3361" s="4">
        <v>33.799999999999997</v>
      </c>
      <c r="F3361" s="3">
        <v>1</v>
      </c>
      <c r="G3361" s="6" t="s">
        <v>10</v>
      </c>
    </row>
    <row r="3362" spans="1:7" x14ac:dyDescent="0.3">
      <c r="A3362" s="2" t="s">
        <v>4229</v>
      </c>
      <c r="B3362" s="2" t="s">
        <v>4225</v>
      </c>
      <c r="C3362" s="6" t="s">
        <v>4226</v>
      </c>
      <c r="D3362" s="1">
        <v>45614</v>
      </c>
      <c r="E3362" s="4">
        <v>296.64999999999998</v>
      </c>
      <c r="F3362" s="3">
        <v>3</v>
      </c>
      <c r="G3362" s="6" t="s">
        <v>26</v>
      </c>
    </row>
    <row r="3363" spans="1:7" x14ac:dyDescent="0.3">
      <c r="A3363" s="2" t="s">
        <v>4230</v>
      </c>
      <c r="B3363" s="2" t="s">
        <v>4225</v>
      </c>
      <c r="C3363" s="6" t="s">
        <v>4226</v>
      </c>
      <c r="D3363" s="1">
        <v>45603</v>
      </c>
      <c r="E3363" s="4">
        <v>376.93</v>
      </c>
      <c r="F3363" s="3">
        <v>1</v>
      </c>
      <c r="G3363" s="6" t="s">
        <v>38</v>
      </c>
    </row>
    <row r="3364" spans="1:7" x14ac:dyDescent="0.3">
      <c r="A3364" s="2" t="s">
        <v>4231</v>
      </c>
      <c r="B3364" s="2" t="s">
        <v>4232</v>
      </c>
      <c r="C3364" s="6" t="s">
        <v>4233</v>
      </c>
      <c r="D3364" s="1">
        <v>45482</v>
      </c>
      <c r="E3364" s="4">
        <v>219.66</v>
      </c>
      <c r="F3364" s="3">
        <v>2</v>
      </c>
      <c r="G3364" s="6" t="s">
        <v>15</v>
      </c>
    </row>
    <row r="3365" spans="1:7" x14ac:dyDescent="0.3">
      <c r="A3365" s="2" t="s">
        <v>4234</v>
      </c>
      <c r="B3365" s="2" t="s">
        <v>4235</v>
      </c>
      <c r="C3365" s="6" t="s">
        <v>4236</v>
      </c>
      <c r="D3365" s="1">
        <v>45404</v>
      </c>
      <c r="E3365" s="4">
        <v>265.95999999999998</v>
      </c>
      <c r="F3365" s="3">
        <v>3</v>
      </c>
      <c r="G3365" s="6" t="s">
        <v>18</v>
      </c>
    </row>
    <row r="3366" spans="1:7" x14ac:dyDescent="0.3">
      <c r="A3366" s="2" t="s">
        <v>4237</v>
      </c>
      <c r="B3366" s="2" t="s">
        <v>4235</v>
      </c>
      <c r="C3366" s="6" t="s">
        <v>4236</v>
      </c>
      <c r="D3366" s="1">
        <v>45650</v>
      </c>
      <c r="E3366" s="4">
        <v>292.75</v>
      </c>
      <c r="F3366" s="3">
        <v>2</v>
      </c>
      <c r="G3366" s="6" t="s">
        <v>18</v>
      </c>
    </row>
    <row r="3367" spans="1:7" x14ac:dyDescent="0.3">
      <c r="A3367" s="2" t="s">
        <v>4238</v>
      </c>
      <c r="B3367" s="2" t="s">
        <v>4235</v>
      </c>
      <c r="C3367" s="6" t="s">
        <v>4236</v>
      </c>
      <c r="D3367" s="1">
        <v>45370</v>
      </c>
      <c r="E3367" s="4">
        <v>489.35</v>
      </c>
      <c r="F3367" s="3">
        <v>1</v>
      </c>
      <c r="G3367" s="6" t="s">
        <v>15</v>
      </c>
    </row>
    <row r="3368" spans="1:7" x14ac:dyDescent="0.3">
      <c r="A3368" s="2" t="s">
        <v>4239</v>
      </c>
      <c r="B3368" s="2" t="s">
        <v>4235</v>
      </c>
      <c r="C3368" s="6" t="s">
        <v>4236</v>
      </c>
      <c r="D3368" s="1">
        <v>45345</v>
      </c>
      <c r="E3368" s="4">
        <v>85.64</v>
      </c>
      <c r="F3368" s="3">
        <v>3</v>
      </c>
      <c r="G3368" s="6" t="s">
        <v>18</v>
      </c>
    </row>
    <row r="3369" spans="1:7" x14ac:dyDescent="0.3">
      <c r="A3369" s="2" t="s">
        <v>4240</v>
      </c>
      <c r="B3369" s="2" t="s">
        <v>4235</v>
      </c>
      <c r="C3369" s="6" t="s">
        <v>4236</v>
      </c>
      <c r="D3369" s="1">
        <v>45588</v>
      </c>
      <c r="E3369" s="4">
        <v>456.5</v>
      </c>
      <c r="F3369" s="3">
        <v>2</v>
      </c>
      <c r="G3369" s="6" t="s">
        <v>12</v>
      </c>
    </row>
    <row r="3370" spans="1:7" x14ac:dyDescent="0.3">
      <c r="A3370" s="2" t="s">
        <v>4241</v>
      </c>
      <c r="B3370" s="2" t="s">
        <v>4235</v>
      </c>
      <c r="C3370" s="6" t="s">
        <v>4236</v>
      </c>
      <c r="D3370" s="1">
        <v>45567</v>
      </c>
      <c r="E3370" s="4">
        <v>136.71</v>
      </c>
      <c r="F3370" s="3">
        <v>1</v>
      </c>
      <c r="G3370" s="6" t="s">
        <v>18</v>
      </c>
    </row>
    <row r="3371" spans="1:7" x14ac:dyDescent="0.3">
      <c r="A3371" s="2" t="s">
        <v>4242</v>
      </c>
      <c r="B3371" s="2" t="s">
        <v>4235</v>
      </c>
      <c r="C3371" s="6" t="s">
        <v>4236</v>
      </c>
      <c r="D3371" s="1">
        <v>45655</v>
      </c>
      <c r="E3371" s="4">
        <v>32.81</v>
      </c>
      <c r="F3371" s="3">
        <v>2</v>
      </c>
      <c r="G3371" s="6" t="s">
        <v>10</v>
      </c>
    </row>
    <row r="3372" spans="1:7" x14ac:dyDescent="0.3">
      <c r="A3372" s="2" t="s">
        <v>4243</v>
      </c>
      <c r="B3372" s="2" t="s">
        <v>4235</v>
      </c>
      <c r="C3372" s="6" t="s">
        <v>4236</v>
      </c>
      <c r="D3372" s="1">
        <v>45399</v>
      </c>
      <c r="E3372" s="4">
        <v>147.82</v>
      </c>
      <c r="F3372" s="3">
        <v>4</v>
      </c>
      <c r="G3372" s="6" t="s">
        <v>10</v>
      </c>
    </row>
    <row r="3373" spans="1:7" x14ac:dyDescent="0.3">
      <c r="A3373" s="2" t="s">
        <v>4244</v>
      </c>
      <c r="B3373" s="2" t="s">
        <v>4235</v>
      </c>
      <c r="C3373" s="6" t="s">
        <v>4236</v>
      </c>
      <c r="D3373" s="1">
        <v>45366</v>
      </c>
      <c r="E3373" s="4">
        <v>200.79</v>
      </c>
      <c r="F3373" s="3">
        <v>4</v>
      </c>
      <c r="G3373" s="6" t="s">
        <v>12</v>
      </c>
    </row>
    <row r="3374" spans="1:7" x14ac:dyDescent="0.3">
      <c r="A3374" s="2" t="s">
        <v>4245</v>
      </c>
      <c r="B3374" s="2" t="s">
        <v>4235</v>
      </c>
      <c r="C3374" s="6" t="s">
        <v>4236</v>
      </c>
      <c r="D3374" s="1">
        <v>45543</v>
      </c>
      <c r="E3374" s="4">
        <v>281.8</v>
      </c>
      <c r="F3374" s="3">
        <v>3</v>
      </c>
      <c r="G3374" s="6" t="s">
        <v>10</v>
      </c>
    </row>
    <row r="3375" spans="1:7" x14ac:dyDescent="0.3">
      <c r="A3375" s="2" t="s">
        <v>4246</v>
      </c>
      <c r="B3375" s="2" t="s">
        <v>4235</v>
      </c>
      <c r="C3375" s="6" t="s">
        <v>4236</v>
      </c>
      <c r="D3375" s="1">
        <v>45350</v>
      </c>
      <c r="E3375" s="4">
        <v>103.5</v>
      </c>
      <c r="F3375" s="3">
        <v>1</v>
      </c>
      <c r="G3375" s="6" t="s">
        <v>18</v>
      </c>
    </row>
    <row r="3376" spans="1:7" x14ac:dyDescent="0.3">
      <c r="A3376" s="2" t="s">
        <v>4247</v>
      </c>
      <c r="B3376" s="2" t="s">
        <v>4235</v>
      </c>
      <c r="C3376" s="6" t="s">
        <v>4236</v>
      </c>
      <c r="D3376" s="1">
        <v>45366</v>
      </c>
      <c r="E3376" s="4">
        <v>134.36000000000001</v>
      </c>
      <c r="F3376" s="3">
        <v>2</v>
      </c>
      <c r="G3376" s="6" t="s">
        <v>38</v>
      </c>
    </row>
    <row r="3377" spans="1:7" x14ac:dyDescent="0.3">
      <c r="A3377" s="2" t="s">
        <v>4248</v>
      </c>
      <c r="B3377" s="2" t="s">
        <v>4235</v>
      </c>
      <c r="C3377" s="6" t="s">
        <v>4236</v>
      </c>
      <c r="D3377" s="1">
        <v>45439</v>
      </c>
      <c r="E3377" s="4">
        <v>487.2</v>
      </c>
      <c r="F3377" s="3">
        <v>2</v>
      </c>
      <c r="G3377" s="6" t="s">
        <v>26</v>
      </c>
    </row>
    <row r="3378" spans="1:7" x14ac:dyDescent="0.3">
      <c r="A3378" s="2" t="s">
        <v>4249</v>
      </c>
      <c r="B3378" s="2" t="s">
        <v>4235</v>
      </c>
      <c r="C3378" s="6" t="s">
        <v>4236</v>
      </c>
      <c r="D3378" s="1">
        <v>45510</v>
      </c>
      <c r="E3378" s="4">
        <v>124.04</v>
      </c>
      <c r="F3378" s="3">
        <v>1</v>
      </c>
      <c r="G3378" s="6" t="s">
        <v>15</v>
      </c>
    </row>
    <row r="3379" spans="1:7" x14ac:dyDescent="0.3">
      <c r="A3379" s="2" t="s">
        <v>4250</v>
      </c>
      <c r="B3379" s="2" t="s">
        <v>4251</v>
      </c>
      <c r="C3379" s="6" t="s">
        <v>4252</v>
      </c>
      <c r="D3379" s="1">
        <v>45465</v>
      </c>
      <c r="E3379" s="4">
        <v>294.18</v>
      </c>
      <c r="F3379" s="3">
        <v>2</v>
      </c>
      <c r="G3379" s="6" t="s">
        <v>18</v>
      </c>
    </row>
    <row r="3380" spans="1:7" x14ac:dyDescent="0.3">
      <c r="A3380" s="2" t="s">
        <v>4253</v>
      </c>
      <c r="B3380" s="2" t="s">
        <v>4251</v>
      </c>
      <c r="C3380" s="6" t="s">
        <v>4252</v>
      </c>
      <c r="D3380" s="1">
        <v>45488</v>
      </c>
      <c r="E3380" s="4">
        <v>91.54</v>
      </c>
      <c r="F3380" s="3">
        <v>2</v>
      </c>
      <c r="G3380" s="6" t="s">
        <v>38</v>
      </c>
    </row>
    <row r="3381" spans="1:7" x14ac:dyDescent="0.3">
      <c r="A3381" s="2" t="s">
        <v>4254</v>
      </c>
      <c r="B3381" s="2" t="s">
        <v>4255</v>
      </c>
      <c r="C3381" s="6" t="s">
        <v>4256</v>
      </c>
      <c r="D3381" s="1">
        <v>45569</v>
      </c>
      <c r="E3381" s="4">
        <v>181.73</v>
      </c>
      <c r="F3381" s="3">
        <v>2</v>
      </c>
      <c r="G3381" s="6" t="s">
        <v>18</v>
      </c>
    </row>
    <row r="3382" spans="1:7" x14ac:dyDescent="0.3">
      <c r="A3382" s="2" t="s">
        <v>4257</v>
      </c>
      <c r="B3382" s="2" t="s">
        <v>4255</v>
      </c>
      <c r="C3382" s="6" t="s">
        <v>4256</v>
      </c>
      <c r="D3382" s="1">
        <v>45551</v>
      </c>
      <c r="E3382" s="4">
        <v>287.17</v>
      </c>
      <c r="F3382" s="3">
        <v>1</v>
      </c>
      <c r="G3382" s="6" t="s">
        <v>18</v>
      </c>
    </row>
    <row r="3383" spans="1:7" x14ac:dyDescent="0.3">
      <c r="A3383" s="2" t="s">
        <v>4258</v>
      </c>
      <c r="B3383" s="2" t="s">
        <v>4255</v>
      </c>
      <c r="C3383" s="6" t="s">
        <v>4256</v>
      </c>
      <c r="D3383" s="1">
        <v>45557</v>
      </c>
      <c r="E3383" s="4">
        <v>487.78</v>
      </c>
      <c r="F3383" s="3">
        <v>2</v>
      </c>
      <c r="G3383" s="6" t="s">
        <v>18</v>
      </c>
    </row>
    <row r="3384" spans="1:7" x14ac:dyDescent="0.3">
      <c r="A3384" s="2" t="s">
        <v>4259</v>
      </c>
      <c r="B3384" s="2" t="s">
        <v>4255</v>
      </c>
      <c r="C3384" s="6" t="s">
        <v>4256</v>
      </c>
      <c r="D3384" s="1">
        <v>45565</v>
      </c>
      <c r="E3384" s="4">
        <v>265.29000000000002</v>
      </c>
      <c r="F3384" s="3">
        <v>4</v>
      </c>
      <c r="G3384" s="6" t="s">
        <v>26</v>
      </c>
    </row>
    <row r="3385" spans="1:7" x14ac:dyDescent="0.3">
      <c r="A3385" s="2" t="s">
        <v>4260</v>
      </c>
      <c r="B3385" s="2" t="s">
        <v>4255</v>
      </c>
      <c r="C3385" s="6" t="s">
        <v>4256</v>
      </c>
      <c r="D3385" s="1">
        <v>45561</v>
      </c>
      <c r="E3385" s="4">
        <v>108.61</v>
      </c>
      <c r="F3385" s="3">
        <v>3</v>
      </c>
      <c r="G3385" s="6" t="s">
        <v>15</v>
      </c>
    </row>
    <row r="3386" spans="1:7" x14ac:dyDescent="0.3">
      <c r="A3386" s="2" t="s">
        <v>4261</v>
      </c>
      <c r="B3386" s="2" t="s">
        <v>4255</v>
      </c>
      <c r="C3386" s="6" t="s">
        <v>4256</v>
      </c>
      <c r="D3386" s="1">
        <v>45646</v>
      </c>
      <c r="E3386" s="4">
        <v>223.4</v>
      </c>
      <c r="F3386" s="3">
        <v>1</v>
      </c>
      <c r="G3386" s="6" t="s">
        <v>12</v>
      </c>
    </row>
    <row r="3387" spans="1:7" x14ac:dyDescent="0.3">
      <c r="A3387" s="2" t="s">
        <v>4262</v>
      </c>
      <c r="B3387" s="2" t="s">
        <v>4255</v>
      </c>
      <c r="C3387" s="6" t="s">
        <v>4256</v>
      </c>
      <c r="D3387" s="1">
        <v>45595</v>
      </c>
      <c r="E3387" s="4">
        <v>329.85</v>
      </c>
      <c r="F3387" s="3">
        <v>2</v>
      </c>
      <c r="G3387" s="6" t="s">
        <v>18</v>
      </c>
    </row>
    <row r="3388" spans="1:7" x14ac:dyDescent="0.3">
      <c r="A3388" s="2" t="s">
        <v>4263</v>
      </c>
      <c r="B3388" s="2" t="s">
        <v>4255</v>
      </c>
      <c r="C3388" s="6" t="s">
        <v>4256</v>
      </c>
      <c r="D3388" s="1">
        <v>45500</v>
      </c>
      <c r="E3388" s="4">
        <v>441.26</v>
      </c>
      <c r="F3388" s="3">
        <v>3</v>
      </c>
      <c r="G3388" s="6" t="s">
        <v>12</v>
      </c>
    </row>
    <row r="3389" spans="1:7" x14ac:dyDescent="0.3">
      <c r="A3389" s="2" t="s">
        <v>4264</v>
      </c>
      <c r="B3389" s="2" t="s">
        <v>4255</v>
      </c>
      <c r="C3389" s="6" t="s">
        <v>4256</v>
      </c>
      <c r="D3389" s="1">
        <v>45528</v>
      </c>
      <c r="E3389" s="4">
        <v>435.18</v>
      </c>
      <c r="F3389" s="3">
        <v>2</v>
      </c>
      <c r="G3389" s="6" t="s">
        <v>38</v>
      </c>
    </row>
    <row r="3390" spans="1:7" x14ac:dyDescent="0.3">
      <c r="A3390" s="2" t="s">
        <v>4265</v>
      </c>
      <c r="B3390" s="2" t="s">
        <v>4255</v>
      </c>
      <c r="C3390" s="6" t="s">
        <v>4256</v>
      </c>
      <c r="D3390" s="1">
        <v>45531</v>
      </c>
      <c r="E3390" s="4">
        <v>229.56</v>
      </c>
      <c r="F3390" s="3">
        <v>2</v>
      </c>
      <c r="G3390" s="6" t="s">
        <v>15</v>
      </c>
    </row>
    <row r="3391" spans="1:7" x14ac:dyDescent="0.3">
      <c r="A3391" s="2" t="s">
        <v>4266</v>
      </c>
      <c r="B3391" s="2" t="s">
        <v>4255</v>
      </c>
      <c r="C3391" s="6" t="s">
        <v>4256</v>
      </c>
      <c r="D3391" s="1">
        <v>45593</v>
      </c>
      <c r="E3391" s="4">
        <v>304.76</v>
      </c>
      <c r="F3391" s="3">
        <v>1</v>
      </c>
      <c r="G3391" s="6" t="s">
        <v>15</v>
      </c>
    </row>
    <row r="3392" spans="1:7" x14ac:dyDescent="0.3">
      <c r="A3392" s="2" t="s">
        <v>4267</v>
      </c>
      <c r="B3392" s="2" t="s">
        <v>4255</v>
      </c>
      <c r="C3392" s="6" t="s">
        <v>4256</v>
      </c>
      <c r="D3392" s="1">
        <v>45585</v>
      </c>
      <c r="E3392" s="4">
        <v>485.59</v>
      </c>
      <c r="F3392" s="3">
        <v>1</v>
      </c>
      <c r="G3392" s="6" t="s">
        <v>18</v>
      </c>
    </row>
    <row r="3393" spans="1:7" x14ac:dyDescent="0.3">
      <c r="A3393" s="2" t="s">
        <v>4268</v>
      </c>
      <c r="B3393" s="2" t="s">
        <v>4255</v>
      </c>
      <c r="C3393" s="6" t="s">
        <v>4256</v>
      </c>
      <c r="D3393" s="1">
        <v>45620</v>
      </c>
      <c r="E3393" s="4">
        <v>237.74</v>
      </c>
      <c r="F3393" s="3">
        <v>3</v>
      </c>
      <c r="G3393" s="6" t="s">
        <v>12</v>
      </c>
    </row>
    <row r="3394" spans="1:7" x14ac:dyDescent="0.3">
      <c r="A3394" s="2" t="s">
        <v>4269</v>
      </c>
      <c r="B3394" s="2" t="s">
        <v>4255</v>
      </c>
      <c r="C3394" s="6" t="s">
        <v>4256</v>
      </c>
      <c r="D3394" s="1">
        <v>45540</v>
      </c>
      <c r="E3394" s="4">
        <v>320.17</v>
      </c>
      <c r="F3394" s="3">
        <v>1</v>
      </c>
      <c r="G3394" s="6" t="s">
        <v>26</v>
      </c>
    </row>
    <row r="3395" spans="1:7" x14ac:dyDescent="0.3">
      <c r="A3395" s="2" t="s">
        <v>4270</v>
      </c>
      <c r="B3395" s="2" t="s">
        <v>4271</v>
      </c>
      <c r="C3395" s="6" t="s">
        <v>4272</v>
      </c>
      <c r="D3395" s="1">
        <v>45076</v>
      </c>
      <c r="E3395" s="4">
        <v>390.66</v>
      </c>
      <c r="F3395" s="3">
        <v>3</v>
      </c>
      <c r="G3395" s="6" t="s">
        <v>38</v>
      </c>
    </row>
    <row r="3396" spans="1:7" x14ac:dyDescent="0.3">
      <c r="A3396" s="2" t="s">
        <v>4273</v>
      </c>
      <c r="B3396" s="2" t="s">
        <v>4271</v>
      </c>
      <c r="C3396" s="6" t="s">
        <v>4272</v>
      </c>
      <c r="D3396" s="1">
        <v>45483</v>
      </c>
      <c r="E3396" s="4">
        <v>134.57</v>
      </c>
      <c r="F3396" s="3">
        <v>3</v>
      </c>
      <c r="G3396" s="6" t="s">
        <v>38</v>
      </c>
    </row>
    <row r="3397" spans="1:7" x14ac:dyDescent="0.3">
      <c r="A3397" s="2" t="s">
        <v>4274</v>
      </c>
      <c r="B3397" s="2" t="s">
        <v>4271</v>
      </c>
      <c r="C3397" s="6" t="s">
        <v>4272</v>
      </c>
      <c r="D3397" s="1">
        <v>45494</v>
      </c>
      <c r="E3397" s="4">
        <v>19.43</v>
      </c>
      <c r="F3397" s="3">
        <v>1</v>
      </c>
      <c r="G3397" s="6" t="s">
        <v>18</v>
      </c>
    </row>
    <row r="3398" spans="1:7" x14ac:dyDescent="0.3">
      <c r="A3398" s="2" t="s">
        <v>4275</v>
      </c>
      <c r="B3398" s="2" t="s">
        <v>4271</v>
      </c>
      <c r="C3398" s="6" t="s">
        <v>4272</v>
      </c>
      <c r="D3398" s="1">
        <v>45174</v>
      </c>
      <c r="E3398" s="4">
        <v>435.48</v>
      </c>
      <c r="F3398" s="3">
        <v>3</v>
      </c>
      <c r="G3398" s="6" t="s">
        <v>10</v>
      </c>
    </row>
    <row r="3399" spans="1:7" x14ac:dyDescent="0.3">
      <c r="A3399" s="2" t="s">
        <v>4276</v>
      </c>
      <c r="B3399" s="2" t="s">
        <v>4277</v>
      </c>
      <c r="C3399" s="6" t="s">
        <v>4278</v>
      </c>
      <c r="D3399" s="1">
        <v>45374</v>
      </c>
      <c r="E3399" s="4">
        <v>277.23</v>
      </c>
      <c r="F3399" s="3">
        <v>2</v>
      </c>
      <c r="G3399" s="6" t="s">
        <v>15</v>
      </c>
    </row>
    <row r="3400" spans="1:7" x14ac:dyDescent="0.3">
      <c r="A3400" s="2" t="s">
        <v>4279</v>
      </c>
      <c r="B3400" s="2" t="s">
        <v>4277</v>
      </c>
      <c r="C3400" s="6" t="s">
        <v>4278</v>
      </c>
      <c r="D3400" s="1">
        <v>45299</v>
      </c>
      <c r="E3400" s="4">
        <v>173.19</v>
      </c>
      <c r="F3400" s="3">
        <v>4</v>
      </c>
      <c r="G3400" s="6" t="s">
        <v>38</v>
      </c>
    </row>
    <row r="3401" spans="1:7" x14ac:dyDescent="0.3">
      <c r="A3401" s="2" t="s">
        <v>4280</v>
      </c>
      <c r="B3401" s="2" t="s">
        <v>4277</v>
      </c>
      <c r="C3401" s="6" t="s">
        <v>4278</v>
      </c>
      <c r="D3401" s="1">
        <v>45377</v>
      </c>
      <c r="E3401" s="4">
        <v>316.83</v>
      </c>
      <c r="F3401" s="3">
        <v>2</v>
      </c>
      <c r="G3401" s="6" t="s">
        <v>38</v>
      </c>
    </row>
    <row r="3402" spans="1:7" x14ac:dyDescent="0.3">
      <c r="A3402" s="2" t="s">
        <v>4281</v>
      </c>
      <c r="B3402" s="2" t="s">
        <v>4277</v>
      </c>
      <c r="C3402" s="6" t="s">
        <v>4278</v>
      </c>
      <c r="D3402" s="1">
        <v>45269</v>
      </c>
      <c r="E3402" s="4">
        <v>308.26</v>
      </c>
      <c r="F3402" s="3">
        <v>3</v>
      </c>
      <c r="G3402" s="6" t="s">
        <v>12</v>
      </c>
    </row>
    <row r="3403" spans="1:7" x14ac:dyDescent="0.3">
      <c r="A3403" s="2" t="s">
        <v>4282</v>
      </c>
      <c r="B3403" s="2" t="s">
        <v>4277</v>
      </c>
      <c r="C3403" s="6" t="s">
        <v>4278</v>
      </c>
      <c r="D3403" s="1">
        <v>45466</v>
      </c>
      <c r="E3403" s="4">
        <v>486.76</v>
      </c>
      <c r="F3403" s="3">
        <v>3</v>
      </c>
      <c r="G3403" s="6" t="s">
        <v>26</v>
      </c>
    </row>
    <row r="3404" spans="1:7" x14ac:dyDescent="0.3">
      <c r="A3404" s="2" t="s">
        <v>4283</v>
      </c>
      <c r="B3404" s="2" t="s">
        <v>4277</v>
      </c>
      <c r="C3404" s="6" t="s">
        <v>4278</v>
      </c>
      <c r="D3404" s="1">
        <v>45349</v>
      </c>
      <c r="E3404" s="4">
        <v>299.39</v>
      </c>
      <c r="F3404" s="3">
        <v>4</v>
      </c>
      <c r="G3404" s="6" t="s">
        <v>26</v>
      </c>
    </row>
    <row r="3405" spans="1:7" x14ac:dyDescent="0.3">
      <c r="A3405" s="2" t="s">
        <v>4284</v>
      </c>
      <c r="B3405" s="2" t="s">
        <v>4277</v>
      </c>
      <c r="C3405" s="6" t="s">
        <v>4278</v>
      </c>
      <c r="D3405" s="1">
        <v>45528</v>
      </c>
      <c r="E3405" s="4">
        <v>433.85</v>
      </c>
      <c r="F3405" s="3">
        <v>1</v>
      </c>
      <c r="G3405" s="6" t="s">
        <v>15</v>
      </c>
    </row>
    <row r="3406" spans="1:7" x14ac:dyDescent="0.3">
      <c r="A3406" s="2" t="s">
        <v>4285</v>
      </c>
      <c r="B3406" s="2" t="s">
        <v>4277</v>
      </c>
      <c r="C3406" s="6" t="s">
        <v>4278</v>
      </c>
      <c r="D3406" s="1">
        <v>45334</v>
      </c>
      <c r="E3406" s="4">
        <v>45.49</v>
      </c>
      <c r="F3406" s="3">
        <v>4</v>
      </c>
      <c r="G3406" s="6" t="s">
        <v>15</v>
      </c>
    </row>
    <row r="3407" spans="1:7" x14ac:dyDescent="0.3">
      <c r="A3407" s="2" t="s">
        <v>4286</v>
      </c>
      <c r="B3407" s="2" t="s">
        <v>4277</v>
      </c>
      <c r="C3407" s="6" t="s">
        <v>4278</v>
      </c>
      <c r="D3407" s="1">
        <v>45453</v>
      </c>
      <c r="E3407" s="4">
        <v>414.58</v>
      </c>
      <c r="F3407" s="3">
        <v>4</v>
      </c>
      <c r="G3407" s="6" t="s">
        <v>26</v>
      </c>
    </row>
    <row r="3408" spans="1:7" x14ac:dyDescent="0.3">
      <c r="A3408" s="2" t="s">
        <v>4287</v>
      </c>
      <c r="B3408" s="2" t="s">
        <v>4288</v>
      </c>
      <c r="C3408" s="6" t="s">
        <v>4289</v>
      </c>
      <c r="D3408" s="1">
        <v>45619</v>
      </c>
      <c r="E3408" s="4">
        <v>324.95</v>
      </c>
      <c r="F3408" s="3">
        <v>3</v>
      </c>
      <c r="G3408" s="6" t="s">
        <v>18</v>
      </c>
    </row>
    <row r="3409" spans="1:7" x14ac:dyDescent="0.3">
      <c r="A3409" s="2" t="s">
        <v>4290</v>
      </c>
      <c r="B3409" s="2" t="s">
        <v>4288</v>
      </c>
      <c r="C3409" s="6" t="s">
        <v>4289</v>
      </c>
      <c r="D3409" s="1">
        <v>45643</v>
      </c>
      <c r="E3409" s="4">
        <v>229.63</v>
      </c>
      <c r="F3409" s="3">
        <v>2</v>
      </c>
      <c r="G3409" s="6" t="s">
        <v>15</v>
      </c>
    </row>
    <row r="3410" spans="1:7" x14ac:dyDescent="0.3">
      <c r="A3410" s="2" t="s">
        <v>4291</v>
      </c>
      <c r="B3410" s="2" t="s">
        <v>4288</v>
      </c>
      <c r="C3410" s="6" t="s">
        <v>4289</v>
      </c>
      <c r="D3410" s="1">
        <v>45634</v>
      </c>
      <c r="E3410" s="4">
        <v>110.58</v>
      </c>
      <c r="F3410" s="3">
        <v>2</v>
      </c>
      <c r="G3410" s="6" t="s">
        <v>18</v>
      </c>
    </row>
    <row r="3411" spans="1:7" x14ac:dyDescent="0.3">
      <c r="A3411" s="2" t="s">
        <v>4292</v>
      </c>
      <c r="B3411" s="2" t="s">
        <v>4288</v>
      </c>
      <c r="C3411" s="6" t="s">
        <v>4289</v>
      </c>
      <c r="D3411" s="1">
        <v>45633</v>
      </c>
      <c r="E3411" s="4">
        <v>168.57</v>
      </c>
      <c r="F3411" s="3">
        <v>3</v>
      </c>
      <c r="G3411" s="6" t="s">
        <v>12</v>
      </c>
    </row>
    <row r="3412" spans="1:7" x14ac:dyDescent="0.3">
      <c r="A3412" s="2" t="s">
        <v>4293</v>
      </c>
      <c r="B3412" s="2" t="s">
        <v>4288</v>
      </c>
      <c r="C3412" s="6" t="s">
        <v>4289</v>
      </c>
      <c r="D3412" s="1">
        <v>45654</v>
      </c>
      <c r="E3412" s="4">
        <v>194.43</v>
      </c>
      <c r="F3412" s="3">
        <v>4</v>
      </c>
      <c r="G3412" s="6" t="s">
        <v>15</v>
      </c>
    </row>
    <row r="3413" spans="1:7" x14ac:dyDescent="0.3">
      <c r="A3413" s="2" t="s">
        <v>4294</v>
      </c>
      <c r="B3413" s="2" t="s">
        <v>4288</v>
      </c>
      <c r="C3413" s="6" t="s">
        <v>4289</v>
      </c>
      <c r="D3413" s="1">
        <v>45649</v>
      </c>
      <c r="E3413" s="4">
        <v>499.69</v>
      </c>
      <c r="F3413" s="3">
        <v>3</v>
      </c>
      <c r="G3413" s="6" t="s">
        <v>18</v>
      </c>
    </row>
    <row r="3414" spans="1:7" x14ac:dyDescent="0.3">
      <c r="A3414" s="2" t="s">
        <v>4295</v>
      </c>
      <c r="B3414" s="2" t="s">
        <v>4288</v>
      </c>
      <c r="C3414" s="6" t="s">
        <v>4289</v>
      </c>
      <c r="D3414" s="1">
        <v>45633</v>
      </c>
      <c r="E3414" s="4">
        <v>454.87</v>
      </c>
      <c r="F3414" s="3">
        <v>4</v>
      </c>
      <c r="G3414" s="6" t="s">
        <v>18</v>
      </c>
    </row>
    <row r="3415" spans="1:7" x14ac:dyDescent="0.3">
      <c r="A3415" s="2" t="s">
        <v>4296</v>
      </c>
      <c r="B3415" s="2" t="s">
        <v>4288</v>
      </c>
      <c r="C3415" s="6" t="s">
        <v>4289</v>
      </c>
      <c r="D3415" s="1">
        <v>45628</v>
      </c>
      <c r="E3415" s="4">
        <v>200.44</v>
      </c>
      <c r="F3415" s="3">
        <v>3</v>
      </c>
      <c r="G3415" s="6" t="s">
        <v>26</v>
      </c>
    </row>
    <row r="3416" spans="1:7" x14ac:dyDescent="0.3">
      <c r="A3416" s="2" t="s">
        <v>4297</v>
      </c>
      <c r="B3416" s="2" t="s">
        <v>4288</v>
      </c>
      <c r="C3416" s="6" t="s">
        <v>4289</v>
      </c>
      <c r="D3416" s="1">
        <v>45640</v>
      </c>
      <c r="E3416" s="4">
        <v>178.77</v>
      </c>
      <c r="F3416" s="3">
        <v>2</v>
      </c>
      <c r="G3416" s="6" t="s">
        <v>26</v>
      </c>
    </row>
    <row r="3417" spans="1:7" x14ac:dyDescent="0.3">
      <c r="A3417" s="2" t="s">
        <v>4298</v>
      </c>
      <c r="B3417" s="2" t="s">
        <v>4288</v>
      </c>
      <c r="C3417" s="6" t="s">
        <v>4289</v>
      </c>
      <c r="D3417" s="1">
        <v>45636</v>
      </c>
      <c r="E3417" s="4">
        <v>178.39</v>
      </c>
      <c r="F3417" s="3">
        <v>3</v>
      </c>
      <c r="G3417" s="6" t="s">
        <v>18</v>
      </c>
    </row>
    <row r="3418" spans="1:7" x14ac:dyDescent="0.3">
      <c r="A3418" s="2" t="s">
        <v>4299</v>
      </c>
      <c r="B3418" s="2" t="s">
        <v>4300</v>
      </c>
      <c r="C3418" s="6" t="s">
        <v>4301</v>
      </c>
      <c r="D3418" s="1">
        <v>45274</v>
      </c>
      <c r="E3418" s="4">
        <v>473.07</v>
      </c>
      <c r="F3418" s="3">
        <v>2</v>
      </c>
      <c r="G3418" s="6" t="s">
        <v>38</v>
      </c>
    </row>
    <row r="3419" spans="1:7" x14ac:dyDescent="0.3">
      <c r="A3419" s="2" t="s">
        <v>4302</v>
      </c>
      <c r="B3419" s="2" t="s">
        <v>4300</v>
      </c>
      <c r="C3419" s="6" t="s">
        <v>4301</v>
      </c>
      <c r="D3419" s="1">
        <v>45300</v>
      </c>
      <c r="E3419" s="4">
        <v>304.08999999999997</v>
      </c>
      <c r="F3419" s="3">
        <v>1</v>
      </c>
      <c r="G3419" s="6" t="s">
        <v>12</v>
      </c>
    </row>
    <row r="3420" spans="1:7" x14ac:dyDescent="0.3">
      <c r="A3420" s="2" t="s">
        <v>4303</v>
      </c>
      <c r="B3420" s="2" t="s">
        <v>4300</v>
      </c>
      <c r="C3420" s="6" t="s">
        <v>4301</v>
      </c>
      <c r="D3420" s="1">
        <v>45577</v>
      </c>
      <c r="E3420" s="4">
        <v>452.42</v>
      </c>
      <c r="F3420" s="3">
        <v>2</v>
      </c>
      <c r="G3420" s="6" t="s">
        <v>18</v>
      </c>
    </row>
    <row r="3421" spans="1:7" x14ac:dyDescent="0.3">
      <c r="A3421" s="2" t="s">
        <v>4304</v>
      </c>
      <c r="B3421" s="2" t="s">
        <v>4300</v>
      </c>
      <c r="C3421" s="6" t="s">
        <v>4301</v>
      </c>
      <c r="D3421" s="1">
        <v>45636</v>
      </c>
      <c r="E3421" s="4">
        <v>142.06</v>
      </c>
      <c r="F3421" s="3">
        <v>1</v>
      </c>
      <c r="G3421" s="6" t="s">
        <v>18</v>
      </c>
    </row>
    <row r="3422" spans="1:7" x14ac:dyDescent="0.3">
      <c r="A3422" s="2" t="s">
        <v>4305</v>
      </c>
      <c r="B3422" s="2" t="s">
        <v>4300</v>
      </c>
      <c r="C3422" s="6" t="s">
        <v>4301</v>
      </c>
      <c r="D3422" s="1">
        <v>45256</v>
      </c>
      <c r="E3422" s="4">
        <v>19.920000000000002</v>
      </c>
      <c r="F3422" s="3">
        <v>3</v>
      </c>
      <c r="G3422" s="6" t="s">
        <v>38</v>
      </c>
    </row>
    <row r="3423" spans="1:7" x14ac:dyDescent="0.3">
      <c r="A3423" s="2" t="s">
        <v>4306</v>
      </c>
      <c r="B3423" s="2" t="s">
        <v>4300</v>
      </c>
      <c r="C3423" s="6" t="s">
        <v>4301</v>
      </c>
      <c r="D3423" s="1">
        <v>45615</v>
      </c>
      <c r="E3423" s="4">
        <v>235.88</v>
      </c>
      <c r="F3423" s="3">
        <v>1</v>
      </c>
      <c r="G3423" s="6" t="s">
        <v>10</v>
      </c>
    </row>
    <row r="3424" spans="1:7" x14ac:dyDescent="0.3">
      <c r="A3424" s="2" t="s">
        <v>4307</v>
      </c>
      <c r="B3424" s="2" t="s">
        <v>4300</v>
      </c>
      <c r="C3424" s="6" t="s">
        <v>4301</v>
      </c>
      <c r="D3424" s="1">
        <v>45482</v>
      </c>
      <c r="E3424" s="4">
        <v>456.61</v>
      </c>
      <c r="F3424" s="3">
        <v>3</v>
      </c>
      <c r="G3424" s="6" t="s">
        <v>18</v>
      </c>
    </row>
    <row r="3425" spans="1:7" x14ac:dyDescent="0.3">
      <c r="A3425" s="2" t="s">
        <v>4308</v>
      </c>
      <c r="B3425" s="2" t="s">
        <v>4309</v>
      </c>
      <c r="C3425" s="6" t="s">
        <v>4310</v>
      </c>
      <c r="D3425" s="1">
        <v>45612</v>
      </c>
      <c r="E3425" s="4">
        <v>401.26</v>
      </c>
      <c r="F3425" s="3">
        <v>2</v>
      </c>
      <c r="G3425" s="6" t="s">
        <v>26</v>
      </c>
    </row>
    <row r="3426" spans="1:7" x14ac:dyDescent="0.3">
      <c r="A3426" s="2" t="s">
        <v>4311</v>
      </c>
      <c r="B3426" s="2" t="s">
        <v>4309</v>
      </c>
      <c r="C3426" s="6" t="s">
        <v>4310</v>
      </c>
      <c r="D3426" s="1">
        <v>45566</v>
      </c>
      <c r="E3426" s="4">
        <v>315.33999999999997</v>
      </c>
      <c r="F3426" s="3">
        <v>4</v>
      </c>
      <c r="G3426" s="6" t="s">
        <v>18</v>
      </c>
    </row>
    <row r="3427" spans="1:7" x14ac:dyDescent="0.3">
      <c r="A3427" s="2" t="s">
        <v>4312</v>
      </c>
      <c r="B3427" s="2" t="s">
        <v>4309</v>
      </c>
      <c r="C3427" s="6" t="s">
        <v>4310</v>
      </c>
      <c r="D3427" s="1">
        <v>45599</v>
      </c>
      <c r="E3427" s="4">
        <v>112.1</v>
      </c>
      <c r="F3427" s="3">
        <v>3</v>
      </c>
      <c r="G3427" s="6" t="s">
        <v>18</v>
      </c>
    </row>
    <row r="3428" spans="1:7" x14ac:dyDescent="0.3">
      <c r="A3428" s="2" t="s">
        <v>4313</v>
      </c>
      <c r="B3428" s="2" t="s">
        <v>4309</v>
      </c>
      <c r="C3428" s="6" t="s">
        <v>4310</v>
      </c>
      <c r="D3428" s="1">
        <v>45606</v>
      </c>
      <c r="E3428" s="4">
        <v>154.38</v>
      </c>
      <c r="F3428" s="3">
        <v>3</v>
      </c>
      <c r="G3428" s="6" t="s">
        <v>15</v>
      </c>
    </row>
    <row r="3429" spans="1:7" x14ac:dyDescent="0.3">
      <c r="A3429" s="2" t="s">
        <v>4314</v>
      </c>
      <c r="B3429" s="2" t="s">
        <v>4309</v>
      </c>
      <c r="C3429" s="6" t="s">
        <v>4310</v>
      </c>
      <c r="D3429" s="1">
        <v>45543</v>
      </c>
      <c r="E3429" s="4">
        <v>479.7</v>
      </c>
      <c r="F3429" s="3">
        <v>3</v>
      </c>
      <c r="G3429" s="6" t="s">
        <v>38</v>
      </c>
    </row>
    <row r="3430" spans="1:7" x14ac:dyDescent="0.3">
      <c r="A3430" s="2" t="s">
        <v>4315</v>
      </c>
      <c r="B3430" s="2" t="s">
        <v>4309</v>
      </c>
      <c r="C3430" s="6" t="s">
        <v>4310</v>
      </c>
      <c r="D3430" s="1">
        <v>45523</v>
      </c>
      <c r="E3430" s="4">
        <v>387.05</v>
      </c>
      <c r="F3430" s="3">
        <v>1</v>
      </c>
      <c r="G3430" s="6" t="s">
        <v>12</v>
      </c>
    </row>
    <row r="3431" spans="1:7" x14ac:dyDescent="0.3">
      <c r="A3431" s="2" t="s">
        <v>4316</v>
      </c>
      <c r="B3431" s="2" t="s">
        <v>4309</v>
      </c>
      <c r="C3431" s="6" t="s">
        <v>4310</v>
      </c>
      <c r="D3431" s="1">
        <v>45610</v>
      </c>
      <c r="E3431" s="4">
        <v>307.2</v>
      </c>
      <c r="F3431" s="3">
        <v>4</v>
      </c>
      <c r="G3431" s="6" t="s">
        <v>26</v>
      </c>
    </row>
    <row r="3432" spans="1:7" x14ac:dyDescent="0.3">
      <c r="A3432" s="2" t="s">
        <v>4317</v>
      </c>
      <c r="B3432" s="2" t="s">
        <v>4318</v>
      </c>
      <c r="C3432" s="6" t="s">
        <v>4319</v>
      </c>
      <c r="D3432" s="1">
        <v>45465</v>
      </c>
      <c r="E3432" s="4">
        <v>271.47000000000003</v>
      </c>
      <c r="F3432" s="3">
        <v>2</v>
      </c>
      <c r="G3432" s="6" t="s">
        <v>26</v>
      </c>
    </row>
    <row r="3433" spans="1:7" x14ac:dyDescent="0.3">
      <c r="A3433" s="2" t="s">
        <v>4320</v>
      </c>
      <c r="B3433" s="2" t="s">
        <v>4318</v>
      </c>
      <c r="C3433" s="6" t="s">
        <v>4319</v>
      </c>
      <c r="D3433" s="1">
        <v>45474</v>
      </c>
      <c r="E3433" s="4">
        <v>14.41</v>
      </c>
      <c r="F3433" s="3">
        <v>4</v>
      </c>
      <c r="G3433" s="6" t="s">
        <v>15</v>
      </c>
    </row>
    <row r="3434" spans="1:7" x14ac:dyDescent="0.3">
      <c r="A3434" s="2" t="s">
        <v>4321</v>
      </c>
      <c r="B3434" s="2" t="s">
        <v>4318</v>
      </c>
      <c r="C3434" s="6" t="s">
        <v>4319</v>
      </c>
      <c r="D3434" s="1">
        <v>45524</v>
      </c>
      <c r="E3434" s="4">
        <v>358.36</v>
      </c>
      <c r="F3434" s="3">
        <v>3</v>
      </c>
      <c r="G3434" s="6" t="s">
        <v>12</v>
      </c>
    </row>
    <row r="3435" spans="1:7" x14ac:dyDescent="0.3">
      <c r="A3435" s="2" t="s">
        <v>4322</v>
      </c>
      <c r="B3435" s="2" t="s">
        <v>4318</v>
      </c>
      <c r="C3435" s="6" t="s">
        <v>4319</v>
      </c>
      <c r="D3435" s="1">
        <v>45521</v>
      </c>
      <c r="E3435" s="4">
        <v>299.16000000000003</v>
      </c>
      <c r="F3435" s="3">
        <v>2</v>
      </c>
      <c r="G3435" s="6" t="s">
        <v>12</v>
      </c>
    </row>
    <row r="3436" spans="1:7" x14ac:dyDescent="0.3">
      <c r="A3436" s="2" t="s">
        <v>4323</v>
      </c>
      <c r="B3436" s="2" t="s">
        <v>4318</v>
      </c>
      <c r="C3436" s="6" t="s">
        <v>4319</v>
      </c>
      <c r="D3436" s="1">
        <v>45536</v>
      </c>
      <c r="E3436" s="4">
        <v>115.46</v>
      </c>
      <c r="F3436" s="3">
        <v>1</v>
      </c>
      <c r="G3436" s="6" t="s">
        <v>18</v>
      </c>
    </row>
    <row r="3437" spans="1:7" x14ac:dyDescent="0.3">
      <c r="A3437" s="2" t="s">
        <v>4324</v>
      </c>
      <c r="B3437" s="2" t="s">
        <v>4318</v>
      </c>
      <c r="C3437" s="6" t="s">
        <v>4319</v>
      </c>
      <c r="D3437" s="1">
        <v>45656</v>
      </c>
      <c r="E3437" s="4">
        <v>165.82</v>
      </c>
      <c r="F3437" s="3">
        <v>1</v>
      </c>
      <c r="G3437" s="6" t="s">
        <v>15</v>
      </c>
    </row>
    <row r="3438" spans="1:7" x14ac:dyDescent="0.3">
      <c r="A3438" s="2" t="s">
        <v>4325</v>
      </c>
      <c r="B3438" s="2" t="s">
        <v>4318</v>
      </c>
      <c r="C3438" s="6" t="s">
        <v>4319</v>
      </c>
      <c r="D3438" s="1">
        <v>45639</v>
      </c>
      <c r="E3438" s="4">
        <v>362.41</v>
      </c>
      <c r="F3438" s="3">
        <v>3</v>
      </c>
      <c r="G3438" s="6" t="s">
        <v>18</v>
      </c>
    </row>
    <row r="3439" spans="1:7" x14ac:dyDescent="0.3">
      <c r="A3439" s="2" t="s">
        <v>4326</v>
      </c>
      <c r="B3439" s="2" t="s">
        <v>4318</v>
      </c>
      <c r="C3439" s="6" t="s">
        <v>4319</v>
      </c>
      <c r="D3439" s="1">
        <v>45540</v>
      </c>
      <c r="E3439" s="4">
        <v>359.39</v>
      </c>
      <c r="F3439" s="3">
        <v>2</v>
      </c>
      <c r="G3439" s="6" t="s">
        <v>38</v>
      </c>
    </row>
    <row r="3440" spans="1:7" x14ac:dyDescent="0.3">
      <c r="A3440" s="2" t="s">
        <v>4327</v>
      </c>
      <c r="B3440" s="2" t="s">
        <v>4318</v>
      </c>
      <c r="C3440" s="6" t="s">
        <v>4319</v>
      </c>
      <c r="D3440" s="1">
        <v>45600</v>
      </c>
      <c r="E3440" s="4">
        <v>170.22</v>
      </c>
      <c r="F3440" s="3">
        <v>3</v>
      </c>
      <c r="G3440" s="6" t="s">
        <v>38</v>
      </c>
    </row>
    <row r="3441" spans="1:7" x14ac:dyDescent="0.3">
      <c r="A3441" s="2" t="s">
        <v>4328</v>
      </c>
      <c r="B3441" s="2" t="s">
        <v>4318</v>
      </c>
      <c r="C3441" s="6" t="s">
        <v>4319</v>
      </c>
      <c r="D3441" s="1">
        <v>45590</v>
      </c>
      <c r="E3441" s="4">
        <v>171.75</v>
      </c>
      <c r="F3441" s="3">
        <v>4</v>
      </c>
      <c r="G3441" s="6" t="s">
        <v>10</v>
      </c>
    </row>
    <row r="3442" spans="1:7" x14ac:dyDescent="0.3">
      <c r="A3442" s="2" t="s">
        <v>4329</v>
      </c>
      <c r="B3442" s="2" t="s">
        <v>4330</v>
      </c>
      <c r="C3442" s="6" t="s">
        <v>4331</v>
      </c>
      <c r="D3442" s="1">
        <v>45589</v>
      </c>
      <c r="E3442" s="4">
        <v>372.5</v>
      </c>
      <c r="F3442" s="3">
        <v>4</v>
      </c>
      <c r="G3442" s="6" t="s">
        <v>26</v>
      </c>
    </row>
    <row r="3443" spans="1:7" x14ac:dyDescent="0.3">
      <c r="A3443" s="2" t="s">
        <v>4332</v>
      </c>
      <c r="B3443" s="2" t="s">
        <v>4330</v>
      </c>
      <c r="C3443" s="6" t="s">
        <v>4331</v>
      </c>
      <c r="D3443" s="1">
        <v>45525</v>
      </c>
      <c r="E3443" s="4">
        <v>496.14</v>
      </c>
      <c r="F3443" s="3">
        <v>3</v>
      </c>
      <c r="G3443" s="6" t="s">
        <v>15</v>
      </c>
    </row>
    <row r="3444" spans="1:7" x14ac:dyDescent="0.3">
      <c r="A3444" s="2" t="s">
        <v>4333</v>
      </c>
      <c r="B3444" s="2" t="s">
        <v>4330</v>
      </c>
      <c r="C3444" s="6" t="s">
        <v>4331</v>
      </c>
      <c r="D3444" s="1">
        <v>45476</v>
      </c>
      <c r="E3444" s="4">
        <v>212.25</v>
      </c>
      <c r="F3444" s="3">
        <v>3</v>
      </c>
      <c r="G3444" s="6" t="s">
        <v>26</v>
      </c>
    </row>
    <row r="3445" spans="1:7" x14ac:dyDescent="0.3">
      <c r="A3445" s="2" t="s">
        <v>4334</v>
      </c>
      <c r="B3445" s="2" t="s">
        <v>4330</v>
      </c>
      <c r="C3445" s="6" t="s">
        <v>4331</v>
      </c>
      <c r="D3445" s="1">
        <v>45581</v>
      </c>
      <c r="E3445" s="4">
        <v>44.79</v>
      </c>
      <c r="F3445" s="3">
        <v>2</v>
      </c>
      <c r="G3445" s="6" t="s">
        <v>10</v>
      </c>
    </row>
    <row r="3446" spans="1:7" x14ac:dyDescent="0.3">
      <c r="A3446" s="2" t="s">
        <v>4335</v>
      </c>
      <c r="B3446" s="2" t="s">
        <v>4330</v>
      </c>
      <c r="C3446" s="6" t="s">
        <v>4331</v>
      </c>
      <c r="D3446" s="1">
        <v>45604</v>
      </c>
      <c r="E3446" s="4">
        <v>31.13</v>
      </c>
      <c r="F3446" s="3">
        <v>2</v>
      </c>
      <c r="G3446" s="6" t="s">
        <v>15</v>
      </c>
    </row>
    <row r="3447" spans="1:7" x14ac:dyDescent="0.3">
      <c r="A3447" s="2" t="s">
        <v>4336</v>
      </c>
      <c r="B3447" s="2" t="s">
        <v>4330</v>
      </c>
      <c r="C3447" s="6" t="s">
        <v>4331</v>
      </c>
      <c r="D3447" s="1">
        <v>45534</v>
      </c>
      <c r="E3447" s="4">
        <v>205.1</v>
      </c>
      <c r="F3447" s="3">
        <v>4</v>
      </c>
      <c r="G3447" s="6" t="s">
        <v>10</v>
      </c>
    </row>
    <row r="3448" spans="1:7" x14ac:dyDescent="0.3">
      <c r="A3448" s="2" t="s">
        <v>4337</v>
      </c>
      <c r="B3448" s="2" t="s">
        <v>4330</v>
      </c>
      <c r="C3448" s="6" t="s">
        <v>4331</v>
      </c>
      <c r="D3448" s="1">
        <v>45621</v>
      </c>
      <c r="E3448" s="4">
        <v>219.64</v>
      </c>
      <c r="F3448" s="3">
        <v>1</v>
      </c>
      <c r="G3448" s="6" t="s">
        <v>38</v>
      </c>
    </row>
    <row r="3449" spans="1:7" x14ac:dyDescent="0.3">
      <c r="A3449" s="2" t="s">
        <v>4338</v>
      </c>
      <c r="B3449" s="2" t="s">
        <v>4330</v>
      </c>
      <c r="C3449" s="6" t="s">
        <v>4331</v>
      </c>
      <c r="D3449" s="1">
        <v>45537</v>
      </c>
      <c r="E3449" s="4">
        <v>285.7</v>
      </c>
      <c r="F3449" s="3">
        <v>4</v>
      </c>
      <c r="G3449" s="6" t="s">
        <v>10</v>
      </c>
    </row>
    <row r="3450" spans="1:7" x14ac:dyDescent="0.3">
      <c r="A3450" s="2" t="s">
        <v>4339</v>
      </c>
      <c r="B3450" s="2" t="s">
        <v>4330</v>
      </c>
      <c r="C3450" s="6" t="s">
        <v>4331</v>
      </c>
      <c r="D3450" s="1">
        <v>45557</v>
      </c>
      <c r="E3450" s="4">
        <v>414.4</v>
      </c>
      <c r="F3450" s="3">
        <v>1</v>
      </c>
      <c r="G3450" s="6" t="s">
        <v>15</v>
      </c>
    </row>
    <row r="3451" spans="1:7" x14ac:dyDescent="0.3">
      <c r="A3451" s="2" t="s">
        <v>4340</v>
      </c>
      <c r="B3451" s="2" t="s">
        <v>4341</v>
      </c>
      <c r="C3451" s="6" t="s">
        <v>4342</v>
      </c>
      <c r="D3451" s="1">
        <v>45556</v>
      </c>
      <c r="E3451" s="4">
        <v>210.64</v>
      </c>
      <c r="F3451" s="3">
        <v>3</v>
      </c>
      <c r="G3451" s="6" t="s">
        <v>10</v>
      </c>
    </row>
    <row r="3452" spans="1:7" x14ac:dyDescent="0.3">
      <c r="A3452" s="2" t="s">
        <v>4343</v>
      </c>
      <c r="B3452" s="2" t="s">
        <v>4341</v>
      </c>
      <c r="C3452" s="6" t="s">
        <v>4342</v>
      </c>
      <c r="D3452" s="1">
        <v>45635</v>
      </c>
      <c r="E3452" s="4">
        <v>155.29</v>
      </c>
      <c r="F3452" s="3">
        <v>3</v>
      </c>
      <c r="G3452" s="6" t="s">
        <v>10</v>
      </c>
    </row>
    <row r="3453" spans="1:7" x14ac:dyDescent="0.3">
      <c r="A3453" s="2" t="s">
        <v>4344</v>
      </c>
      <c r="B3453" s="2" t="s">
        <v>4341</v>
      </c>
      <c r="C3453" s="6" t="s">
        <v>4342</v>
      </c>
      <c r="D3453" s="1">
        <v>45608</v>
      </c>
      <c r="E3453" s="4">
        <v>206.93</v>
      </c>
      <c r="F3453" s="3">
        <v>3</v>
      </c>
      <c r="G3453" s="6" t="s">
        <v>18</v>
      </c>
    </row>
    <row r="3454" spans="1:7" x14ac:dyDescent="0.3">
      <c r="A3454" s="2" t="s">
        <v>4345</v>
      </c>
      <c r="B3454" s="2" t="s">
        <v>4341</v>
      </c>
      <c r="C3454" s="6" t="s">
        <v>4342</v>
      </c>
      <c r="D3454" s="1">
        <v>45461</v>
      </c>
      <c r="E3454" s="4">
        <v>328.26</v>
      </c>
      <c r="F3454" s="3">
        <v>4</v>
      </c>
      <c r="G3454" s="6" t="s">
        <v>15</v>
      </c>
    </row>
    <row r="3455" spans="1:7" x14ac:dyDescent="0.3">
      <c r="A3455" s="2" t="s">
        <v>4346</v>
      </c>
      <c r="B3455" s="2" t="s">
        <v>4347</v>
      </c>
      <c r="C3455" s="6" t="s">
        <v>4348</v>
      </c>
      <c r="D3455" s="1">
        <v>45646</v>
      </c>
      <c r="E3455" s="4">
        <v>430.56</v>
      </c>
      <c r="F3455" s="3">
        <v>3</v>
      </c>
      <c r="G3455" s="6" t="s">
        <v>15</v>
      </c>
    </row>
    <row r="3456" spans="1:7" x14ac:dyDescent="0.3">
      <c r="A3456" s="2" t="s">
        <v>4349</v>
      </c>
      <c r="B3456" s="2" t="s">
        <v>4347</v>
      </c>
      <c r="C3456" s="6" t="s">
        <v>4348</v>
      </c>
      <c r="D3456" s="1">
        <v>45632</v>
      </c>
      <c r="E3456" s="4">
        <v>173.92</v>
      </c>
      <c r="F3456" s="3">
        <v>3</v>
      </c>
      <c r="G3456" s="6" t="s">
        <v>12</v>
      </c>
    </row>
    <row r="3457" spans="1:7" x14ac:dyDescent="0.3">
      <c r="A3457" s="2" t="s">
        <v>4350</v>
      </c>
      <c r="B3457" s="2" t="s">
        <v>4347</v>
      </c>
      <c r="C3457" s="6" t="s">
        <v>4348</v>
      </c>
      <c r="D3457" s="1">
        <v>45631</v>
      </c>
      <c r="E3457" s="4">
        <v>123.21</v>
      </c>
      <c r="F3457" s="3">
        <v>1</v>
      </c>
      <c r="G3457" s="6" t="s">
        <v>10</v>
      </c>
    </row>
    <row r="3458" spans="1:7" x14ac:dyDescent="0.3">
      <c r="A3458" s="2" t="s">
        <v>4351</v>
      </c>
      <c r="B3458" s="2" t="s">
        <v>4347</v>
      </c>
      <c r="C3458" s="6" t="s">
        <v>4348</v>
      </c>
      <c r="D3458" s="1">
        <v>45609</v>
      </c>
      <c r="E3458" s="4">
        <v>267.16000000000003</v>
      </c>
      <c r="F3458" s="3">
        <v>4</v>
      </c>
      <c r="G3458" s="6" t="s">
        <v>10</v>
      </c>
    </row>
    <row r="3459" spans="1:7" x14ac:dyDescent="0.3">
      <c r="A3459" s="2" t="s">
        <v>4352</v>
      </c>
      <c r="B3459" s="2" t="s">
        <v>4347</v>
      </c>
      <c r="C3459" s="6" t="s">
        <v>4348</v>
      </c>
      <c r="D3459" s="1">
        <v>45622</v>
      </c>
      <c r="E3459" s="4">
        <v>299.25</v>
      </c>
      <c r="F3459" s="3">
        <v>2</v>
      </c>
      <c r="G3459" s="6" t="s">
        <v>26</v>
      </c>
    </row>
    <row r="3460" spans="1:7" x14ac:dyDescent="0.3">
      <c r="A3460" s="2" t="s">
        <v>4353</v>
      </c>
      <c r="B3460" s="2" t="s">
        <v>4347</v>
      </c>
      <c r="C3460" s="6" t="s">
        <v>4348</v>
      </c>
      <c r="D3460" s="1">
        <v>45614</v>
      </c>
      <c r="E3460" s="4">
        <v>235.33</v>
      </c>
      <c r="F3460" s="3">
        <v>4</v>
      </c>
      <c r="G3460" s="6" t="s">
        <v>26</v>
      </c>
    </row>
    <row r="3461" spans="1:7" x14ac:dyDescent="0.3">
      <c r="A3461" s="2" t="s">
        <v>4354</v>
      </c>
      <c r="B3461" s="2" t="s">
        <v>4347</v>
      </c>
      <c r="C3461" s="6" t="s">
        <v>4348</v>
      </c>
      <c r="D3461" s="1">
        <v>45636</v>
      </c>
      <c r="E3461" s="4">
        <v>453.92</v>
      </c>
      <c r="F3461" s="3">
        <v>3</v>
      </c>
      <c r="G3461" s="6" t="s">
        <v>18</v>
      </c>
    </row>
    <row r="3462" spans="1:7" x14ac:dyDescent="0.3">
      <c r="A3462" s="2" t="s">
        <v>4355</v>
      </c>
      <c r="B3462" s="2" t="s">
        <v>4356</v>
      </c>
      <c r="C3462" s="6" t="s">
        <v>4357</v>
      </c>
      <c r="D3462" s="1">
        <v>45629</v>
      </c>
      <c r="E3462" s="4">
        <v>150.69</v>
      </c>
      <c r="F3462" s="3">
        <v>4</v>
      </c>
      <c r="G3462" s="6" t="s">
        <v>38</v>
      </c>
    </row>
    <row r="3463" spans="1:7" x14ac:dyDescent="0.3">
      <c r="A3463" s="2" t="s">
        <v>4358</v>
      </c>
      <c r="B3463" s="2" t="s">
        <v>4356</v>
      </c>
      <c r="C3463" s="6" t="s">
        <v>4357</v>
      </c>
      <c r="D3463" s="1">
        <v>45652</v>
      </c>
      <c r="E3463" s="4">
        <v>448.25</v>
      </c>
      <c r="F3463" s="3">
        <v>1</v>
      </c>
      <c r="G3463" s="6" t="s">
        <v>26</v>
      </c>
    </row>
    <row r="3464" spans="1:7" x14ac:dyDescent="0.3">
      <c r="A3464" s="2" t="s">
        <v>4359</v>
      </c>
      <c r="B3464" s="2" t="s">
        <v>4356</v>
      </c>
      <c r="C3464" s="6" t="s">
        <v>4357</v>
      </c>
      <c r="D3464" s="1">
        <v>45633</v>
      </c>
      <c r="E3464" s="4">
        <v>269.58999999999997</v>
      </c>
      <c r="F3464" s="3">
        <v>4</v>
      </c>
      <c r="G3464" s="6" t="s">
        <v>26</v>
      </c>
    </row>
    <row r="3465" spans="1:7" x14ac:dyDescent="0.3">
      <c r="A3465" s="2" t="s">
        <v>4360</v>
      </c>
      <c r="B3465" s="2" t="s">
        <v>4356</v>
      </c>
      <c r="C3465" s="6" t="s">
        <v>4357</v>
      </c>
      <c r="D3465" s="1">
        <v>45619</v>
      </c>
      <c r="E3465" s="4">
        <v>120.23</v>
      </c>
      <c r="F3465" s="3">
        <v>2</v>
      </c>
      <c r="G3465" s="6" t="s">
        <v>18</v>
      </c>
    </row>
    <row r="3466" spans="1:7" x14ac:dyDescent="0.3">
      <c r="A3466" s="2" t="s">
        <v>4361</v>
      </c>
      <c r="B3466" s="2" t="s">
        <v>4356</v>
      </c>
      <c r="C3466" s="6" t="s">
        <v>4357</v>
      </c>
      <c r="D3466" s="1">
        <v>45649</v>
      </c>
      <c r="E3466" s="4">
        <v>316.66000000000003</v>
      </c>
      <c r="F3466" s="3">
        <v>2</v>
      </c>
      <c r="G3466" s="6" t="s">
        <v>12</v>
      </c>
    </row>
    <row r="3467" spans="1:7" x14ac:dyDescent="0.3">
      <c r="A3467" s="2" t="s">
        <v>4362</v>
      </c>
      <c r="B3467" s="2" t="s">
        <v>4356</v>
      </c>
      <c r="C3467" s="6" t="s">
        <v>4357</v>
      </c>
      <c r="D3467" s="1">
        <v>45638</v>
      </c>
      <c r="E3467" s="4">
        <v>252.82</v>
      </c>
      <c r="F3467" s="3">
        <v>3</v>
      </c>
      <c r="G3467" s="6" t="s">
        <v>10</v>
      </c>
    </row>
    <row r="3468" spans="1:7" x14ac:dyDescent="0.3">
      <c r="A3468" s="2" t="s">
        <v>4363</v>
      </c>
      <c r="B3468" s="2" t="s">
        <v>4356</v>
      </c>
      <c r="C3468" s="6" t="s">
        <v>4357</v>
      </c>
      <c r="D3468" s="1">
        <v>45611</v>
      </c>
      <c r="E3468" s="4">
        <v>308.69</v>
      </c>
      <c r="F3468" s="3">
        <v>2</v>
      </c>
      <c r="G3468" s="6" t="s">
        <v>26</v>
      </c>
    </row>
    <row r="3469" spans="1:7" x14ac:dyDescent="0.3">
      <c r="A3469" s="2" t="s">
        <v>4364</v>
      </c>
      <c r="B3469" s="2" t="s">
        <v>4356</v>
      </c>
      <c r="C3469" s="6" t="s">
        <v>4357</v>
      </c>
      <c r="D3469" s="1">
        <v>45617</v>
      </c>
      <c r="E3469" s="4">
        <v>286.26</v>
      </c>
      <c r="F3469" s="3">
        <v>2</v>
      </c>
      <c r="G3469" s="6" t="s">
        <v>26</v>
      </c>
    </row>
    <row r="3470" spans="1:7" x14ac:dyDescent="0.3">
      <c r="A3470" s="2" t="s">
        <v>4365</v>
      </c>
      <c r="B3470" s="2" t="s">
        <v>4366</v>
      </c>
      <c r="C3470" s="6" t="s">
        <v>4367</v>
      </c>
      <c r="D3470" s="1">
        <v>45344</v>
      </c>
      <c r="E3470" s="4">
        <v>207.84</v>
      </c>
      <c r="F3470" s="3">
        <v>3</v>
      </c>
      <c r="G3470" s="6" t="s">
        <v>26</v>
      </c>
    </row>
    <row r="3471" spans="1:7" x14ac:dyDescent="0.3">
      <c r="A3471" s="2" t="s">
        <v>4368</v>
      </c>
      <c r="B3471" s="2" t="s">
        <v>4366</v>
      </c>
      <c r="C3471" s="6" t="s">
        <v>4367</v>
      </c>
      <c r="D3471" s="1">
        <v>45645</v>
      </c>
      <c r="E3471" s="4">
        <v>436.88</v>
      </c>
      <c r="F3471" s="3">
        <v>4</v>
      </c>
      <c r="G3471" s="6" t="s">
        <v>18</v>
      </c>
    </row>
    <row r="3472" spans="1:7" x14ac:dyDescent="0.3">
      <c r="A3472" s="2" t="s">
        <v>4369</v>
      </c>
      <c r="B3472" s="2" t="s">
        <v>4366</v>
      </c>
      <c r="C3472" s="6" t="s">
        <v>4367</v>
      </c>
      <c r="D3472" s="1">
        <v>45605</v>
      </c>
      <c r="E3472" s="4">
        <v>272.91000000000003</v>
      </c>
      <c r="F3472" s="3">
        <v>3</v>
      </c>
      <c r="G3472" s="6" t="s">
        <v>12</v>
      </c>
    </row>
    <row r="3473" spans="1:7" x14ac:dyDescent="0.3">
      <c r="A3473" s="2" t="s">
        <v>4370</v>
      </c>
      <c r="B3473" s="2" t="s">
        <v>4366</v>
      </c>
      <c r="C3473" s="6" t="s">
        <v>4367</v>
      </c>
      <c r="D3473" s="1">
        <v>45395</v>
      </c>
      <c r="E3473" s="4">
        <v>301.12</v>
      </c>
      <c r="F3473" s="3">
        <v>4</v>
      </c>
      <c r="G3473" s="6" t="s">
        <v>15</v>
      </c>
    </row>
    <row r="3474" spans="1:7" x14ac:dyDescent="0.3">
      <c r="A3474" s="2" t="s">
        <v>4371</v>
      </c>
      <c r="B3474" s="2" t="s">
        <v>4366</v>
      </c>
      <c r="C3474" s="6" t="s">
        <v>4367</v>
      </c>
      <c r="D3474" s="1">
        <v>45479</v>
      </c>
      <c r="E3474" s="4">
        <v>465.25</v>
      </c>
      <c r="F3474" s="3">
        <v>4</v>
      </c>
      <c r="G3474" s="6" t="s">
        <v>15</v>
      </c>
    </row>
    <row r="3475" spans="1:7" x14ac:dyDescent="0.3">
      <c r="A3475" s="2" t="s">
        <v>4372</v>
      </c>
      <c r="B3475" s="2" t="s">
        <v>4366</v>
      </c>
      <c r="C3475" s="6" t="s">
        <v>4367</v>
      </c>
      <c r="D3475" s="1">
        <v>45614</v>
      </c>
      <c r="E3475" s="4">
        <v>467.24</v>
      </c>
      <c r="F3475" s="3">
        <v>4</v>
      </c>
      <c r="G3475" s="6" t="s">
        <v>12</v>
      </c>
    </row>
    <row r="3476" spans="1:7" x14ac:dyDescent="0.3">
      <c r="A3476" s="2" t="s">
        <v>4373</v>
      </c>
      <c r="B3476" s="2" t="s">
        <v>4366</v>
      </c>
      <c r="C3476" s="6" t="s">
        <v>4367</v>
      </c>
      <c r="D3476" s="1">
        <v>45372</v>
      </c>
      <c r="E3476" s="4">
        <v>152.46</v>
      </c>
      <c r="F3476" s="3">
        <v>3</v>
      </c>
      <c r="G3476" s="6" t="s">
        <v>15</v>
      </c>
    </row>
    <row r="3477" spans="1:7" x14ac:dyDescent="0.3">
      <c r="A3477" s="2" t="s">
        <v>4374</v>
      </c>
      <c r="B3477" s="2" t="s">
        <v>4366</v>
      </c>
      <c r="C3477" s="6" t="s">
        <v>4367</v>
      </c>
      <c r="D3477" s="1">
        <v>45557</v>
      </c>
      <c r="E3477" s="4">
        <v>330.27</v>
      </c>
      <c r="F3477" s="3">
        <v>2</v>
      </c>
      <c r="G3477" s="6" t="s">
        <v>18</v>
      </c>
    </row>
    <row r="3478" spans="1:7" x14ac:dyDescent="0.3">
      <c r="A3478" s="2" t="s">
        <v>4375</v>
      </c>
      <c r="B3478" s="2" t="s">
        <v>4366</v>
      </c>
      <c r="C3478" s="6" t="s">
        <v>4367</v>
      </c>
      <c r="D3478" s="1">
        <v>45358</v>
      </c>
      <c r="E3478" s="4">
        <v>249.48</v>
      </c>
      <c r="F3478" s="3">
        <v>3</v>
      </c>
      <c r="G3478" s="6" t="s">
        <v>18</v>
      </c>
    </row>
    <row r="3479" spans="1:7" x14ac:dyDescent="0.3">
      <c r="A3479" s="2" t="s">
        <v>4376</v>
      </c>
      <c r="B3479" s="2" t="s">
        <v>4377</v>
      </c>
      <c r="C3479" s="6" t="s">
        <v>4378</v>
      </c>
      <c r="D3479" s="1">
        <v>45542</v>
      </c>
      <c r="E3479" s="4">
        <v>190.47</v>
      </c>
      <c r="F3479" s="3">
        <v>4</v>
      </c>
      <c r="G3479" s="6" t="s">
        <v>15</v>
      </c>
    </row>
    <row r="3480" spans="1:7" x14ac:dyDescent="0.3">
      <c r="A3480" s="2" t="s">
        <v>4379</v>
      </c>
      <c r="B3480" s="2" t="s">
        <v>4377</v>
      </c>
      <c r="C3480" s="6" t="s">
        <v>4378</v>
      </c>
      <c r="D3480" s="1">
        <v>45631</v>
      </c>
      <c r="E3480" s="4">
        <v>466.73</v>
      </c>
      <c r="F3480" s="3">
        <v>4</v>
      </c>
      <c r="G3480" s="6" t="s">
        <v>38</v>
      </c>
    </row>
    <row r="3481" spans="1:7" x14ac:dyDescent="0.3">
      <c r="A3481" s="2" t="s">
        <v>4380</v>
      </c>
      <c r="B3481" s="2" t="s">
        <v>4377</v>
      </c>
      <c r="C3481" s="6" t="s">
        <v>4378</v>
      </c>
      <c r="D3481" s="1">
        <v>45573</v>
      </c>
      <c r="E3481" s="4">
        <v>92.27</v>
      </c>
      <c r="F3481" s="3">
        <v>1</v>
      </c>
      <c r="G3481" s="6" t="s">
        <v>26</v>
      </c>
    </row>
    <row r="3482" spans="1:7" x14ac:dyDescent="0.3">
      <c r="A3482" s="2" t="s">
        <v>4381</v>
      </c>
      <c r="B3482" s="2" t="s">
        <v>4377</v>
      </c>
      <c r="C3482" s="6" t="s">
        <v>4378</v>
      </c>
      <c r="D3482" s="1">
        <v>45527</v>
      </c>
      <c r="E3482" s="4">
        <v>242.85</v>
      </c>
      <c r="F3482" s="3">
        <v>4</v>
      </c>
      <c r="G3482" s="6" t="s">
        <v>26</v>
      </c>
    </row>
    <row r="3483" spans="1:7" x14ac:dyDescent="0.3">
      <c r="A3483" s="2" t="s">
        <v>4382</v>
      </c>
      <c r="B3483" s="2" t="s">
        <v>4377</v>
      </c>
      <c r="C3483" s="6" t="s">
        <v>4378</v>
      </c>
      <c r="D3483" s="1">
        <v>45612</v>
      </c>
      <c r="E3483" s="4">
        <v>46.34</v>
      </c>
      <c r="F3483" s="3">
        <v>4</v>
      </c>
      <c r="G3483" s="6" t="s">
        <v>38</v>
      </c>
    </row>
    <row r="3484" spans="1:7" x14ac:dyDescent="0.3">
      <c r="A3484" s="2" t="s">
        <v>4383</v>
      </c>
      <c r="B3484" s="2" t="s">
        <v>4377</v>
      </c>
      <c r="C3484" s="6" t="s">
        <v>4378</v>
      </c>
      <c r="D3484" s="1">
        <v>45615</v>
      </c>
      <c r="E3484" s="4">
        <v>496.37</v>
      </c>
      <c r="F3484" s="3">
        <v>3</v>
      </c>
      <c r="G3484" s="6" t="s">
        <v>10</v>
      </c>
    </row>
    <row r="3485" spans="1:7" x14ac:dyDescent="0.3">
      <c r="A3485" s="2" t="s">
        <v>4384</v>
      </c>
      <c r="B3485" s="2" t="s">
        <v>4377</v>
      </c>
      <c r="C3485" s="6" t="s">
        <v>4378</v>
      </c>
      <c r="D3485" s="1">
        <v>45649</v>
      </c>
      <c r="E3485" s="4">
        <v>166.12</v>
      </c>
      <c r="F3485" s="3">
        <v>3</v>
      </c>
      <c r="G3485" s="6" t="s">
        <v>38</v>
      </c>
    </row>
    <row r="3486" spans="1:7" x14ac:dyDescent="0.3">
      <c r="A3486" s="2" t="s">
        <v>4385</v>
      </c>
      <c r="B3486" s="2" t="s">
        <v>4377</v>
      </c>
      <c r="C3486" s="6" t="s">
        <v>4378</v>
      </c>
      <c r="D3486" s="1">
        <v>45627</v>
      </c>
      <c r="E3486" s="4">
        <v>304.01</v>
      </c>
      <c r="F3486" s="3">
        <v>4</v>
      </c>
      <c r="G3486" s="6" t="s">
        <v>15</v>
      </c>
    </row>
    <row r="3487" spans="1:7" x14ac:dyDescent="0.3">
      <c r="A3487" s="2" t="s">
        <v>4386</v>
      </c>
      <c r="B3487" s="2" t="s">
        <v>4377</v>
      </c>
      <c r="C3487" s="6" t="s">
        <v>4378</v>
      </c>
      <c r="D3487" s="1">
        <v>45550</v>
      </c>
      <c r="E3487" s="4">
        <v>228.6</v>
      </c>
      <c r="F3487" s="3">
        <v>2</v>
      </c>
      <c r="G3487" s="6" t="s">
        <v>26</v>
      </c>
    </row>
    <row r="3488" spans="1:7" x14ac:dyDescent="0.3">
      <c r="A3488" s="2" t="s">
        <v>4387</v>
      </c>
      <c r="B3488" s="2" t="s">
        <v>4377</v>
      </c>
      <c r="C3488" s="6" t="s">
        <v>4378</v>
      </c>
      <c r="D3488" s="1">
        <v>45616</v>
      </c>
      <c r="E3488" s="4">
        <v>360.26</v>
      </c>
      <c r="F3488" s="3">
        <v>1</v>
      </c>
      <c r="G3488" s="6" t="s">
        <v>38</v>
      </c>
    </row>
    <row r="3489" spans="1:7" x14ac:dyDescent="0.3">
      <c r="A3489" s="2" t="s">
        <v>4388</v>
      </c>
      <c r="B3489" s="2" t="s">
        <v>4377</v>
      </c>
      <c r="C3489" s="6" t="s">
        <v>4378</v>
      </c>
      <c r="D3489" s="1">
        <v>45528</v>
      </c>
      <c r="E3489" s="4">
        <v>358.94</v>
      </c>
      <c r="F3489" s="3">
        <v>1</v>
      </c>
      <c r="G3489" s="6" t="s">
        <v>12</v>
      </c>
    </row>
    <row r="3490" spans="1:7" x14ac:dyDescent="0.3">
      <c r="A3490" s="2" t="s">
        <v>4389</v>
      </c>
      <c r="B3490" s="2" t="s">
        <v>4377</v>
      </c>
      <c r="C3490" s="6" t="s">
        <v>4378</v>
      </c>
      <c r="D3490" s="1">
        <v>45597</v>
      </c>
      <c r="E3490" s="4">
        <v>11.66</v>
      </c>
      <c r="F3490" s="3">
        <v>1</v>
      </c>
      <c r="G3490" s="6" t="s">
        <v>18</v>
      </c>
    </row>
    <row r="3491" spans="1:7" x14ac:dyDescent="0.3">
      <c r="A3491" s="2" t="s">
        <v>4390</v>
      </c>
      <c r="B3491" s="2" t="s">
        <v>4377</v>
      </c>
      <c r="C3491" s="6" t="s">
        <v>4378</v>
      </c>
      <c r="D3491" s="1">
        <v>45612</v>
      </c>
      <c r="E3491" s="4">
        <v>58.61</v>
      </c>
      <c r="F3491" s="3">
        <v>3</v>
      </c>
      <c r="G3491" s="6" t="s">
        <v>38</v>
      </c>
    </row>
    <row r="3492" spans="1:7" x14ac:dyDescent="0.3">
      <c r="A3492" s="2" t="s">
        <v>4391</v>
      </c>
      <c r="B3492" s="2" t="s">
        <v>4377</v>
      </c>
      <c r="C3492" s="6" t="s">
        <v>4378</v>
      </c>
      <c r="D3492" s="1">
        <v>45619</v>
      </c>
      <c r="E3492" s="4">
        <v>46.04</v>
      </c>
      <c r="F3492" s="3">
        <v>4</v>
      </c>
      <c r="G3492" s="6" t="s">
        <v>12</v>
      </c>
    </row>
    <row r="3493" spans="1:7" x14ac:dyDescent="0.3">
      <c r="A3493" s="2" t="s">
        <v>4392</v>
      </c>
      <c r="B3493" s="2" t="s">
        <v>4377</v>
      </c>
      <c r="C3493" s="6" t="s">
        <v>4378</v>
      </c>
      <c r="D3493" s="1">
        <v>45533</v>
      </c>
      <c r="E3493" s="4">
        <v>224.19</v>
      </c>
      <c r="F3493" s="3">
        <v>4</v>
      </c>
      <c r="G3493" s="6" t="s">
        <v>15</v>
      </c>
    </row>
    <row r="3494" spans="1:7" x14ac:dyDescent="0.3">
      <c r="A3494" s="2" t="s">
        <v>4393</v>
      </c>
      <c r="B3494" s="2" t="s">
        <v>4394</v>
      </c>
      <c r="C3494" s="6" t="s">
        <v>4395</v>
      </c>
      <c r="D3494" s="1">
        <v>45466</v>
      </c>
      <c r="E3494" s="4">
        <v>302.92</v>
      </c>
      <c r="F3494" s="3">
        <v>3</v>
      </c>
      <c r="G3494" s="6" t="s">
        <v>38</v>
      </c>
    </row>
    <row r="3495" spans="1:7" x14ac:dyDescent="0.3">
      <c r="A3495" s="2" t="s">
        <v>4396</v>
      </c>
      <c r="B3495" s="2" t="s">
        <v>4394</v>
      </c>
      <c r="C3495" s="6" t="s">
        <v>4395</v>
      </c>
      <c r="D3495" s="1">
        <v>45572</v>
      </c>
      <c r="E3495" s="4">
        <v>225.33</v>
      </c>
      <c r="F3495" s="3">
        <v>2</v>
      </c>
      <c r="G3495" s="6" t="s">
        <v>18</v>
      </c>
    </row>
    <row r="3496" spans="1:7" x14ac:dyDescent="0.3">
      <c r="A3496" s="2" t="s">
        <v>4397</v>
      </c>
      <c r="B3496" s="2" t="s">
        <v>4394</v>
      </c>
      <c r="C3496" s="6" t="s">
        <v>4395</v>
      </c>
      <c r="D3496" s="1">
        <v>45393</v>
      </c>
      <c r="E3496" s="4">
        <v>120.79</v>
      </c>
      <c r="F3496" s="3">
        <v>2</v>
      </c>
      <c r="G3496" s="6" t="s">
        <v>10</v>
      </c>
    </row>
    <row r="3497" spans="1:7" x14ac:dyDescent="0.3">
      <c r="A3497" s="2" t="s">
        <v>4398</v>
      </c>
      <c r="B3497" s="2" t="s">
        <v>4394</v>
      </c>
      <c r="C3497" s="6" t="s">
        <v>4395</v>
      </c>
      <c r="D3497" s="1">
        <v>45547</v>
      </c>
      <c r="E3497" s="4">
        <v>129.22</v>
      </c>
      <c r="F3497" s="3">
        <v>4</v>
      </c>
      <c r="G3497" s="6" t="s">
        <v>18</v>
      </c>
    </row>
    <row r="3498" spans="1:7" x14ac:dyDescent="0.3">
      <c r="A3498" s="2" t="s">
        <v>4399</v>
      </c>
      <c r="B3498" s="2" t="s">
        <v>4394</v>
      </c>
      <c r="C3498" s="6" t="s">
        <v>4395</v>
      </c>
      <c r="D3498" s="1">
        <v>45589</v>
      </c>
      <c r="E3498" s="4">
        <v>478</v>
      </c>
      <c r="F3498" s="3">
        <v>4</v>
      </c>
      <c r="G3498" s="6" t="s">
        <v>18</v>
      </c>
    </row>
    <row r="3499" spans="1:7" x14ac:dyDescent="0.3">
      <c r="A3499" s="2" t="s">
        <v>4400</v>
      </c>
      <c r="B3499" s="2" t="s">
        <v>4394</v>
      </c>
      <c r="C3499" s="6" t="s">
        <v>4395</v>
      </c>
      <c r="D3499" s="1">
        <v>45434</v>
      </c>
      <c r="E3499" s="4">
        <v>440.47</v>
      </c>
      <c r="F3499" s="3">
        <v>4</v>
      </c>
      <c r="G3499" s="6" t="s">
        <v>15</v>
      </c>
    </row>
    <row r="3500" spans="1:7" x14ac:dyDescent="0.3">
      <c r="A3500" s="2" t="s">
        <v>4401</v>
      </c>
      <c r="B3500" s="2" t="s">
        <v>4394</v>
      </c>
      <c r="C3500" s="6" t="s">
        <v>4395</v>
      </c>
      <c r="D3500" s="1">
        <v>45551</v>
      </c>
      <c r="E3500" s="4">
        <v>374.83</v>
      </c>
      <c r="F3500" s="3">
        <v>1</v>
      </c>
      <c r="G3500" s="6" t="s">
        <v>18</v>
      </c>
    </row>
    <row r="3501" spans="1:7" x14ac:dyDescent="0.3">
      <c r="A3501" s="2" t="s">
        <v>4402</v>
      </c>
      <c r="B3501" s="2" t="s">
        <v>4403</v>
      </c>
      <c r="C3501" s="6" t="s">
        <v>4404</v>
      </c>
      <c r="D3501" s="1">
        <v>45189</v>
      </c>
      <c r="E3501" s="4">
        <v>227.11</v>
      </c>
      <c r="F3501" s="3">
        <v>1</v>
      </c>
      <c r="G3501" s="6" t="s">
        <v>38</v>
      </c>
    </row>
    <row r="3502" spans="1:7" x14ac:dyDescent="0.3">
      <c r="A3502" s="2" t="s">
        <v>4405</v>
      </c>
      <c r="B3502" s="2" t="s">
        <v>4403</v>
      </c>
      <c r="C3502" s="6" t="s">
        <v>4404</v>
      </c>
      <c r="D3502" s="1">
        <v>45352</v>
      </c>
      <c r="E3502" s="4">
        <v>41.85</v>
      </c>
      <c r="F3502" s="3">
        <v>1</v>
      </c>
      <c r="G3502" s="6" t="s">
        <v>18</v>
      </c>
    </row>
    <row r="3503" spans="1:7" x14ac:dyDescent="0.3">
      <c r="A3503" s="2" t="s">
        <v>4406</v>
      </c>
      <c r="B3503" s="2" t="s">
        <v>4403</v>
      </c>
      <c r="C3503" s="6" t="s">
        <v>4404</v>
      </c>
      <c r="D3503" s="1">
        <v>45300</v>
      </c>
      <c r="E3503" s="4">
        <v>316.97000000000003</v>
      </c>
      <c r="F3503" s="3">
        <v>3</v>
      </c>
      <c r="G3503" s="6" t="s">
        <v>26</v>
      </c>
    </row>
    <row r="3504" spans="1:7" x14ac:dyDescent="0.3">
      <c r="A3504" s="2" t="s">
        <v>4407</v>
      </c>
      <c r="B3504" s="2" t="s">
        <v>4403</v>
      </c>
      <c r="C3504" s="6" t="s">
        <v>4404</v>
      </c>
      <c r="D3504" s="1">
        <v>45586</v>
      </c>
      <c r="E3504" s="4">
        <v>56.02</v>
      </c>
      <c r="F3504" s="3">
        <v>3</v>
      </c>
      <c r="G3504" s="6" t="s">
        <v>26</v>
      </c>
    </row>
    <row r="3505" spans="1:7" x14ac:dyDescent="0.3">
      <c r="A3505" s="2" t="s">
        <v>4408</v>
      </c>
      <c r="B3505" s="2" t="s">
        <v>4409</v>
      </c>
      <c r="C3505" s="6" t="s">
        <v>4410</v>
      </c>
      <c r="D3505" s="1">
        <v>45368</v>
      </c>
      <c r="E3505" s="4">
        <v>76.760000000000005</v>
      </c>
      <c r="F3505" s="3">
        <v>2</v>
      </c>
      <c r="G3505" s="6" t="s">
        <v>38</v>
      </c>
    </row>
    <row r="3506" spans="1:7" x14ac:dyDescent="0.3">
      <c r="A3506" s="2" t="s">
        <v>4411</v>
      </c>
      <c r="B3506" s="2" t="s">
        <v>4409</v>
      </c>
      <c r="C3506" s="6" t="s">
        <v>4410</v>
      </c>
      <c r="D3506" s="1">
        <v>45408</v>
      </c>
      <c r="E3506" s="4">
        <v>149.72</v>
      </c>
      <c r="F3506" s="3">
        <v>4</v>
      </c>
      <c r="G3506" s="6" t="s">
        <v>15</v>
      </c>
    </row>
    <row r="3507" spans="1:7" x14ac:dyDescent="0.3">
      <c r="A3507" s="2" t="s">
        <v>4412</v>
      </c>
      <c r="B3507" s="2" t="s">
        <v>4409</v>
      </c>
      <c r="C3507" s="6" t="s">
        <v>4410</v>
      </c>
      <c r="D3507" s="1">
        <v>45220</v>
      </c>
      <c r="E3507" s="4">
        <v>342.6</v>
      </c>
      <c r="F3507" s="3">
        <v>2</v>
      </c>
      <c r="G3507" s="6" t="s">
        <v>38</v>
      </c>
    </row>
    <row r="3508" spans="1:7" x14ac:dyDescent="0.3">
      <c r="A3508" s="2" t="s">
        <v>4413</v>
      </c>
      <c r="B3508" s="2" t="s">
        <v>4409</v>
      </c>
      <c r="C3508" s="6" t="s">
        <v>4410</v>
      </c>
      <c r="D3508" s="1">
        <v>45327</v>
      </c>
      <c r="E3508" s="4">
        <v>498.46</v>
      </c>
      <c r="F3508" s="3">
        <v>3</v>
      </c>
      <c r="G3508" s="6" t="s">
        <v>26</v>
      </c>
    </row>
    <row r="3509" spans="1:7" x14ac:dyDescent="0.3">
      <c r="A3509" s="2" t="s">
        <v>4414</v>
      </c>
      <c r="B3509" s="2" t="s">
        <v>4409</v>
      </c>
      <c r="C3509" s="6" t="s">
        <v>4410</v>
      </c>
      <c r="D3509" s="1">
        <v>45354</v>
      </c>
      <c r="E3509" s="4">
        <v>203.37</v>
      </c>
      <c r="F3509" s="3">
        <v>3</v>
      </c>
      <c r="G3509" s="6" t="s">
        <v>15</v>
      </c>
    </row>
    <row r="3510" spans="1:7" x14ac:dyDescent="0.3">
      <c r="A3510" s="2" t="s">
        <v>4415</v>
      </c>
      <c r="B3510" s="2" t="s">
        <v>4409</v>
      </c>
      <c r="C3510" s="6" t="s">
        <v>4410</v>
      </c>
      <c r="D3510" s="1">
        <v>45331</v>
      </c>
      <c r="E3510" s="4">
        <v>96.75</v>
      </c>
      <c r="F3510" s="3">
        <v>3</v>
      </c>
      <c r="G3510" s="6" t="s">
        <v>15</v>
      </c>
    </row>
    <row r="3511" spans="1:7" x14ac:dyDescent="0.3">
      <c r="A3511" s="2" t="s">
        <v>4416</v>
      </c>
      <c r="B3511" s="2" t="s">
        <v>4409</v>
      </c>
      <c r="C3511" s="6" t="s">
        <v>4410</v>
      </c>
      <c r="D3511" s="1">
        <v>45282</v>
      </c>
      <c r="E3511" s="4">
        <v>427.66</v>
      </c>
      <c r="F3511" s="3">
        <v>3</v>
      </c>
      <c r="G3511" s="6" t="s">
        <v>15</v>
      </c>
    </row>
    <row r="3512" spans="1:7" x14ac:dyDescent="0.3">
      <c r="A3512" s="2" t="s">
        <v>4417</v>
      </c>
      <c r="B3512" s="2" t="s">
        <v>4418</v>
      </c>
      <c r="C3512" s="6" t="s">
        <v>4419</v>
      </c>
      <c r="D3512" s="1">
        <v>45602</v>
      </c>
      <c r="E3512" s="4">
        <v>429.72</v>
      </c>
      <c r="F3512" s="3">
        <v>4</v>
      </c>
      <c r="G3512" s="6" t="s">
        <v>10</v>
      </c>
    </row>
    <row r="3513" spans="1:7" x14ac:dyDescent="0.3">
      <c r="A3513" s="2" t="s">
        <v>4420</v>
      </c>
      <c r="B3513" s="2" t="s">
        <v>4418</v>
      </c>
      <c r="C3513" s="6" t="s">
        <v>4419</v>
      </c>
      <c r="D3513" s="1">
        <v>45396</v>
      </c>
      <c r="E3513" s="4">
        <v>81.099999999999994</v>
      </c>
      <c r="F3513" s="3">
        <v>1</v>
      </c>
      <c r="G3513" s="6" t="s">
        <v>38</v>
      </c>
    </row>
    <row r="3514" spans="1:7" x14ac:dyDescent="0.3">
      <c r="A3514" s="2" t="s">
        <v>4421</v>
      </c>
      <c r="B3514" s="2" t="s">
        <v>4418</v>
      </c>
      <c r="C3514" s="6" t="s">
        <v>4419</v>
      </c>
      <c r="D3514" s="1">
        <v>45270</v>
      </c>
      <c r="E3514" s="4">
        <v>91.05</v>
      </c>
      <c r="F3514" s="3">
        <v>1</v>
      </c>
      <c r="G3514" s="6" t="s">
        <v>15</v>
      </c>
    </row>
    <row r="3515" spans="1:7" x14ac:dyDescent="0.3">
      <c r="A3515" s="2" t="s">
        <v>4422</v>
      </c>
      <c r="B3515" s="2" t="s">
        <v>4418</v>
      </c>
      <c r="C3515" s="6" t="s">
        <v>4419</v>
      </c>
      <c r="D3515" s="1">
        <v>45619</v>
      </c>
      <c r="E3515" s="4">
        <v>378.54</v>
      </c>
      <c r="F3515" s="3">
        <v>4</v>
      </c>
      <c r="G3515" s="6" t="s">
        <v>10</v>
      </c>
    </row>
    <row r="3516" spans="1:7" x14ac:dyDescent="0.3">
      <c r="A3516" s="2" t="s">
        <v>4423</v>
      </c>
      <c r="B3516" s="2" t="s">
        <v>4418</v>
      </c>
      <c r="C3516" s="6" t="s">
        <v>4419</v>
      </c>
      <c r="D3516" s="1">
        <v>45596</v>
      </c>
      <c r="E3516" s="4">
        <v>19.04</v>
      </c>
      <c r="F3516" s="3">
        <v>3</v>
      </c>
      <c r="G3516" s="6" t="s">
        <v>15</v>
      </c>
    </row>
    <row r="3517" spans="1:7" x14ac:dyDescent="0.3">
      <c r="A3517" s="2" t="s">
        <v>4424</v>
      </c>
      <c r="B3517" s="2" t="s">
        <v>4418</v>
      </c>
      <c r="C3517" s="6" t="s">
        <v>4419</v>
      </c>
      <c r="D3517" s="1">
        <v>45625</v>
      </c>
      <c r="E3517" s="4">
        <v>231.03</v>
      </c>
      <c r="F3517" s="3">
        <v>4</v>
      </c>
      <c r="G3517" s="6" t="s">
        <v>38</v>
      </c>
    </row>
    <row r="3518" spans="1:7" x14ac:dyDescent="0.3">
      <c r="A3518" s="2" t="s">
        <v>4425</v>
      </c>
      <c r="B3518" s="2" t="s">
        <v>4418</v>
      </c>
      <c r="C3518" s="6" t="s">
        <v>4419</v>
      </c>
      <c r="D3518" s="1">
        <v>45299</v>
      </c>
      <c r="E3518" s="4">
        <v>307.02999999999997</v>
      </c>
      <c r="F3518" s="3">
        <v>4</v>
      </c>
      <c r="G3518" s="6" t="s">
        <v>26</v>
      </c>
    </row>
    <row r="3519" spans="1:7" x14ac:dyDescent="0.3">
      <c r="A3519" s="2" t="s">
        <v>4426</v>
      </c>
      <c r="B3519" s="2" t="s">
        <v>4418</v>
      </c>
      <c r="C3519" s="6" t="s">
        <v>4419</v>
      </c>
      <c r="D3519" s="1">
        <v>45414</v>
      </c>
      <c r="E3519" s="4">
        <v>149.59</v>
      </c>
      <c r="F3519" s="3">
        <v>2</v>
      </c>
      <c r="G3519" s="6" t="s">
        <v>38</v>
      </c>
    </row>
    <row r="3520" spans="1:7" x14ac:dyDescent="0.3">
      <c r="A3520" s="2" t="s">
        <v>4427</v>
      </c>
      <c r="B3520" s="2" t="s">
        <v>4418</v>
      </c>
      <c r="C3520" s="6" t="s">
        <v>4419</v>
      </c>
      <c r="D3520" s="1">
        <v>45539</v>
      </c>
      <c r="E3520" s="4">
        <v>99.5</v>
      </c>
      <c r="F3520" s="3">
        <v>3</v>
      </c>
      <c r="G3520" s="6" t="s">
        <v>18</v>
      </c>
    </row>
    <row r="3521" spans="1:7" x14ac:dyDescent="0.3">
      <c r="A3521" s="2" t="s">
        <v>4428</v>
      </c>
      <c r="B3521" s="2" t="s">
        <v>4418</v>
      </c>
      <c r="C3521" s="6" t="s">
        <v>4419</v>
      </c>
      <c r="D3521" s="1">
        <v>45310</v>
      </c>
      <c r="E3521" s="4">
        <v>32.08</v>
      </c>
      <c r="F3521" s="3">
        <v>4</v>
      </c>
      <c r="G3521" s="6" t="s">
        <v>18</v>
      </c>
    </row>
    <row r="3522" spans="1:7" x14ac:dyDescent="0.3">
      <c r="A3522" s="2" t="s">
        <v>4429</v>
      </c>
      <c r="B3522" s="2" t="s">
        <v>4418</v>
      </c>
      <c r="C3522" s="6" t="s">
        <v>4419</v>
      </c>
      <c r="D3522" s="1">
        <v>45470</v>
      </c>
      <c r="E3522" s="4">
        <v>209.85</v>
      </c>
      <c r="F3522" s="3">
        <v>1</v>
      </c>
      <c r="G3522" s="6" t="s">
        <v>10</v>
      </c>
    </row>
    <row r="3523" spans="1:7" x14ac:dyDescent="0.3">
      <c r="A3523" s="2" t="s">
        <v>4430</v>
      </c>
      <c r="B3523" s="2" t="s">
        <v>4431</v>
      </c>
      <c r="C3523" s="6" t="s">
        <v>4432</v>
      </c>
      <c r="D3523" s="1">
        <v>45328</v>
      </c>
      <c r="E3523" s="4">
        <v>297.91000000000003</v>
      </c>
      <c r="F3523" s="3">
        <v>2</v>
      </c>
      <c r="G3523" s="6" t="s">
        <v>38</v>
      </c>
    </row>
    <row r="3524" spans="1:7" x14ac:dyDescent="0.3">
      <c r="A3524" s="2" t="s">
        <v>4433</v>
      </c>
      <c r="B3524" s="2" t="s">
        <v>4431</v>
      </c>
      <c r="C3524" s="6" t="s">
        <v>4432</v>
      </c>
      <c r="D3524" s="1">
        <v>45401</v>
      </c>
      <c r="E3524" s="4">
        <v>120.16</v>
      </c>
      <c r="F3524" s="3">
        <v>4</v>
      </c>
      <c r="G3524" s="6" t="s">
        <v>38</v>
      </c>
    </row>
    <row r="3525" spans="1:7" x14ac:dyDescent="0.3">
      <c r="A3525" s="2" t="s">
        <v>4434</v>
      </c>
      <c r="B3525" s="2" t="s">
        <v>4431</v>
      </c>
      <c r="C3525" s="6" t="s">
        <v>4432</v>
      </c>
      <c r="D3525" s="1">
        <v>45621</v>
      </c>
      <c r="E3525" s="4">
        <v>388</v>
      </c>
      <c r="F3525" s="3">
        <v>3</v>
      </c>
      <c r="G3525" s="6" t="s">
        <v>15</v>
      </c>
    </row>
    <row r="3526" spans="1:7" x14ac:dyDescent="0.3">
      <c r="A3526" s="2" t="s">
        <v>4435</v>
      </c>
      <c r="B3526" s="2" t="s">
        <v>4436</v>
      </c>
      <c r="C3526" s="6" t="s">
        <v>4437</v>
      </c>
      <c r="D3526" s="1">
        <v>45082</v>
      </c>
      <c r="E3526" s="4">
        <v>405.11</v>
      </c>
      <c r="F3526" s="3">
        <v>1</v>
      </c>
      <c r="G3526" s="6" t="s">
        <v>15</v>
      </c>
    </row>
    <row r="3527" spans="1:7" x14ac:dyDescent="0.3">
      <c r="A3527" s="2" t="s">
        <v>4438</v>
      </c>
      <c r="B3527" s="2" t="s">
        <v>4436</v>
      </c>
      <c r="C3527" s="6" t="s">
        <v>4437</v>
      </c>
      <c r="D3527" s="1">
        <v>45239</v>
      </c>
      <c r="E3527" s="4">
        <v>109.21</v>
      </c>
      <c r="F3527" s="3">
        <v>4</v>
      </c>
      <c r="G3527" s="6" t="s">
        <v>26</v>
      </c>
    </row>
    <row r="3528" spans="1:7" x14ac:dyDescent="0.3">
      <c r="A3528" s="2" t="s">
        <v>4439</v>
      </c>
      <c r="B3528" s="2" t="s">
        <v>4436</v>
      </c>
      <c r="C3528" s="6" t="s">
        <v>4437</v>
      </c>
      <c r="D3528" s="1">
        <v>45352</v>
      </c>
      <c r="E3528" s="4">
        <v>459.32</v>
      </c>
      <c r="F3528" s="3">
        <v>3</v>
      </c>
      <c r="G3528" s="6" t="s">
        <v>12</v>
      </c>
    </row>
    <row r="3529" spans="1:7" x14ac:dyDescent="0.3">
      <c r="A3529" s="2" t="s">
        <v>4440</v>
      </c>
      <c r="B3529" s="2" t="s">
        <v>4436</v>
      </c>
      <c r="C3529" s="6" t="s">
        <v>4437</v>
      </c>
      <c r="D3529" s="1">
        <v>45348</v>
      </c>
      <c r="E3529" s="4">
        <v>337.97</v>
      </c>
      <c r="F3529" s="3">
        <v>2</v>
      </c>
      <c r="G3529" s="6" t="s">
        <v>26</v>
      </c>
    </row>
    <row r="3530" spans="1:7" x14ac:dyDescent="0.3">
      <c r="A3530" s="2" t="s">
        <v>4441</v>
      </c>
      <c r="B3530" s="2" t="s">
        <v>4436</v>
      </c>
      <c r="C3530" s="6" t="s">
        <v>4437</v>
      </c>
      <c r="D3530" s="1">
        <v>45012</v>
      </c>
      <c r="E3530" s="4">
        <v>14.32</v>
      </c>
      <c r="F3530" s="3">
        <v>2</v>
      </c>
      <c r="G3530" s="6" t="s">
        <v>10</v>
      </c>
    </row>
    <row r="3531" spans="1:7" x14ac:dyDescent="0.3">
      <c r="A3531" s="2" t="s">
        <v>4442</v>
      </c>
      <c r="B3531" s="2" t="s">
        <v>4436</v>
      </c>
      <c r="C3531" s="6" t="s">
        <v>4437</v>
      </c>
      <c r="D3531" s="1">
        <v>45096</v>
      </c>
      <c r="E3531" s="4">
        <v>395.46</v>
      </c>
      <c r="F3531" s="3">
        <v>4</v>
      </c>
      <c r="G3531" s="6" t="s">
        <v>10</v>
      </c>
    </row>
    <row r="3532" spans="1:7" x14ac:dyDescent="0.3">
      <c r="A3532" s="2" t="s">
        <v>4443</v>
      </c>
      <c r="B3532" s="2" t="s">
        <v>4436</v>
      </c>
      <c r="C3532" s="6" t="s">
        <v>4437</v>
      </c>
      <c r="D3532" s="1">
        <v>45619</v>
      </c>
      <c r="E3532" s="4">
        <v>74.040000000000006</v>
      </c>
      <c r="F3532" s="3">
        <v>2</v>
      </c>
      <c r="G3532" s="6" t="s">
        <v>10</v>
      </c>
    </row>
    <row r="3533" spans="1:7" x14ac:dyDescent="0.3">
      <c r="A3533" s="2" t="s">
        <v>4444</v>
      </c>
      <c r="B3533" s="2" t="s">
        <v>4436</v>
      </c>
      <c r="C3533" s="6" t="s">
        <v>4437</v>
      </c>
      <c r="D3533" s="1">
        <v>45061</v>
      </c>
      <c r="E3533" s="4">
        <v>210.16</v>
      </c>
      <c r="F3533" s="3">
        <v>2</v>
      </c>
      <c r="G3533" s="6" t="s">
        <v>15</v>
      </c>
    </row>
    <row r="3534" spans="1:7" x14ac:dyDescent="0.3">
      <c r="A3534" s="2" t="s">
        <v>4445</v>
      </c>
      <c r="B3534" s="2" t="s">
        <v>4436</v>
      </c>
      <c r="C3534" s="6" t="s">
        <v>4437</v>
      </c>
      <c r="D3534" s="1">
        <v>45564</v>
      </c>
      <c r="E3534" s="4">
        <v>325.95</v>
      </c>
      <c r="F3534" s="3">
        <v>2</v>
      </c>
      <c r="G3534" s="6" t="s">
        <v>10</v>
      </c>
    </row>
    <row r="3535" spans="1:7" x14ac:dyDescent="0.3">
      <c r="A3535" s="2" t="s">
        <v>4446</v>
      </c>
      <c r="B3535" s="2" t="s">
        <v>4436</v>
      </c>
      <c r="C3535" s="6" t="s">
        <v>4437</v>
      </c>
      <c r="D3535" s="1">
        <v>45099</v>
      </c>
      <c r="E3535" s="4">
        <v>42.73</v>
      </c>
      <c r="F3535" s="3">
        <v>3</v>
      </c>
      <c r="G3535" s="6" t="s">
        <v>26</v>
      </c>
    </row>
    <row r="3536" spans="1:7" x14ac:dyDescent="0.3">
      <c r="A3536" s="2" t="s">
        <v>4447</v>
      </c>
      <c r="B3536" s="2" t="s">
        <v>4436</v>
      </c>
      <c r="C3536" s="6" t="s">
        <v>4437</v>
      </c>
      <c r="D3536" s="1">
        <v>45618</v>
      </c>
      <c r="E3536" s="4">
        <v>332.36</v>
      </c>
      <c r="F3536" s="3">
        <v>3</v>
      </c>
      <c r="G3536" s="6" t="s">
        <v>15</v>
      </c>
    </row>
    <row r="3537" spans="1:7" x14ac:dyDescent="0.3">
      <c r="A3537" s="2" t="s">
        <v>4448</v>
      </c>
      <c r="B3537" s="2" t="s">
        <v>4436</v>
      </c>
      <c r="C3537" s="6" t="s">
        <v>4437</v>
      </c>
      <c r="D3537" s="1">
        <v>45559</v>
      </c>
      <c r="E3537" s="4">
        <v>157.47</v>
      </c>
      <c r="F3537" s="3">
        <v>2</v>
      </c>
      <c r="G3537" s="6" t="s">
        <v>12</v>
      </c>
    </row>
    <row r="3538" spans="1:7" x14ac:dyDescent="0.3">
      <c r="A3538" s="2" t="s">
        <v>4449</v>
      </c>
      <c r="B3538" s="2" t="s">
        <v>4436</v>
      </c>
      <c r="C3538" s="6" t="s">
        <v>4437</v>
      </c>
      <c r="D3538" s="1">
        <v>45247</v>
      </c>
      <c r="E3538" s="4">
        <v>325.74</v>
      </c>
      <c r="F3538" s="3">
        <v>1</v>
      </c>
      <c r="G3538" s="6" t="s">
        <v>26</v>
      </c>
    </row>
    <row r="3539" spans="1:7" x14ac:dyDescent="0.3">
      <c r="A3539" s="2" t="s">
        <v>4450</v>
      </c>
      <c r="B3539" s="2" t="s">
        <v>4436</v>
      </c>
      <c r="C3539" s="6" t="s">
        <v>4437</v>
      </c>
      <c r="D3539" s="1">
        <v>45614</v>
      </c>
      <c r="E3539" s="4">
        <v>418.27</v>
      </c>
      <c r="F3539" s="3">
        <v>3</v>
      </c>
      <c r="G3539" s="6" t="s">
        <v>18</v>
      </c>
    </row>
    <row r="3540" spans="1:7" x14ac:dyDescent="0.3">
      <c r="A3540" s="2" t="s">
        <v>4451</v>
      </c>
      <c r="B3540" s="2" t="s">
        <v>4452</v>
      </c>
      <c r="C3540" s="6" t="s">
        <v>4453</v>
      </c>
      <c r="D3540" s="1">
        <v>45502</v>
      </c>
      <c r="E3540" s="4">
        <v>86.39</v>
      </c>
      <c r="F3540" s="3">
        <v>4</v>
      </c>
      <c r="G3540" s="6" t="s">
        <v>10</v>
      </c>
    </row>
    <row r="3541" spans="1:7" x14ac:dyDescent="0.3">
      <c r="A3541" s="2" t="s">
        <v>4454</v>
      </c>
      <c r="B3541" s="2" t="s">
        <v>4452</v>
      </c>
      <c r="C3541" s="6" t="s">
        <v>4453</v>
      </c>
      <c r="D3541" s="1">
        <v>45211</v>
      </c>
      <c r="E3541" s="4">
        <v>220.58</v>
      </c>
      <c r="F3541" s="3">
        <v>4</v>
      </c>
      <c r="G3541" s="6" t="s">
        <v>26</v>
      </c>
    </row>
    <row r="3542" spans="1:7" x14ac:dyDescent="0.3">
      <c r="A3542" s="2" t="s">
        <v>4455</v>
      </c>
      <c r="B3542" s="2" t="s">
        <v>4452</v>
      </c>
      <c r="C3542" s="6" t="s">
        <v>4453</v>
      </c>
      <c r="D3542" s="1">
        <v>45549</v>
      </c>
      <c r="E3542" s="4">
        <v>209.92</v>
      </c>
      <c r="F3542" s="3">
        <v>2</v>
      </c>
      <c r="G3542" s="6" t="s">
        <v>15</v>
      </c>
    </row>
    <row r="3543" spans="1:7" x14ac:dyDescent="0.3">
      <c r="A3543" s="2" t="s">
        <v>4456</v>
      </c>
      <c r="B3543" s="2" t="s">
        <v>4452</v>
      </c>
      <c r="C3543" s="6" t="s">
        <v>4453</v>
      </c>
      <c r="D3543" s="1">
        <v>45611</v>
      </c>
      <c r="E3543" s="4">
        <v>331.03</v>
      </c>
      <c r="F3543" s="3">
        <v>4</v>
      </c>
      <c r="G3543" s="6" t="s">
        <v>38</v>
      </c>
    </row>
    <row r="3544" spans="1:7" x14ac:dyDescent="0.3">
      <c r="A3544" s="2" t="s">
        <v>4457</v>
      </c>
      <c r="B3544" s="2" t="s">
        <v>4452</v>
      </c>
      <c r="C3544" s="6" t="s">
        <v>4453</v>
      </c>
      <c r="D3544" s="1">
        <v>45188</v>
      </c>
      <c r="E3544" s="4">
        <v>463.13</v>
      </c>
      <c r="F3544" s="3">
        <v>2</v>
      </c>
      <c r="G3544" s="6" t="s">
        <v>38</v>
      </c>
    </row>
    <row r="3545" spans="1:7" x14ac:dyDescent="0.3">
      <c r="A3545" s="2" t="s">
        <v>4458</v>
      </c>
      <c r="B3545" s="2" t="s">
        <v>4452</v>
      </c>
      <c r="C3545" s="6" t="s">
        <v>4453</v>
      </c>
      <c r="D3545" s="1">
        <v>45136</v>
      </c>
      <c r="E3545" s="4">
        <v>484.93</v>
      </c>
      <c r="F3545" s="3">
        <v>3</v>
      </c>
      <c r="G3545" s="6" t="s">
        <v>10</v>
      </c>
    </row>
    <row r="3546" spans="1:7" x14ac:dyDescent="0.3">
      <c r="A3546" s="2" t="s">
        <v>4459</v>
      </c>
      <c r="B3546" s="2" t="s">
        <v>4452</v>
      </c>
      <c r="C3546" s="6" t="s">
        <v>4453</v>
      </c>
      <c r="D3546" s="1">
        <v>45534</v>
      </c>
      <c r="E3546" s="4">
        <v>481.22</v>
      </c>
      <c r="F3546" s="3">
        <v>2</v>
      </c>
      <c r="G3546" s="6" t="s">
        <v>26</v>
      </c>
    </row>
    <row r="3547" spans="1:7" x14ac:dyDescent="0.3">
      <c r="A3547" s="2" t="s">
        <v>4460</v>
      </c>
      <c r="B3547" s="2" t="s">
        <v>4452</v>
      </c>
      <c r="C3547" s="6" t="s">
        <v>4453</v>
      </c>
      <c r="D3547" s="1">
        <v>45547</v>
      </c>
      <c r="E3547" s="4">
        <v>483.54</v>
      </c>
      <c r="F3547" s="3">
        <v>2</v>
      </c>
      <c r="G3547" s="6" t="s">
        <v>18</v>
      </c>
    </row>
    <row r="3548" spans="1:7" x14ac:dyDescent="0.3">
      <c r="A3548" s="2" t="s">
        <v>4461</v>
      </c>
      <c r="B3548" s="2" t="s">
        <v>4452</v>
      </c>
      <c r="C3548" s="6" t="s">
        <v>4453</v>
      </c>
      <c r="D3548" s="1">
        <v>45546</v>
      </c>
      <c r="E3548" s="4">
        <v>242.87</v>
      </c>
      <c r="F3548" s="3">
        <v>4</v>
      </c>
      <c r="G3548" s="6" t="s">
        <v>26</v>
      </c>
    </row>
    <row r="3549" spans="1:7" x14ac:dyDescent="0.3">
      <c r="A3549" s="2" t="s">
        <v>4462</v>
      </c>
      <c r="B3549" s="2" t="s">
        <v>4452</v>
      </c>
      <c r="C3549" s="6" t="s">
        <v>4453</v>
      </c>
      <c r="D3549" s="1">
        <v>45148</v>
      </c>
      <c r="E3549" s="4">
        <v>401.55</v>
      </c>
      <c r="F3549" s="3">
        <v>3</v>
      </c>
      <c r="G3549" s="6" t="s">
        <v>38</v>
      </c>
    </row>
    <row r="3550" spans="1:7" x14ac:dyDescent="0.3">
      <c r="A3550" s="2" t="s">
        <v>4463</v>
      </c>
      <c r="B3550" s="2" t="s">
        <v>4452</v>
      </c>
      <c r="C3550" s="6" t="s">
        <v>4453</v>
      </c>
      <c r="D3550" s="1">
        <v>45241</v>
      </c>
      <c r="E3550" s="4">
        <v>57.61</v>
      </c>
      <c r="F3550" s="3">
        <v>2</v>
      </c>
      <c r="G3550" s="6" t="s">
        <v>26</v>
      </c>
    </row>
    <row r="3551" spans="1:7" x14ac:dyDescent="0.3">
      <c r="A3551" s="2" t="s">
        <v>4464</v>
      </c>
      <c r="B3551" s="2" t="s">
        <v>4465</v>
      </c>
      <c r="C3551" s="6" t="s">
        <v>4466</v>
      </c>
      <c r="D3551" s="1">
        <v>45594</v>
      </c>
      <c r="E3551" s="4">
        <v>358.86</v>
      </c>
      <c r="F3551" s="3">
        <v>1</v>
      </c>
      <c r="G3551" s="6" t="s">
        <v>10</v>
      </c>
    </row>
    <row r="3552" spans="1:7" x14ac:dyDescent="0.3">
      <c r="A3552" s="2" t="s">
        <v>4467</v>
      </c>
      <c r="B3552" s="2" t="s">
        <v>4465</v>
      </c>
      <c r="C3552" s="6" t="s">
        <v>4466</v>
      </c>
      <c r="D3552" s="1">
        <v>45338</v>
      </c>
      <c r="E3552" s="4">
        <v>316.67</v>
      </c>
      <c r="F3552" s="3">
        <v>4</v>
      </c>
      <c r="G3552" s="6" t="s">
        <v>10</v>
      </c>
    </row>
    <row r="3553" spans="1:7" x14ac:dyDescent="0.3">
      <c r="A3553" s="2" t="s">
        <v>4468</v>
      </c>
      <c r="B3553" s="2" t="s">
        <v>4469</v>
      </c>
      <c r="C3553" s="6" t="s">
        <v>4470</v>
      </c>
      <c r="D3553" s="1">
        <v>45632</v>
      </c>
      <c r="E3553" s="4">
        <v>75.87</v>
      </c>
      <c r="F3553" s="3">
        <v>4</v>
      </c>
      <c r="G3553" s="6" t="s">
        <v>12</v>
      </c>
    </row>
    <row r="3554" spans="1:7" x14ac:dyDescent="0.3">
      <c r="A3554" s="2" t="s">
        <v>4471</v>
      </c>
      <c r="B3554" s="2" t="s">
        <v>4469</v>
      </c>
      <c r="C3554" s="6" t="s">
        <v>4470</v>
      </c>
      <c r="D3554" s="1">
        <v>45536</v>
      </c>
      <c r="E3554" s="4">
        <v>475.27</v>
      </c>
      <c r="F3554" s="3">
        <v>4</v>
      </c>
      <c r="G3554" s="6" t="s">
        <v>38</v>
      </c>
    </row>
    <row r="3555" spans="1:7" x14ac:dyDescent="0.3">
      <c r="A3555" s="2" t="s">
        <v>4472</v>
      </c>
      <c r="B3555" s="2" t="s">
        <v>4469</v>
      </c>
      <c r="C3555" s="6" t="s">
        <v>4470</v>
      </c>
      <c r="D3555" s="1">
        <v>45531</v>
      </c>
      <c r="E3555" s="4">
        <v>221.9</v>
      </c>
      <c r="F3555" s="3">
        <v>2</v>
      </c>
      <c r="G3555" s="6" t="s">
        <v>38</v>
      </c>
    </row>
    <row r="3556" spans="1:7" x14ac:dyDescent="0.3">
      <c r="A3556" s="2" t="s">
        <v>4473</v>
      </c>
      <c r="B3556" s="2" t="s">
        <v>4469</v>
      </c>
      <c r="C3556" s="6" t="s">
        <v>4470</v>
      </c>
      <c r="D3556" s="1">
        <v>45592</v>
      </c>
      <c r="E3556" s="4">
        <v>424.54</v>
      </c>
      <c r="F3556" s="3">
        <v>2</v>
      </c>
      <c r="G3556" s="6" t="s">
        <v>26</v>
      </c>
    </row>
    <row r="3557" spans="1:7" x14ac:dyDescent="0.3">
      <c r="A3557" s="2" t="s">
        <v>4474</v>
      </c>
      <c r="B3557" s="2" t="s">
        <v>4469</v>
      </c>
      <c r="C3557" s="6" t="s">
        <v>4470</v>
      </c>
      <c r="D3557" s="1">
        <v>45532</v>
      </c>
      <c r="E3557" s="4">
        <v>314.86</v>
      </c>
      <c r="F3557" s="3">
        <v>3</v>
      </c>
      <c r="G3557" s="6" t="s">
        <v>38</v>
      </c>
    </row>
    <row r="3558" spans="1:7" x14ac:dyDescent="0.3">
      <c r="A3558" s="2" t="s">
        <v>4475</v>
      </c>
      <c r="B3558" s="2" t="s">
        <v>4469</v>
      </c>
      <c r="C3558" s="6" t="s">
        <v>4470</v>
      </c>
      <c r="D3558" s="1">
        <v>45590</v>
      </c>
      <c r="E3558" s="4">
        <v>374.73</v>
      </c>
      <c r="F3558" s="3">
        <v>1</v>
      </c>
      <c r="G3558" s="6" t="s">
        <v>10</v>
      </c>
    </row>
    <row r="3559" spans="1:7" x14ac:dyDescent="0.3">
      <c r="A3559" s="2" t="s">
        <v>4476</v>
      </c>
      <c r="B3559" s="2" t="s">
        <v>4469</v>
      </c>
      <c r="C3559" s="6" t="s">
        <v>4470</v>
      </c>
      <c r="D3559" s="1">
        <v>45645</v>
      </c>
      <c r="E3559" s="4">
        <v>230.37</v>
      </c>
      <c r="F3559" s="3">
        <v>3</v>
      </c>
      <c r="G3559" s="6" t="s">
        <v>15</v>
      </c>
    </row>
    <row r="3560" spans="1:7" x14ac:dyDescent="0.3">
      <c r="A3560" s="2" t="s">
        <v>4477</v>
      </c>
      <c r="B3560" s="2" t="s">
        <v>4469</v>
      </c>
      <c r="C3560" s="6" t="s">
        <v>4470</v>
      </c>
      <c r="D3560" s="1">
        <v>45656</v>
      </c>
      <c r="E3560" s="4">
        <v>466.76</v>
      </c>
      <c r="F3560" s="3">
        <v>2</v>
      </c>
      <c r="G3560" s="6" t="s">
        <v>12</v>
      </c>
    </row>
    <row r="3561" spans="1:7" x14ac:dyDescent="0.3">
      <c r="A3561" s="2" t="s">
        <v>4478</v>
      </c>
      <c r="B3561" s="2" t="s">
        <v>4469</v>
      </c>
      <c r="C3561" s="6" t="s">
        <v>4470</v>
      </c>
      <c r="D3561" s="1">
        <v>45607</v>
      </c>
      <c r="E3561" s="4">
        <v>282.36</v>
      </c>
      <c r="F3561" s="3">
        <v>4</v>
      </c>
      <c r="G3561" s="6" t="s">
        <v>18</v>
      </c>
    </row>
    <row r="3562" spans="1:7" x14ac:dyDescent="0.3">
      <c r="A3562" s="2" t="s">
        <v>4479</v>
      </c>
      <c r="B3562" s="2" t="s">
        <v>4469</v>
      </c>
      <c r="C3562" s="6" t="s">
        <v>4470</v>
      </c>
      <c r="D3562" s="1">
        <v>45565</v>
      </c>
      <c r="E3562" s="4">
        <v>37.19</v>
      </c>
      <c r="F3562" s="3">
        <v>1</v>
      </c>
      <c r="G3562" s="6" t="s">
        <v>15</v>
      </c>
    </row>
    <row r="3563" spans="1:7" x14ac:dyDescent="0.3">
      <c r="A3563" s="2" t="s">
        <v>4480</v>
      </c>
      <c r="B3563" s="2" t="s">
        <v>4469</v>
      </c>
      <c r="C3563" s="6" t="s">
        <v>4470</v>
      </c>
      <c r="D3563" s="1">
        <v>45580</v>
      </c>
      <c r="E3563" s="4">
        <v>368.49</v>
      </c>
      <c r="F3563" s="3">
        <v>1</v>
      </c>
      <c r="G3563" s="6" t="s">
        <v>26</v>
      </c>
    </row>
    <row r="3564" spans="1:7" x14ac:dyDescent="0.3">
      <c r="A3564" s="2" t="s">
        <v>4481</v>
      </c>
      <c r="B3564" s="2" t="s">
        <v>4469</v>
      </c>
      <c r="C3564" s="6" t="s">
        <v>4470</v>
      </c>
      <c r="D3564" s="1">
        <v>45612</v>
      </c>
      <c r="E3564" s="4">
        <v>418.88</v>
      </c>
      <c r="F3564" s="3">
        <v>4</v>
      </c>
      <c r="G3564" s="6" t="s">
        <v>18</v>
      </c>
    </row>
    <row r="3565" spans="1:7" x14ac:dyDescent="0.3">
      <c r="A3565" s="2" t="s">
        <v>4482</v>
      </c>
      <c r="B3565" s="2" t="s">
        <v>4469</v>
      </c>
      <c r="C3565" s="6" t="s">
        <v>4470</v>
      </c>
      <c r="D3565" s="1">
        <v>45547</v>
      </c>
      <c r="E3565" s="4">
        <v>158.35</v>
      </c>
      <c r="F3565" s="3">
        <v>4</v>
      </c>
      <c r="G3565" s="6" t="s">
        <v>26</v>
      </c>
    </row>
    <row r="3566" spans="1:7" x14ac:dyDescent="0.3">
      <c r="A3566" s="2" t="s">
        <v>4483</v>
      </c>
      <c r="B3566" s="2" t="s">
        <v>4484</v>
      </c>
      <c r="C3566" s="6" t="s">
        <v>4485</v>
      </c>
      <c r="D3566" s="1">
        <v>45613</v>
      </c>
      <c r="E3566" s="4">
        <v>402.18</v>
      </c>
      <c r="F3566" s="3">
        <v>2</v>
      </c>
      <c r="G3566" s="6" t="s">
        <v>38</v>
      </c>
    </row>
    <row r="3567" spans="1:7" x14ac:dyDescent="0.3">
      <c r="A3567" s="2" t="s">
        <v>4486</v>
      </c>
      <c r="B3567" s="2" t="s">
        <v>4484</v>
      </c>
      <c r="C3567" s="6" t="s">
        <v>4485</v>
      </c>
      <c r="D3567" s="1">
        <v>45643</v>
      </c>
      <c r="E3567" s="4">
        <v>398.16</v>
      </c>
      <c r="F3567" s="3">
        <v>2</v>
      </c>
      <c r="G3567" s="6" t="s">
        <v>15</v>
      </c>
    </row>
    <row r="3568" spans="1:7" x14ac:dyDescent="0.3">
      <c r="A3568" s="2" t="s">
        <v>4487</v>
      </c>
      <c r="B3568" s="2" t="s">
        <v>4488</v>
      </c>
      <c r="C3568" s="6" t="s">
        <v>4489</v>
      </c>
      <c r="D3568" s="1">
        <v>45645</v>
      </c>
      <c r="E3568" s="4">
        <v>213.12</v>
      </c>
      <c r="F3568" s="3">
        <v>1</v>
      </c>
      <c r="G3568" s="6" t="s">
        <v>10</v>
      </c>
    </row>
    <row r="3569" spans="1:7" x14ac:dyDescent="0.3">
      <c r="A3569" s="2" t="s">
        <v>4490</v>
      </c>
      <c r="B3569" s="2" t="s">
        <v>4488</v>
      </c>
      <c r="C3569" s="6" t="s">
        <v>4489</v>
      </c>
      <c r="D3569" s="1">
        <v>45633</v>
      </c>
      <c r="E3569" s="4">
        <v>98.21</v>
      </c>
      <c r="F3569" s="3">
        <v>2</v>
      </c>
      <c r="G3569" s="6" t="s">
        <v>10</v>
      </c>
    </row>
    <row r="3570" spans="1:7" x14ac:dyDescent="0.3">
      <c r="A3570" s="2" t="s">
        <v>4491</v>
      </c>
      <c r="B3570" s="2" t="s">
        <v>4488</v>
      </c>
      <c r="C3570" s="6" t="s">
        <v>4489</v>
      </c>
      <c r="D3570" s="1">
        <v>45630</v>
      </c>
      <c r="E3570" s="4">
        <v>154.02000000000001</v>
      </c>
      <c r="F3570" s="3">
        <v>2</v>
      </c>
      <c r="G3570" s="6" t="s">
        <v>18</v>
      </c>
    </row>
    <row r="3571" spans="1:7" x14ac:dyDescent="0.3">
      <c r="A3571" s="2" t="s">
        <v>4492</v>
      </c>
      <c r="B3571" s="2" t="s">
        <v>4488</v>
      </c>
      <c r="C3571" s="6" t="s">
        <v>4489</v>
      </c>
      <c r="D3571" s="1">
        <v>45640</v>
      </c>
      <c r="E3571" s="4">
        <v>39.51</v>
      </c>
      <c r="F3571" s="3">
        <v>2</v>
      </c>
      <c r="G3571" s="6" t="s">
        <v>15</v>
      </c>
    </row>
    <row r="3572" spans="1:7" x14ac:dyDescent="0.3">
      <c r="A3572" s="2" t="s">
        <v>4493</v>
      </c>
      <c r="B3572" s="2" t="s">
        <v>4494</v>
      </c>
      <c r="C3572" s="6" t="s">
        <v>4495</v>
      </c>
      <c r="D3572" s="1">
        <v>45500</v>
      </c>
      <c r="E3572" s="4">
        <v>361.23</v>
      </c>
      <c r="F3572" s="3">
        <v>2</v>
      </c>
      <c r="G3572" s="6" t="s">
        <v>18</v>
      </c>
    </row>
    <row r="3573" spans="1:7" x14ac:dyDescent="0.3">
      <c r="A3573" s="2" t="s">
        <v>4496</v>
      </c>
      <c r="B3573" s="2" t="s">
        <v>4494</v>
      </c>
      <c r="C3573" s="6" t="s">
        <v>4495</v>
      </c>
      <c r="D3573" s="1">
        <v>45567</v>
      </c>
      <c r="E3573" s="4">
        <v>14.94</v>
      </c>
      <c r="F3573" s="3">
        <v>4</v>
      </c>
      <c r="G3573" s="6" t="s">
        <v>10</v>
      </c>
    </row>
    <row r="3574" spans="1:7" x14ac:dyDescent="0.3">
      <c r="A3574" s="2" t="s">
        <v>4497</v>
      </c>
      <c r="B3574" s="2" t="s">
        <v>4494</v>
      </c>
      <c r="C3574" s="6" t="s">
        <v>4495</v>
      </c>
      <c r="D3574" s="1">
        <v>45599</v>
      </c>
      <c r="E3574" s="4">
        <v>418.89</v>
      </c>
      <c r="F3574" s="3">
        <v>1</v>
      </c>
      <c r="G3574" s="6" t="s">
        <v>26</v>
      </c>
    </row>
    <row r="3575" spans="1:7" x14ac:dyDescent="0.3">
      <c r="A3575" s="2" t="s">
        <v>4498</v>
      </c>
      <c r="B3575" s="2" t="s">
        <v>4494</v>
      </c>
      <c r="C3575" s="6" t="s">
        <v>4495</v>
      </c>
      <c r="D3575" s="1">
        <v>45600</v>
      </c>
      <c r="E3575" s="4">
        <v>135.43</v>
      </c>
      <c r="F3575" s="3">
        <v>3</v>
      </c>
      <c r="G3575" s="6" t="s">
        <v>15</v>
      </c>
    </row>
    <row r="3576" spans="1:7" x14ac:dyDescent="0.3">
      <c r="A3576" s="2" t="s">
        <v>4499</v>
      </c>
      <c r="B3576" s="2" t="s">
        <v>4494</v>
      </c>
      <c r="C3576" s="6" t="s">
        <v>4495</v>
      </c>
      <c r="D3576" s="1">
        <v>45493</v>
      </c>
      <c r="E3576" s="4">
        <v>296.45999999999998</v>
      </c>
      <c r="F3576" s="3">
        <v>3</v>
      </c>
      <c r="G3576" s="6" t="s">
        <v>10</v>
      </c>
    </row>
    <row r="3577" spans="1:7" x14ac:dyDescent="0.3">
      <c r="A3577" s="2" t="s">
        <v>4500</v>
      </c>
      <c r="B3577" s="2" t="s">
        <v>4494</v>
      </c>
      <c r="C3577" s="6" t="s">
        <v>4495</v>
      </c>
      <c r="D3577" s="1">
        <v>45487</v>
      </c>
      <c r="E3577" s="4">
        <v>453.17</v>
      </c>
      <c r="F3577" s="3">
        <v>4</v>
      </c>
      <c r="G3577" s="6" t="s">
        <v>15</v>
      </c>
    </row>
    <row r="3578" spans="1:7" x14ac:dyDescent="0.3">
      <c r="A3578" s="2" t="s">
        <v>4501</v>
      </c>
      <c r="B3578" s="2" t="s">
        <v>4494</v>
      </c>
      <c r="C3578" s="6" t="s">
        <v>4495</v>
      </c>
      <c r="D3578" s="1">
        <v>45591</v>
      </c>
      <c r="E3578" s="4">
        <v>245.56</v>
      </c>
      <c r="F3578" s="3">
        <v>2</v>
      </c>
      <c r="G3578" s="6" t="s">
        <v>10</v>
      </c>
    </row>
    <row r="3579" spans="1:7" x14ac:dyDescent="0.3">
      <c r="A3579" s="2" t="s">
        <v>4502</v>
      </c>
      <c r="B3579" s="2" t="s">
        <v>4494</v>
      </c>
      <c r="C3579" s="6" t="s">
        <v>4495</v>
      </c>
      <c r="D3579" s="1">
        <v>45538</v>
      </c>
      <c r="E3579" s="4">
        <v>334.22</v>
      </c>
      <c r="F3579" s="3">
        <v>3</v>
      </c>
      <c r="G3579" s="6" t="s">
        <v>12</v>
      </c>
    </row>
    <row r="3580" spans="1:7" x14ac:dyDescent="0.3">
      <c r="A3580" s="2" t="s">
        <v>4503</v>
      </c>
      <c r="B3580" s="2" t="s">
        <v>4494</v>
      </c>
      <c r="C3580" s="6" t="s">
        <v>4495</v>
      </c>
      <c r="D3580" s="1">
        <v>45599</v>
      </c>
      <c r="E3580" s="4">
        <v>456.77</v>
      </c>
      <c r="F3580" s="3">
        <v>3</v>
      </c>
      <c r="G3580" s="6" t="s">
        <v>26</v>
      </c>
    </row>
    <row r="3581" spans="1:7" x14ac:dyDescent="0.3">
      <c r="A3581" s="2" t="s">
        <v>4504</v>
      </c>
      <c r="B3581" s="2" t="s">
        <v>4494</v>
      </c>
      <c r="C3581" s="6" t="s">
        <v>4495</v>
      </c>
      <c r="D3581" s="1">
        <v>45496</v>
      </c>
      <c r="E3581" s="4">
        <v>38.49</v>
      </c>
      <c r="F3581" s="3">
        <v>2</v>
      </c>
      <c r="G3581" s="6" t="s">
        <v>12</v>
      </c>
    </row>
    <row r="3582" spans="1:7" x14ac:dyDescent="0.3">
      <c r="A3582" s="2" t="s">
        <v>4505</v>
      </c>
      <c r="B3582" s="2" t="s">
        <v>4494</v>
      </c>
      <c r="C3582" s="6" t="s">
        <v>4495</v>
      </c>
      <c r="D3582" s="1">
        <v>45628</v>
      </c>
      <c r="E3582" s="4">
        <v>491.03</v>
      </c>
      <c r="F3582" s="3">
        <v>2</v>
      </c>
      <c r="G3582" s="6" t="s">
        <v>15</v>
      </c>
    </row>
    <row r="3583" spans="1:7" x14ac:dyDescent="0.3">
      <c r="A3583" s="2" t="s">
        <v>4506</v>
      </c>
      <c r="B3583" s="2" t="s">
        <v>4494</v>
      </c>
      <c r="C3583" s="6" t="s">
        <v>4495</v>
      </c>
      <c r="D3583" s="1">
        <v>45641</v>
      </c>
      <c r="E3583" s="4">
        <v>277.99</v>
      </c>
      <c r="F3583" s="3">
        <v>4</v>
      </c>
      <c r="G3583" s="6" t="s">
        <v>15</v>
      </c>
    </row>
    <row r="3584" spans="1:7" x14ac:dyDescent="0.3">
      <c r="A3584" s="2" t="s">
        <v>4507</v>
      </c>
      <c r="B3584" s="2" t="s">
        <v>4508</v>
      </c>
      <c r="C3584" s="6" t="s">
        <v>4509</v>
      </c>
      <c r="D3584" s="1">
        <v>45644</v>
      </c>
      <c r="E3584" s="4">
        <v>463.61</v>
      </c>
      <c r="F3584" s="3">
        <v>2</v>
      </c>
      <c r="G3584" s="6" t="s">
        <v>10</v>
      </c>
    </row>
    <row r="3585" spans="1:7" x14ac:dyDescent="0.3">
      <c r="A3585" s="2" t="s">
        <v>4510</v>
      </c>
      <c r="B3585" s="2" t="s">
        <v>4508</v>
      </c>
      <c r="C3585" s="6" t="s">
        <v>4509</v>
      </c>
      <c r="D3585" s="1">
        <v>45338</v>
      </c>
      <c r="E3585" s="4">
        <v>282.95999999999998</v>
      </c>
      <c r="F3585" s="3">
        <v>2</v>
      </c>
      <c r="G3585" s="6" t="s">
        <v>15</v>
      </c>
    </row>
    <row r="3586" spans="1:7" x14ac:dyDescent="0.3">
      <c r="A3586" s="2" t="s">
        <v>4511</v>
      </c>
      <c r="B3586" s="2" t="s">
        <v>4508</v>
      </c>
      <c r="C3586" s="6" t="s">
        <v>4509</v>
      </c>
      <c r="D3586" s="1">
        <v>45314</v>
      </c>
      <c r="E3586" s="4">
        <v>203.45</v>
      </c>
      <c r="F3586" s="3">
        <v>4</v>
      </c>
      <c r="G3586" s="6" t="s">
        <v>10</v>
      </c>
    </row>
    <row r="3587" spans="1:7" x14ac:dyDescent="0.3">
      <c r="A3587" s="2" t="s">
        <v>4512</v>
      </c>
      <c r="B3587" s="2" t="s">
        <v>4508</v>
      </c>
      <c r="C3587" s="6" t="s">
        <v>4509</v>
      </c>
      <c r="D3587" s="1">
        <v>45423</v>
      </c>
      <c r="E3587" s="4">
        <v>463.82</v>
      </c>
      <c r="F3587" s="3">
        <v>4</v>
      </c>
      <c r="G3587" s="6" t="s">
        <v>18</v>
      </c>
    </row>
    <row r="3588" spans="1:7" x14ac:dyDescent="0.3">
      <c r="A3588" s="2" t="s">
        <v>4513</v>
      </c>
      <c r="B3588" s="2" t="s">
        <v>4508</v>
      </c>
      <c r="C3588" s="6" t="s">
        <v>4509</v>
      </c>
      <c r="D3588" s="1">
        <v>45584</v>
      </c>
      <c r="E3588" s="4">
        <v>83.26</v>
      </c>
      <c r="F3588" s="3">
        <v>2</v>
      </c>
      <c r="G3588" s="6" t="s">
        <v>18</v>
      </c>
    </row>
    <row r="3589" spans="1:7" x14ac:dyDescent="0.3">
      <c r="A3589" s="2" t="s">
        <v>4514</v>
      </c>
      <c r="B3589" s="2" t="s">
        <v>4508</v>
      </c>
      <c r="C3589" s="6" t="s">
        <v>4509</v>
      </c>
      <c r="D3589" s="1">
        <v>45479</v>
      </c>
      <c r="E3589" s="4">
        <v>363.63</v>
      </c>
      <c r="F3589" s="3">
        <v>3</v>
      </c>
      <c r="G3589" s="6" t="s">
        <v>18</v>
      </c>
    </row>
    <row r="3590" spans="1:7" x14ac:dyDescent="0.3">
      <c r="A3590" s="2" t="s">
        <v>4515</v>
      </c>
      <c r="B3590" s="2" t="s">
        <v>4508</v>
      </c>
      <c r="C3590" s="6" t="s">
        <v>4509</v>
      </c>
      <c r="D3590" s="1">
        <v>45633</v>
      </c>
      <c r="E3590" s="4">
        <v>473.82</v>
      </c>
      <c r="F3590" s="3">
        <v>1</v>
      </c>
      <c r="G3590" s="6" t="s">
        <v>12</v>
      </c>
    </row>
    <row r="3591" spans="1:7" x14ac:dyDescent="0.3">
      <c r="A3591" s="2" t="s">
        <v>4516</v>
      </c>
      <c r="B3591" s="2" t="s">
        <v>4508</v>
      </c>
      <c r="C3591" s="6" t="s">
        <v>4509</v>
      </c>
      <c r="D3591" s="1">
        <v>45392</v>
      </c>
      <c r="E3591" s="4">
        <v>11.31</v>
      </c>
      <c r="F3591" s="3">
        <v>2</v>
      </c>
      <c r="G3591" s="6" t="s">
        <v>26</v>
      </c>
    </row>
    <row r="3592" spans="1:7" x14ac:dyDescent="0.3">
      <c r="A3592" s="2" t="s">
        <v>4517</v>
      </c>
      <c r="B3592" s="2" t="s">
        <v>4508</v>
      </c>
      <c r="C3592" s="6" t="s">
        <v>4509</v>
      </c>
      <c r="D3592" s="1">
        <v>45604</v>
      </c>
      <c r="E3592" s="4">
        <v>165.31</v>
      </c>
      <c r="F3592" s="3">
        <v>2</v>
      </c>
      <c r="G3592" s="6" t="s">
        <v>18</v>
      </c>
    </row>
    <row r="3593" spans="1:7" x14ac:dyDescent="0.3">
      <c r="A3593" s="2" t="s">
        <v>4518</v>
      </c>
      <c r="B3593" s="2" t="s">
        <v>4519</v>
      </c>
      <c r="C3593" s="6" t="s">
        <v>4520</v>
      </c>
      <c r="D3593" s="1">
        <v>45438</v>
      </c>
      <c r="E3593" s="4">
        <v>284.95</v>
      </c>
      <c r="F3593" s="3">
        <v>1</v>
      </c>
      <c r="G3593" s="6" t="s">
        <v>15</v>
      </c>
    </row>
    <row r="3594" spans="1:7" x14ac:dyDescent="0.3">
      <c r="A3594" s="2" t="s">
        <v>4521</v>
      </c>
      <c r="B3594" s="2" t="s">
        <v>4519</v>
      </c>
      <c r="C3594" s="6" t="s">
        <v>4520</v>
      </c>
      <c r="D3594" s="1">
        <v>45551</v>
      </c>
      <c r="E3594" s="4">
        <v>156.94</v>
      </c>
      <c r="F3594" s="3">
        <v>3</v>
      </c>
      <c r="G3594" s="6" t="s">
        <v>15</v>
      </c>
    </row>
    <row r="3595" spans="1:7" x14ac:dyDescent="0.3">
      <c r="A3595" s="2" t="s">
        <v>4522</v>
      </c>
      <c r="B3595" s="2" t="s">
        <v>4519</v>
      </c>
      <c r="C3595" s="6" t="s">
        <v>4520</v>
      </c>
      <c r="D3595" s="1">
        <v>45456</v>
      </c>
      <c r="E3595" s="4">
        <v>289.97000000000003</v>
      </c>
      <c r="F3595" s="3">
        <v>1</v>
      </c>
      <c r="G3595" s="6" t="s">
        <v>38</v>
      </c>
    </row>
    <row r="3596" spans="1:7" x14ac:dyDescent="0.3">
      <c r="A3596" s="2" t="s">
        <v>4523</v>
      </c>
      <c r="B3596" s="2" t="s">
        <v>4519</v>
      </c>
      <c r="C3596" s="6" t="s">
        <v>4520</v>
      </c>
      <c r="D3596" s="1">
        <v>45627</v>
      </c>
      <c r="E3596" s="4">
        <v>333.66</v>
      </c>
      <c r="F3596" s="3">
        <v>4</v>
      </c>
      <c r="G3596" s="6" t="s">
        <v>12</v>
      </c>
    </row>
    <row r="3597" spans="1:7" x14ac:dyDescent="0.3">
      <c r="A3597" s="2" t="s">
        <v>4524</v>
      </c>
      <c r="B3597" s="2" t="s">
        <v>4525</v>
      </c>
      <c r="C3597" s="6" t="s">
        <v>4526</v>
      </c>
      <c r="D3597" s="1">
        <v>45514</v>
      </c>
      <c r="E3597" s="4">
        <v>352.34</v>
      </c>
      <c r="F3597" s="3">
        <v>3</v>
      </c>
      <c r="G3597" s="6" t="s">
        <v>12</v>
      </c>
    </row>
    <row r="3598" spans="1:7" x14ac:dyDescent="0.3">
      <c r="A3598" s="2" t="s">
        <v>4527</v>
      </c>
      <c r="B3598" s="2" t="s">
        <v>4525</v>
      </c>
      <c r="C3598" s="6" t="s">
        <v>4526</v>
      </c>
      <c r="D3598" s="1">
        <v>45354</v>
      </c>
      <c r="E3598" s="4">
        <v>459.58</v>
      </c>
      <c r="F3598" s="3">
        <v>2</v>
      </c>
      <c r="G3598" s="6" t="s">
        <v>38</v>
      </c>
    </row>
    <row r="3599" spans="1:7" x14ac:dyDescent="0.3">
      <c r="A3599" s="2" t="s">
        <v>4528</v>
      </c>
      <c r="B3599" s="2" t="s">
        <v>4525</v>
      </c>
      <c r="C3599" s="6" t="s">
        <v>4526</v>
      </c>
      <c r="D3599" s="1">
        <v>45546</v>
      </c>
      <c r="E3599" s="4">
        <v>164.24</v>
      </c>
      <c r="F3599" s="3">
        <v>3</v>
      </c>
      <c r="G3599" s="6" t="s">
        <v>12</v>
      </c>
    </row>
    <row r="3600" spans="1:7" x14ac:dyDescent="0.3">
      <c r="A3600" s="2" t="s">
        <v>4529</v>
      </c>
      <c r="B3600" s="2" t="s">
        <v>4525</v>
      </c>
      <c r="C3600" s="6" t="s">
        <v>4526</v>
      </c>
      <c r="D3600" s="1">
        <v>45230</v>
      </c>
      <c r="E3600" s="4">
        <v>439.69</v>
      </c>
      <c r="F3600" s="3">
        <v>2</v>
      </c>
      <c r="G3600" s="6" t="s">
        <v>12</v>
      </c>
    </row>
    <row r="3601" spans="1:7" x14ac:dyDescent="0.3">
      <c r="A3601" s="2" t="s">
        <v>4530</v>
      </c>
      <c r="B3601" s="2" t="s">
        <v>4525</v>
      </c>
      <c r="C3601" s="6" t="s">
        <v>4526</v>
      </c>
      <c r="D3601" s="1">
        <v>45296</v>
      </c>
      <c r="E3601" s="4">
        <v>55.13</v>
      </c>
      <c r="F3601" s="3">
        <v>1</v>
      </c>
      <c r="G3601" s="6" t="s">
        <v>26</v>
      </c>
    </row>
    <row r="3602" spans="1:7" x14ac:dyDescent="0.3">
      <c r="A3602" s="2" t="s">
        <v>4531</v>
      </c>
      <c r="B3602" s="2" t="s">
        <v>4525</v>
      </c>
      <c r="C3602" s="6" t="s">
        <v>4526</v>
      </c>
      <c r="D3602" s="1">
        <v>45321</v>
      </c>
      <c r="E3602" s="4">
        <v>203.67</v>
      </c>
      <c r="F3602" s="3">
        <v>1</v>
      </c>
      <c r="G3602" s="6" t="s">
        <v>26</v>
      </c>
    </row>
    <row r="3603" spans="1:7" x14ac:dyDescent="0.3">
      <c r="A3603" s="2" t="s">
        <v>4532</v>
      </c>
      <c r="B3603" s="2" t="s">
        <v>4525</v>
      </c>
      <c r="C3603" s="6" t="s">
        <v>4526</v>
      </c>
      <c r="D3603" s="1">
        <v>45390</v>
      </c>
      <c r="E3603" s="4">
        <v>265.69</v>
      </c>
      <c r="F3603" s="3">
        <v>4</v>
      </c>
      <c r="G3603" s="6" t="s">
        <v>10</v>
      </c>
    </row>
    <row r="3604" spans="1:7" x14ac:dyDescent="0.3">
      <c r="A3604" s="2" t="s">
        <v>4533</v>
      </c>
      <c r="B3604" s="2" t="s">
        <v>4525</v>
      </c>
      <c r="C3604" s="6" t="s">
        <v>4526</v>
      </c>
      <c r="D3604" s="1">
        <v>45655</v>
      </c>
      <c r="E3604" s="4">
        <v>204.96</v>
      </c>
      <c r="F3604" s="3">
        <v>3</v>
      </c>
      <c r="G3604" s="6" t="s">
        <v>26</v>
      </c>
    </row>
    <row r="3605" spans="1:7" x14ac:dyDescent="0.3">
      <c r="A3605" s="2" t="s">
        <v>4534</v>
      </c>
      <c r="B3605" s="2" t="s">
        <v>4525</v>
      </c>
      <c r="C3605" s="6" t="s">
        <v>4526</v>
      </c>
      <c r="D3605" s="1">
        <v>45515</v>
      </c>
      <c r="E3605" s="4">
        <v>45.12</v>
      </c>
      <c r="F3605" s="3">
        <v>1</v>
      </c>
      <c r="G3605" s="6" t="s">
        <v>12</v>
      </c>
    </row>
    <row r="3606" spans="1:7" x14ac:dyDescent="0.3">
      <c r="A3606" s="2" t="s">
        <v>4535</v>
      </c>
      <c r="B3606" s="2" t="s">
        <v>4536</v>
      </c>
      <c r="C3606" s="6" t="s">
        <v>4537</v>
      </c>
      <c r="D3606" s="1">
        <v>45565</v>
      </c>
      <c r="E3606" s="4">
        <v>83.2</v>
      </c>
      <c r="F3606" s="3">
        <v>1</v>
      </c>
      <c r="G3606" s="6" t="s">
        <v>38</v>
      </c>
    </row>
    <row r="3607" spans="1:7" x14ac:dyDescent="0.3">
      <c r="A3607" s="2" t="s">
        <v>4538</v>
      </c>
      <c r="B3607" s="2" t="s">
        <v>4536</v>
      </c>
      <c r="C3607" s="6" t="s">
        <v>4537</v>
      </c>
      <c r="D3607" s="1">
        <v>45632</v>
      </c>
      <c r="E3607" s="4">
        <v>17.59</v>
      </c>
      <c r="F3607" s="3">
        <v>3</v>
      </c>
      <c r="G3607" s="6" t="s">
        <v>38</v>
      </c>
    </row>
    <row r="3608" spans="1:7" x14ac:dyDescent="0.3">
      <c r="A3608" s="2" t="s">
        <v>4539</v>
      </c>
      <c r="B3608" s="2" t="s">
        <v>4536</v>
      </c>
      <c r="C3608" s="6" t="s">
        <v>4537</v>
      </c>
      <c r="D3608" s="1">
        <v>45606</v>
      </c>
      <c r="E3608" s="4">
        <v>214.82</v>
      </c>
      <c r="F3608" s="3">
        <v>2</v>
      </c>
      <c r="G3608" s="6" t="s">
        <v>15</v>
      </c>
    </row>
    <row r="3609" spans="1:7" x14ac:dyDescent="0.3">
      <c r="A3609" s="2" t="s">
        <v>4540</v>
      </c>
      <c r="B3609" s="2" t="s">
        <v>4536</v>
      </c>
      <c r="C3609" s="6" t="s">
        <v>4537</v>
      </c>
      <c r="D3609" s="1">
        <v>45574</v>
      </c>
      <c r="E3609" s="4">
        <v>473.14</v>
      </c>
      <c r="F3609" s="3">
        <v>2</v>
      </c>
      <c r="G3609" s="6" t="s">
        <v>18</v>
      </c>
    </row>
    <row r="3610" spans="1:7" x14ac:dyDescent="0.3">
      <c r="A3610" s="2" t="s">
        <v>4541</v>
      </c>
      <c r="B3610" s="2" t="s">
        <v>4536</v>
      </c>
      <c r="C3610" s="6" t="s">
        <v>4537</v>
      </c>
      <c r="D3610" s="1">
        <v>45549</v>
      </c>
      <c r="E3610" s="4">
        <v>137.02000000000001</v>
      </c>
      <c r="F3610" s="3">
        <v>4</v>
      </c>
      <c r="G3610" s="6" t="s">
        <v>10</v>
      </c>
    </row>
    <row r="3611" spans="1:7" x14ac:dyDescent="0.3">
      <c r="A3611" s="2" t="s">
        <v>4542</v>
      </c>
      <c r="B3611" s="2" t="s">
        <v>4543</v>
      </c>
      <c r="C3611" s="6" t="s">
        <v>4544</v>
      </c>
      <c r="D3611" s="1">
        <v>44994</v>
      </c>
      <c r="E3611" s="4">
        <v>162.47</v>
      </c>
      <c r="F3611" s="3">
        <v>1</v>
      </c>
      <c r="G3611" s="6" t="s">
        <v>10</v>
      </c>
    </row>
    <row r="3612" spans="1:7" x14ac:dyDescent="0.3">
      <c r="A3612" s="2" t="s">
        <v>4545</v>
      </c>
      <c r="B3612" s="2" t="s">
        <v>4543</v>
      </c>
      <c r="C3612" s="6" t="s">
        <v>4544</v>
      </c>
      <c r="D3612" s="1">
        <v>45288</v>
      </c>
      <c r="E3612" s="4">
        <v>92.51</v>
      </c>
      <c r="F3612" s="3">
        <v>2</v>
      </c>
      <c r="G3612" s="6" t="s">
        <v>38</v>
      </c>
    </row>
    <row r="3613" spans="1:7" x14ac:dyDescent="0.3">
      <c r="A3613" s="2" t="s">
        <v>4546</v>
      </c>
      <c r="B3613" s="2" t="s">
        <v>4543</v>
      </c>
      <c r="C3613" s="6" t="s">
        <v>4544</v>
      </c>
      <c r="D3613" s="1">
        <v>45638</v>
      </c>
      <c r="E3613" s="4">
        <v>75.36</v>
      </c>
      <c r="F3613" s="3">
        <v>1</v>
      </c>
      <c r="G3613" s="6" t="s">
        <v>38</v>
      </c>
    </row>
    <row r="3614" spans="1:7" x14ac:dyDescent="0.3">
      <c r="A3614" s="2" t="s">
        <v>4547</v>
      </c>
      <c r="B3614" s="2" t="s">
        <v>4543</v>
      </c>
      <c r="C3614" s="6" t="s">
        <v>4544</v>
      </c>
      <c r="D3614" s="1">
        <v>45163</v>
      </c>
      <c r="E3614" s="4">
        <v>74.75</v>
      </c>
      <c r="F3614" s="3">
        <v>2</v>
      </c>
      <c r="G3614" s="6" t="s">
        <v>26</v>
      </c>
    </row>
    <row r="3615" spans="1:7" x14ac:dyDescent="0.3">
      <c r="A3615" s="2" t="s">
        <v>4548</v>
      </c>
      <c r="B3615" s="2" t="s">
        <v>4543</v>
      </c>
      <c r="C3615" s="6" t="s">
        <v>4544</v>
      </c>
      <c r="D3615" s="1">
        <v>45335</v>
      </c>
      <c r="E3615" s="4">
        <v>303.7</v>
      </c>
      <c r="F3615" s="3">
        <v>2</v>
      </c>
      <c r="G3615" s="6" t="s">
        <v>10</v>
      </c>
    </row>
    <row r="3616" spans="1:7" x14ac:dyDescent="0.3">
      <c r="A3616" s="2" t="s">
        <v>4549</v>
      </c>
      <c r="B3616" s="2" t="s">
        <v>4543</v>
      </c>
      <c r="C3616" s="6" t="s">
        <v>4544</v>
      </c>
      <c r="D3616" s="1">
        <v>45098</v>
      </c>
      <c r="E3616" s="4">
        <v>379.94</v>
      </c>
      <c r="F3616" s="3">
        <v>4</v>
      </c>
      <c r="G3616" s="6" t="s">
        <v>38</v>
      </c>
    </row>
    <row r="3617" spans="1:7" x14ac:dyDescent="0.3">
      <c r="A3617" s="2" t="s">
        <v>4550</v>
      </c>
      <c r="B3617" s="2" t="s">
        <v>4543</v>
      </c>
      <c r="C3617" s="6" t="s">
        <v>4544</v>
      </c>
      <c r="D3617" s="1">
        <v>45078</v>
      </c>
      <c r="E3617" s="4">
        <v>408.42</v>
      </c>
      <c r="F3617" s="3">
        <v>3</v>
      </c>
      <c r="G3617" s="6" t="s">
        <v>10</v>
      </c>
    </row>
    <row r="3618" spans="1:7" x14ac:dyDescent="0.3">
      <c r="A3618" s="2" t="s">
        <v>4551</v>
      </c>
      <c r="B3618" s="2" t="s">
        <v>4543</v>
      </c>
      <c r="C3618" s="6" t="s">
        <v>4544</v>
      </c>
      <c r="D3618" s="1">
        <v>45451</v>
      </c>
      <c r="E3618" s="4">
        <v>34.07</v>
      </c>
      <c r="F3618" s="3">
        <v>3</v>
      </c>
      <c r="G3618" s="6" t="s">
        <v>10</v>
      </c>
    </row>
    <row r="3619" spans="1:7" x14ac:dyDescent="0.3">
      <c r="A3619" s="2" t="s">
        <v>4552</v>
      </c>
      <c r="B3619" s="2" t="s">
        <v>4543</v>
      </c>
      <c r="C3619" s="6" t="s">
        <v>4544</v>
      </c>
      <c r="D3619" s="1">
        <v>45403</v>
      </c>
      <c r="E3619" s="4">
        <v>270.85000000000002</v>
      </c>
      <c r="F3619" s="3">
        <v>4</v>
      </c>
      <c r="G3619" s="6" t="s">
        <v>10</v>
      </c>
    </row>
    <row r="3620" spans="1:7" x14ac:dyDescent="0.3">
      <c r="A3620" s="2" t="s">
        <v>4553</v>
      </c>
      <c r="B3620" s="2" t="s">
        <v>4554</v>
      </c>
      <c r="C3620" s="6" t="s">
        <v>4555</v>
      </c>
      <c r="D3620" s="1">
        <v>45610</v>
      </c>
      <c r="E3620" s="4">
        <v>32.32</v>
      </c>
      <c r="F3620" s="3">
        <v>3</v>
      </c>
      <c r="G3620" s="6" t="s">
        <v>18</v>
      </c>
    </row>
    <row r="3621" spans="1:7" x14ac:dyDescent="0.3">
      <c r="A3621" s="2" t="s">
        <v>4556</v>
      </c>
      <c r="B3621" s="2" t="s">
        <v>4554</v>
      </c>
      <c r="C3621" s="6" t="s">
        <v>4555</v>
      </c>
      <c r="D3621" s="1">
        <v>45564</v>
      </c>
      <c r="E3621" s="4">
        <v>16.5</v>
      </c>
      <c r="F3621" s="3">
        <v>1</v>
      </c>
      <c r="G3621" s="6" t="s">
        <v>12</v>
      </c>
    </row>
    <row r="3622" spans="1:7" x14ac:dyDescent="0.3">
      <c r="A3622" s="2" t="s">
        <v>4557</v>
      </c>
      <c r="B3622" s="2" t="s">
        <v>4554</v>
      </c>
      <c r="C3622" s="6" t="s">
        <v>4555</v>
      </c>
      <c r="D3622" s="1">
        <v>45615</v>
      </c>
      <c r="E3622" s="4">
        <v>74.349999999999994</v>
      </c>
      <c r="F3622" s="3">
        <v>3</v>
      </c>
      <c r="G3622" s="6" t="s">
        <v>12</v>
      </c>
    </row>
    <row r="3623" spans="1:7" x14ac:dyDescent="0.3">
      <c r="A3623" s="2" t="s">
        <v>4558</v>
      </c>
      <c r="B3623" s="2" t="s">
        <v>4554</v>
      </c>
      <c r="C3623" s="6" t="s">
        <v>4555</v>
      </c>
      <c r="D3623" s="1">
        <v>45652</v>
      </c>
      <c r="E3623" s="4">
        <v>86.4</v>
      </c>
      <c r="F3623" s="3">
        <v>4</v>
      </c>
      <c r="G3623" s="6" t="s">
        <v>18</v>
      </c>
    </row>
    <row r="3624" spans="1:7" x14ac:dyDescent="0.3">
      <c r="A3624" s="2" t="s">
        <v>4559</v>
      </c>
      <c r="B3624" s="2" t="s">
        <v>4554</v>
      </c>
      <c r="C3624" s="6" t="s">
        <v>4555</v>
      </c>
      <c r="D3624" s="1">
        <v>45553</v>
      </c>
      <c r="E3624" s="4">
        <v>196.63</v>
      </c>
      <c r="F3624" s="3">
        <v>4</v>
      </c>
      <c r="G3624" s="6" t="s">
        <v>18</v>
      </c>
    </row>
    <row r="3625" spans="1:7" x14ac:dyDescent="0.3">
      <c r="A3625" s="2" t="s">
        <v>4560</v>
      </c>
      <c r="B3625" s="2" t="s">
        <v>4554</v>
      </c>
      <c r="C3625" s="6" t="s">
        <v>4555</v>
      </c>
      <c r="D3625" s="1">
        <v>45648</v>
      </c>
      <c r="E3625" s="4">
        <v>387.02</v>
      </c>
      <c r="F3625" s="3">
        <v>4</v>
      </c>
      <c r="G3625" s="6" t="s">
        <v>12</v>
      </c>
    </row>
    <row r="3626" spans="1:7" x14ac:dyDescent="0.3">
      <c r="A3626" s="2" t="s">
        <v>4561</v>
      </c>
      <c r="B3626" s="2" t="s">
        <v>4554</v>
      </c>
      <c r="C3626" s="6" t="s">
        <v>4555</v>
      </c>
      <c r="D3626" s="1">
        <v>45567</v>
      </c>
      <c r="E3626" s="4">
        <v>326.87</v>
      </c>
      <c r="F3626" s="3">
        <v>3</v>
      </c>
      <c r="G3626" s="6" t="s">
        <v>10</v>
      </c>
    </row>
    <row r="3627" spans="1:7" x14ac:dyDescent="0.3">
      <c r="A3627" s="2" t="s">
        <v>4562</v>
      </c>
      <c r="B3627" s="2" t="s">
        <v>4554</v>
      </c>
      <c r="C3627" s="6" t="s">
        <v>4555</v>
      </c>
      <c r="D3627" s="1">
        <v>45649</v>
      </c>
      <c r="E3627" s="4">
        <v>369.89</v>
      </c>
      <c r="F3627" s="3">
        <v>2</v>
      </c>
      <c r="G3627" s="6" t="s">
        <v>18</v>
      </c>
    </row>
    <row r="3628" spans="1:7" x14ac:dyDescent="0.3">
      <c r="A3628" s="2" t="s">
        <v>4563</v>
      </c>
      <c r="B3628" s="2" t="s">
        <v>4554</v>
      </c>
      <c r="C3628" s="6" t="s">
        <v>4555</v>
      </c>
      <c r="D3628" s="1">
        <v>45559</v>
      </c>
      <c r="E3628" s="4">
        <v>240.57</v>
      </c>
      <c r="F3628" s="3">
        <v>4</v>
      </c>
      <c r="G3628" s="6" t="s">
        <v>12</v>
      </c>
    </row>
    <row r="3629" spans="1:7" x14ac:dyDescent="0.3">
      <c r="A3629" s="2" t="s">
        <v>4564</v>
      </c>
      <c r="B3629" s="2" t="s">
        <v>4554</v>
      </c>
      <c r="C3629" s="6" t="s">
        <v>4555</v>
      </c>
      <c r="D3629" s="1">
        <v>45654</v>
      </c>
      <c r="E3629" s="4">
        <v>414.87</v>
      </c>
      <c r="F3629" s="3">
        <v>3</v>
      </c>
      <c r="G3629" s="6" t="s">
        <v>18</v>
      </c>
    </row>
    <row r="3630" spans="1:7" x14ac:dyDescent="0.3">
      <c r="A3630" s="2" t="s">
        <v>4565</v>
      </c>
      <c r="B3630" s="2" t="s">
        <v>4554</v>
      </c>
      <c r="C3630" s="6" t="s">
        <v>4555</v>
      </c>
      <c r="D3630" s="1">
        <v>45607</v>
      </c>
      <c r="E3630" s="4">
        <v>496.5</v>
      </c>
      <c r="F3630" s="3">
        <v>4</v>
      </c>
      <c r="G3630" s="6" t="s">
        <v>15</v>
      </c>
    </row>
    <row r="3631" spans="1:7" x14ac:dyDescent="0.3">
      <c r="A3631" s="2" t="s">
        <v>4566</v>
      </c>
      <c r="B3631" s="2" t="s">
        <v>4554</v>
      </c>
      <c r="C3631" s="6" t="s">
        <v>4555</v>
      </c>
      <c r="D3631" s="1">
        <v>45550</v>
      </c>
      <c r="E3631" s="4">
        <v>182.98</v>
      </c>
      <c r="F3631" s="3">
        <v>3</v>
      </c>
      <c r="G3631" s="6" t="s">
        <v>18</v>
      </c>
    </row>
    <row r="3632" spans="1:7" x14ac:dyDescent="0.3">
      <c r="A3632" s="2" t="s">
        <v>4567</v>
      </c>
      <c r="B3632" s="2" t="s">
        <v>4568</v>
      </c>
      <c r="C3632" s="6" t="s">
        <v>4569</v>
      </c>
      <c r="D3632" s="1">
        <v>45537</v>
      </c>
      <c r="E3632" s="4">
        <v>320.7</v>
      </c>
      <c r="F3632" s="3">
        <v>2</v>
      </c>
      <c r="G3632" s="6" t="s">
        <v>15</v>
      </c>
    </row>
    <row r="3633" spans="1:7" x14ac:dyDescent="0.3">
      <c r="A3633" s="2" t="s">
        <v>4570</v>
      </c>
      <c r="B3633" s="2" t="s">
        <v>4568</v>
      </c>
      <c r="C3633" s="6" t="s">
        <v>4569</v>
      </c>
      <c r="D3633" s="1">
        <v>45328</v>
      </c>
      <c r="E3633" s="4">
        <v>331.33</v>
      </c>
      <c r="F3633" s="3">
        <v>2</v>
      </c>
      <c r="G3633" s="6" t="s">
        <v>12</v>
      </c>
    </row>
    <row r="3634" spans="1:7" x14ac:dyDescent="0.3">
      <c r="A3634" s="2" t="s">
        <v>4571</v>
      </c>
      <c r="B3634" s="2" t="s">
        <v>4568</v>
      </c>
      <c r="C3634" s="6" t="s">
        <v>4569</v>
      </c>
      <c r="D3634" s="1">
        <v>45247</v>
      </c>
      <c r="E3634" s="4">
        <v>24.89</v>
      </c>
      <c r="F3634" s="3">
        <v>4</v>
      </c>
      <c r="G3634" s="6" t="s">
        <v>10</v>
      </c>
    </row>
    <row r="3635" spans="1:7" x14ac:dyDescent="0.3">
      <c r="A3635" s="2" t="s">
        <v>4572</v>
      </c>
      <c r="B3635" s="2" t="s">
        <v>4568</v>
      </c>
      <c r="C3635" s="6" t="s">
        <v>4569</v>
      </c>
      <c r="D3635" s="1">
        <v>45258</v>
      </c>
      <c r="E3635" s="4">
        <v>439.54</v>
      </c>
      <c r="F3635" s="3">
        <v>1</v>
      </c>
      <c r="G3635" s="6" t="s">
        <v>15</v>
      </c>
    </row>
    <row r="3636" spans="1:7" x14ac:dyDescent="0.3">
      <c r="A3636" s="2" t="s">
        <v>4573</v>
      </c>
      <c r="B3636" s="2" t="s">
        <v>4568</v>
      </c>
      <c r="C3636" s="6" t="s">
        <v>4569</v>
      </c>
      <c r="D3636" s="1">
        <v>45358</v>
      </c>
      <c r="E3636" s="4">
        <v>379.36</v>
      </c>
      <c r="F3636" s="3">
        <v>4</v>
      </c>
      <c r="G3636" s="6" t="s">
        <v>10</v>
      </c>
    </row>
    <row r="3637" spans="1:7" x14ac:dyDescent="0.3">
      <c r="A3637" s="2" t="s">
        <v>4574</v>
      </c>
      <c r="B3637" s="2" t="s">
        <v>4568</v>
      </c>
      <c r="C3637" s="6" t="s">
        <v>4569</v>
      </c>
      <c r="D3637" s="1">
        <v>45314</v>
      </c>
      <c r="E3637" s="4">
        <v>478.71</v>
      </c>
      <c r="F3637" s="3">
        <v>3</v>
      </c>
      <c r="G3637" s="6" t="s">
        <v>15</v>
      </c>
    </row>
    <row r="3638" spans="1:7" x14ac:dyDescent="0.3">
      <c r="A3638" s="2" t="s">
        <v>4575</v>
      </c>
      <c r="B3638" s="2" t="s">
        <v>4568</v>
      </c>
      <c r="C3638" s="6" t="s">
        <v>4569</v>
      </c>
      <c r="D3638" s="1">
        <v>45491</v>
      </c>
      <c r="E3638" s="4">
        <v>320.77</v>
      </c>
      <c r="F3638" s="3">
        <v>3</v>
      </c>
      <c r="G3638" s="6" t="s">
        <v>10</v>
      </c>
    </row>
    <row r="3639" spans="1:7" x14ac:dyDescent="0.3">
      <c r="A3639" s="2" t="s">
        <v>4576</v>
      </c>
      <c r="B3639" s="2" t="s">
        <v>4568</v>
      </c>
      <c r="C3639" s="6" t="s">
        <v>4569</v>
      </c>
      <c r="D3639" s="1">
        <v>45340</v>
      </c>
      <c r="E3639" s="4">
        <v>324.38</v>
      </c>
      <c r="F3639" s="3">
        <v>1</v>
      </c>
      <c r="G3639" s="6" t="s">
        <v>38</v>
      </c>
    </row>
    <row r="3640" spans="1:7" x14ac:dyDescent="0.3">
      <c r="A3640" s="2" t="s">
        <v>4577</v>
      </c>
      <c r="B3640" s="2" t="s">
        <v>4568</v>
      </c>
      <c r="C3640" s="6" t="s">
        <v>4569</v>
      </c>
      <c r="D3640" s="1">
        <v>45034</v>
      </c>
      <c r="E3640" s="4">
        <v>229.49</v>
      </c>
      <c r="F3640" s="3">
        <v>1</v>
      </c>
      <c r="G3640" s="6" t="s">
        <v>18</v>
      </c>
    </row>
    <row r="3641" spans="1:7" x14ac:dyDescent="0.3">
      <c r="A3641" s="2" t="s">
        <v>4578</v>
      </c>
      <c r="B3641" s="2" t="s">
        <v>4568</v>
      </c>
      <c r="C3641" s="6" t="s">
        <v>4569</v>
      </c>
      <c r="D3641" s="1">
        <v>45300</v>
      </c>
      <c r="E3641" s="4">
        <v>434.4</v>
      </c>
      <c r="F3641" s="3">
        <v>3</v>
      </c>
      <c r="G3641" s="6" t="s">
        <v>12</v>
      </c>
    </row>
    <row r="3642" spans="1:7" x14ac:dyDescent="0.3">
      <c r="A3642" s="2" t="s">
        <v>4579</v>
      </c>
      <c r="B3642" s="2" t="s">
        <v>4568</v>
      </c>
      <c r="C3642" s="6" t="s">
        <v>4569</v>
      </c>
      <c r="D3642" s="1">
        <v>45384</v>
      </c>
      <c r="E3642" s="4">
        <v>342.65</v>
      </c>
      <c r="F3642" s="3">
        <v>3</v>
      </c>
      <c r="G3642" s="6" t="s">
        <v>18</v>
      </c>
    </row>
    <row r="3643" spans="1:7" x14ac:dyDescent="0.3">
      <c r="A3643" s="2" t="s">
        <v>4580</v>
      </c>
      <c r="B3643" s="2" t="s">
        <v>4568</v>
      </c>
      <c r="C3643" s="6" t="s">
        <v>4569</v>
      </c>
      <c r="D3643" s="1">
        <v>45106</v>
      </c>
      <c r="E3643" s="4">
        <v>229.02</v>
      </c>
      <c r="F3643" s="3">
        <v>3</v>
      </c>
      <c r="G3643" s="6" t="s">
        <v>26</v>
      </c>
    </row>
    <row r="3644" spans="1:7" x14ac:dyDescent="0.3">
      <c r="A3644" s="2" t="s">
        <v>4581</v>
      </c>
      <c r="B3644" s="2" t="s">
        <v>4568</v>
      </c>
      <c r="C3644" s="6" t="s">
        <v>4569</v>
      </c>
      <c r="D3644" s="1">
        <v>45048</v>
      </c>
      <c r="E3644" s="4">
        <v>347.21</v>
      </c>
      <c r="F3644" s="3">
        <v>3</v>
      </c>
      <c r="G3644" s="6" t="s">
        <v>26</v>
      </c>
    </row>
    <row r="3645" spans="1:7" x14ac:dyDescent="0.3">
      <c r="A3645" s="2" t="s">
        <v>4582</v>
      </c>
      <c r="B3645" s="2" t="s">
        <v>4568</v>
      </c>
      <c r="C3645" s="6" t="s">
        <v>4569</v>
      </c>
      <c r="D3645" s="1">
        <v>45109</v>
      </c>
      <c r="E3645" s="4">
        <v>67.040000000000006</v>
      </c>
      <c r="F3645" s="3">
        <v>4</v>
      </c>
      <c r="G3645" s="6" t="s">
        <v>18</v>
      </c>
    </row>
    <row r="3646" spans="1:7" x14ac:dyDescent="0.3">
      <c r="A3646" s="2" t="s">
        <v>4583</v>
      </c>
      <c r="B3646" s="2" t="s">
        <v>4568</v>
      </c>
      <c r="C3646" s="6" t="s">
        <v>4569</v>
      </c>
      <c r="D3646" s="1">
        <v>45036</v>
      </c>
      <c r="E3646" s="4">
        <v>19.91</v>
      </c>
      <c r="F3646" s="3">
        <v>2</v>
      </c>
      <c r="G3646" s="6" t="s">
        <v>38</v>
      </c>
    </row>
    <row r="3647" spans="1:7" x14ac:dyDescent="0.3">
      <c r="A3647" s="2" t="s">
        <v>4584</v>
      </c>
      <c r="B3647" s="2" t="s">
        <v>4585</v>
      </c>
      <c r="C3647" s="6" t="s">
        <v>4586</v>
      </c>
      <c r="D3647" s="1">
        <v>45477</v>
      </c>
      <c r="E3647" s="4">
        <v>393.22</v>
      </c>
      <c r="F3647" s="3">
        <v>1</v>
      </c>
      <c r="G3647" s="6" t="s">
        <v>38</v>
      </c>
    </row>
    <row r="3648" spans="1:7" x14ac:dyDescent="0.3">
      <c r="A3648" s="2" t="s">
        <v>4587</v>
      </c>
      <c r="B3648" s="2" t="s">
        <v>4585</v>
      </c>
      <c r="C3648" s="6" t="s">
        <v>4586</v>
      </c>
      <c r="D3648" s="1">
        <v>45471</v>
      </c>
      <c r="E3648" s="4">
        <v>308.66000000000003</v>
      </c>
      <c r="F3648" s="3">
        <v>3</v>
      </c>
      <c r="G3648" s="6" t="s">
        <v>15</v>
      </c>
    </row>
    <row r="3649" spans="1:7" x14ac:dyDescent="0.3">
      <c r="A3649" s="2" t="s">
        <v>4588</v>
      </c>
      <c r="B3649" s="2" t="s">
        <v>4585</v>
      </c>
      <c r="C3649" s="6" t="s">
        <v>4586</v>
      </c>
      <c r="D3649" s="1">
        <v>45569</v>
      </c>
      <c r="E3649" s="4">
        <v>127.4</v>
      </c>
      <c r="F3649" s="3">
        <v>3</v>
      </c>
      <c r="G3649" s="6" t="s">
        <v>10</v>
      </c>
    </row>
    <row r="3650" spans="1:7" x14ac:dyDescent="0.3">
      <c r="A3650" s="2" t="s">
        <v>4589</v>
      </c>
      <c r="B3650" s="2" t="s">
        <v>4585</v>
      </c>
      <c r="C3650" s="6" t="s">
        <v>4586</v>
      </c>
      <c r="D3650" s="1">
        <v>45612</v>
      </c>
      <c r="E3650" s="4">
        <v>33.33</v>
      </c>
      <c r="F3650" s="3">
        <v>1</v>
      </c>
      <c r="G3650" s="6" t="s">
        <v>15</v>
      </c>
    </row>
    <row r="3651" spans="1:7" x14ac:dyDescent="0.3">
      <c r="A3651" s="2" t="s">
        <v>4590</v>
      </c>
      <c r="B3651" s="2" t="s">
        <v>4585</v>
      </c>
      <c r="C3651" s="6" t="s">
        <v>4586</v>
      </c>
      <c r="D3651" s="1">
        <v>45619</v>
      </c>
      <c r="E3651" s="4">
        <v>133.58000000000001</v>
      </c>
      <c r="F3651" s="3">
        <v>4</v>
      </c>
      <c r="G3651" s="6" t="s">
        <v>18</v>
      </c>
    </row>
    <row r="3652" spans="1:7" x14ac:dyDescent="0.3">
      <c r="A3652" s="2" t="s">
        <v>4591</v>
      </c>
      <c r="B3652" s="2" t="s">
        <v>4585</v>
      </c>
      <c r="C3652" s="6" t="s">
        <v>4586</v>
      </c>
      <c r="D3652" s="1">
        <v>45650</v>
      </c>
      <c r="E3652" s="4">
        <v>383.28</v>
      </c>
      <c r="F3652" s="3">
        <v>2</v>
      </c>
      <c r="G3652" s="6" t="s">
        <v>18</v>
      </c>
    </row>
    <row r="3653" spans="1:7" x14ac:dyDescent="0.3">
      <c r="A3653" s="2" t="s">
        <v>4592</v>
      </c>
      <c r="B3653" s="2" t="s">
        <v>4585</v>
      </c>
      <c r="C3653" s="6" t="s">
        <v>4586</v>
      </c>
      <c r="D3653" s="1">
        <v>45597</v>
      </c>
      <c r="E3653" s="4">
        <v>40.22</v>
      </c>
      <c r="F3653" s="3">
        <v>3</v>
      </c>
      <c r="G3653" s="6" t="s">
        <v>10</v>
      </c>
    </row>
    <row r="3654" spans="1:7" x14ac:dyDescent="0.3">
      <c r="A3654" s="2" t="s">
        <v>4593</v>
      </c>
      <c r="B3654" s="2" t="s">
        <v>4585</v>
      </c>
      <c r="C3654" s="6" t="s">
        <v>4586</v>
      </c>
      <c r="D3654" s="1">
        <v>45567</v>
      </c>
      <c r="E3654" s="4">
        <v>316.70999999999998</v>
      </c>
      <c r="F3654" s="3">
        <v>3</v>
      </c>
      <c r="G3654" s="6" t="s">
        <v>26</v>
      </c>
    </row>
    <row r="3655" spans="1:7" x14ac:dyDescent="0.3">
      <c r="A3655" s="2" t="s">
        <v>4594</v>
      </c>
      <c r="B3655" s="2" t="s">
        <v>4585</v>
      </c>
      <c r="C3655" s="6" t="s">
        <v>4586</v>
      </c>
      <c r="D3655" s="1">
        <v>45520</v>
      </c>
      <c r="E3655" s="4">
        <v>361.82</v>
      </c>
      <c r="F3655" s="3">
        <v>2</v>
      </c>
      <c r="G3655" s="6" t="s">
        <v>15</v>
      </c>
    </row>
    <row r="3656" spans="1:7" x14ac:dyDescent="0.3">
      <c r="A3656" s="2" t="s">
        <v>4595</v>
      </c>
      <c r="B3656" s="2" t="s">
        <v>4596</v>
      </c>
      <c r="C3656" s="6" t="s">
        <v>4597</v>
      </c>
      <c r="D3656" s="1">
        <v>45637</v>
      </c>
      <c r="E3656" s="4">
        <v>192.43</v>
      </c>
      <c r="F3656" s="3">
        <v>2</v>
      </c>
      <c r="G3656" s="6" t="s">
        <v>12</v>
      </c>
    </row>
    <row r="3657" spans="1:7" x14ac:dyDescent="0.3">
      <c r="A3657" s="2" t="s">
        <v>4598</v>
      </c>
      <c r="B3657" s="2" t="s">
        <v>4596</v>
      </c>
      <c r="C3657" s="6" t="s">
        <v>4597</v>
      </c>
      <c r="D3657" s="1">
        <v>45537</v>
      </c>
      <c r="E3657" s="4">
        <v>324.64</v>
      </c>
      <c r="F3657" s="3">
        <v>3</v>
      </c>
      <c r="G3657" s="6" t="s">
        <v>18</v>
      </c>
    </row>
    <row r="3658" spans="1:7" x14ac:dyDescent="0.3">
      <c r="A3658" s="2" t="s">
        <v>4599</v>
      </c>
      <c r="B3658" s="2" t="s">
        <v>4596</v>
      </c>
      <c r="C3658" s="6" t="s">
        <v>4597</v>
      </c>
      <c r="D3658" s="1">
        <v>45639</v>
      </c>
      <c r="E3658" s="4">
        <v>197.47</v>
      </c>
      <c r="F3658" s="3">
        <v>3</v>
      </c>
      <c r="G3658" s="6" t="s">
        <v>12</v>
      </c>
    </row>
    <row r="3659" spans="1:7" x14ac:dyDescent="0.3">
      <c r="A3659" s="2" t="s">
        <v>4600</v>
      </c>
      <c r="B3659" s="2" t="s">
        <v>4596</v>
      </c>
      <c r="C3659" s="6" t="s">
        <v>4597</v>
      </c>
      <c r="D3659" s="1">
        <v>45551</v>
      </c>
      <c r="E3659" s="4">
        <v>460.26</v>
      </c>
      <c r="F3659" s="3">
        <v>2</v>
      </c>
      <c r="G3659" s="6" t="s">
        <v>38</v>
      </c>
    </row>
    <row r="3660" spans="1:7" x14ac:dyDescent="0.3">
      <c r="A3660" s="2" t="s">
        <v>4601</v>
      </c>
      <c r="B3660" s="2" t="s">
        <v>4596</v>
      </c>
      <c r="C3660" s="6" t="s">
        <v>4597</v>
      </c>
      <c r="D3660" s="1">
        <v>45501</v>
      </c>
      <c r="E3660" s="4">
        <v>182.3</v>
      </c>
      <c r="F3660" s="3">
        <v>1</v>
      </c>
      <c r="G3660" s="6" t="s">
        <v>15</v>
      </c>
    </row>
    <row r="3661" spans="1:7" x14ac:dyDescent="0.3">
      <c r="A3661" s="2" t="s">
        <v>4602</v>
      </c>
      <c r="B3661" s="2" t="s">
        <v>4596</v>
      </c>
      <c r="C3661" s="6" t="s">
        <v>4597</v>
      </c>
      <c r="D3661" s="1">
        <v>45591</v>
      </c>
      <c r="E3661" s="4">
        <v>288.83</v>
      </c>
      <c r="F3661" s="3">
        <v>3</v>
      </c>
      <c r="G3661" s="6" t="s">
        <v>10</v>
      </c>
    </row>
    <row r="3662" spans="1:7" x14ac:dyDescent="0.3">
      <c r="A3662" s="2" t="s">
        <v>4603</v>
      </c>
      <c r="B3662" s="2" t="s">
        <v>4596</v>
      </c>
      <c r="C3662" s="6" t="s">
        <v>4597</v>
      </c>
      <c r="D3662" s="1">
        <v>45654</v>
      </c>
      <c r="E3662" s="4">
        <v>249.15</v>
      </c>
      <c r="F3662" s="3">
        <v>4</v>
      </c>
      <c r="G3662" s="6" t="s">
        <v>26</v>
      </c>
    </row>
    <row r="3663" spans="1:7" x14ac:dyDescent="0.3">
      <c r="A3663" s="2" t="s">
        <v>4604</v>
      </c>
      <c r="B3663" s="2" t="s">
        <v>4596</v>
      </c>
      <c r="C3663" s="6" t="s">
        <v>4597</v>
      </c>
      <c r="D3663" s="1">
        <v>45654</v>
      </c>
      <c r="E3663" s="4">
        <v>307.16000000000003</v>
      </c>
      <c r="F3663" s="3">
        <v>2</v>
      </c>
      <c r="G3663" s="6" t="s">
        <v>18</v>
      </c>
    </row>
    <row r="3664" spans="1:7" x14ac:dyDescent="0.3">
      <c r="A3664" s="2" t="s">
        <v>4605</v>
      </c>
      <c r="B3664" s="2" t="s">
        <v>4596</v>
      </c>
      <c r="C3664" s="6" t="s">
        <v>4597</v>
      </c>
      <c r="D3664" s="1">
        <v>45462</v>
      </c>
      <c r="E3664" s="4">
        <v>458.58</v>
      </c>
      <c r="F3664" s="3">
        <v>4</v>
      </c>
      <c r="G3664" s="6" t="s">
        <v>12</v>
      </c>
    </row>
    <row r="3665" spans="1:7" x14ac:dyDescent="0.3">
      <c r="A3665" s="2" t="s">
        <v>4606</v>
      </c>
      <c r="B3665" s="2" t="s">
        <v>4596</v>
      </c>
      <c r="C3665" s="6" t="s">
        <v>4597</v>
      </c>
      <c r="D3665" s="1">
        <v>45409</v>
      </c>
      <c r="E3665" s="4">
        <v>499</v>
      </c>
      <c r="F3665" s="3">
        <v>4</v>
      </c>
      <c r="G3665" s="6" t="s">
        <v>15</v>
      </c>
    </row>
    <row r="3666" spans="1:7" x14ac:dyDescent="0.3">
      <c r="A3666" s="2" t="s">
        <v>4607</v>
      </c>
      <c r="B3666" s="2" t="s">
        <v>4596</v>
      </c>
      <c r="C3666" s="6" t="s">
        <v>4597</v>
      </c>
      <c r="D3666" s="1">
        <v>45555</v>
      </c>
      <c r="E3666" s="4">
        <v>144.78</v>
      </c>
      <c r="F3666" s="3">
        <v>3</v>
      </c>
      <c r="G3666" s="6" t="s">
        <v>10</v>
      </c>
    </row>
    <row r="3667" spans="1:7" x14ac:dyDescent="0.3">
      <c r="A3667" s="2" t="s">
        <v>4608</v>
      </c>
      <c r="B3667" s="2" t="s">
        <v>4596</v>
      </c>
      <c r="C3667" s="6" t="s">
        <v>4597</v>
      </c>
      <c r="D3667" s="1">
        <v>45506</v>
      </c>
      <c r="E3667" s="4">
        <v>221.79</v>
      </c>
      <c r="F3667" s="3">
        <v>2</v>
      </c>
      <c r="G3667" s="6" t="s">
        <v>10</v>
      </c>
    </row>
    <row r="3668" spans="1:7" x14ac:dyDescent="0.3">
      <c r="A3668" s="2" t="s">
        <v>4609</v>
      </c>
      <c r="B3668" s="2" t="s">
        <v>4596</v>
      </c>
      <c r="C3668" s="6" t="s">
        <v>4597</v>
      </c>
      <c r="D3668" s="1">
        <v>45616</v>
      </c>
      <c r="E3668" s="4">
        <v>150.1</v>
      </c>
      <c r="F3668" s="3">
        <v>2</v>
      </c>
      <c r="G3668" s="6" t="s">
        <v>10</v>
      </c>
    </row>
    <row r="3669" spans="1:7" x14ac:dyDescent="0.3">
      <c r="A3669" s="2" t="s">
        <v>4610</v>
      </c>
      <c r="B3669" s="2" t="s">
        <v>4596</v>
      </c>
      <c r="C3669" s="6" t="s">
        <v>4597</v>
      </c>
      <c r="D3669" s="1">
        <v>45483</v>
      </c>
      <c r="E3669" s="4">
        <v>251.85</v>
      </c>
      <c r="F3669" s="3">
        <v>4</v>
      </c>
      <c r="G3669" s="6" t="s">
        <v>15</v>
      </c>
    </row>
    <row r="3670" spans="1:7" x14ac:dyDescent="0.3">
      <c r="A3670" s="2" t="s">
        <v>4611</v>
      </c>
      <c r="B3670" s="2" t="s">
        <v>4612</v>
      </c>
      <c r="C3670" s="6" t="s">
        <v>4613</v>
      </c>
      <c r="D3670" s="1">
        <v>45358</v>
      </c>
      <c r="E3670" s="4">
        <v>422.57</v>
      </c>
      <c r="F3670" s="3">
        <v>1</v>
      </c>
      <c r="G3670" s="6" t="s">
        <v>18</v>
      </c>
    </row>
    <row r="3671" spans="1:7" x14ac:dyDescent="0.3">
      <c r="A3671" s="2" t="s">
        <v>4614</v>
      </c>
      <c r="B3671" s="2" t="s">
        <v>4612</v>
      </c>
      <c r="C3671" s="6" t="s">
        <v>4613</v>
      </c>
      <c r="D3671" s="1">
        <v>45336</v>
      </c>
      <c r="E3671" s="4">
        <v>225.67</v>
      </c>
      <c r="F3671" s="3">
        <v>3</v>
      </c>
      <c r="G3671" s="6" t="s">
        <v>26</v>
      </c>
    </row>
    <row r="3672" spans="1:7" x14ac:dyDescent="0.3">
      <c r="A3672" s="2" t="s">
        <v>4615</v>
      </c>
      <c r="B3672" s="2" t="s">
        <v>4612</v>
      </c>
      <c r="C3672" s="6" t="s">
        <v>4613</v>
      </c>
      <c r="D3672" s="1">
        <v>45362</v>
      </c>
      <c r="E3672" s="4">
        <v>332.22</v>
      </c>
      <c r="F3672" s="3">
        <v>3</v>
      </c>
      <c r="G3672" s="6" t="s">
        <v>10</v>
      </c>
    </row>
    <row r="3673" spans="1:7" x14ac:dyDescent="0.3">
      <c r="A3673" s="2" t="s">
        <v>4616</v>
      </c>
      <c r="B3673" s="2" t="s">
        <v>4612</v>
      </c>
      <c r="C3673" s="6" t="s">
        <v>4613</v>
      </c>
      <c r="D3673" s="1">
        <v>45486</v>
      </c>
      <c r="E3673" s="4">
        <v>101.51</v>
      </c>
      <c r="F3673" s="3">
        <v>3</v>
      </c>
      <c r="G3673" s="6" t="s">
        <v>10</v>
      </c>
    </row>
    <row r="3674" spans="1:7" x14ac:dyDescent="0.3">
      <c r="A3674" s="2" t="s">
        <v>4617</v>
      </c>
      <c r="B3674" s="2" t="s">
        <v>4612</v>
      </c>
      <c r="C3674" s="6" t="s">
        <v>4613</v>
      </c>
      <c r="D3674" s="1">
        <v>45569</v>
      </c>
      <c r="E3674" s="4">
        <v>439.34</v>
      </c>
      <c r="F3674" s="3">
        <v>4</v>
      </c>
      <c r="G3674" s="6" t="s">
        <v>26</v>
      </c>
    </row>
    <row r="3675" spans="1:7" x14ac:dyDescent="0.3">
      <c r="A3675" s="2" t="s">
        <v>4618</v>
      </c>
      <c r="B3675" s="2" t="s">
        <v>4612</v>
      </c>
      <c r="C3675" s="6" t="s">
        <v>4613</v>
      </c>
      <c r="D3675" s="1">
        <v>45447</v>
      </c>
      <c r="E3675" s="4">
        <v>123.17</v>
      </c>
      <c r="F3675" s="3">
        <v>1</v>
      </c>
      <c r="G3675" s="6" t="s">
        <v>10</v>
      </c>
    </row>
    <row r="3676" spans="1:7" x14ac:dyDescent="0.3">
      <c r="A3676" s="2" t="s">
        <v>4619</v>
      </c>
      <c r="B3676" s="2" t="s">
        <v>4612</v>
      </c>
      <c r="C3676" s="6" t="s">
        <v>4613</v>
      </c>
      <c r="D3676" s="1">
        <v>45213</v>
      </c>
      <c r="E3676" s="4">
        <v>178.24</v>
      </c>
      <c r="F3676" s="3">
        <v>3</v>
      </c>
      <c r="G3676" s="6" t="s">
        <v>15</v>
      </c>
    </row>
    <row r="3677" spans="1:7" x14ac:dyDescent="0.3">
      <c r="A3677" s="2" t="s">
        <v>4620</v>
      </c>
      <c r="B3677" s="2" t="s">
        <v>4621</v>
      </c>
      <c r="C3677" s="6" t="s">
        <v>4622</v>
      </c>
      <c r="D3677" s="1">
        <v>45412</v>
      </c>
      <c r="E3677" s="4">
        <v>242.44</v>
      </c>
      <c r="F3677" s="3">
        <v>3</v>
      </c>
      <c r="G3677" s="6" t="s">
        <v>10</v>
      </c>
    </row>
    <row r="3678" spans="1:7" x14ac:dyDescent="0.3">
      <c r="A3678" s="2" t="s">
        <v>4623</v>
      </c>
      <c r="B3678" s="2" t="s">
        <v>4621</v>
      </c>
      <c r="C3678" s="6" t="s">
        <v>4622</v>
      </c>
      <c r="D3678" s="1">
        <v>45564</v>
      </c>
      <c r="E3678" s="4">
        <v>179.79</v>
      </c>
      <c r="F3678" s="3">
        <v>1</v>
      </c>
      <c r="G3678" s="6" t="s">
        <v>18</v>
      </c>
    </row>
    <row r="3679" spans="1:7" x14ac:dyDescent="0.3">
      <c r="A3679" s="2" t="s">
        <v>4624</v>
      </c>
      <c r="B3679" s="2" t="s">
        <v>4621</v>
      </c>
      <c r="C3679" s="6" t="s">
        <v>4622</v>
      </c>
      <c r="D3679" s="1">
        <v>45577</v>
      </c>
      <c r="E3679" s="4">
        <v>361.76</v>
      </c>
      <c r="F3679" s="3">
        <v>1</v>
      </c>
      <c r="G3679" s="6" t="s">
        <v>10</v>
      </c>
    </row>
    <row r="3680" spans="1:7" x14ac:dyDescent="0.3">
      <c r="A3680" s="2" t="s">
        <v>4625</v>
      </c>
      <c r="B3680" s="2" t="s">
        <v>4621</v>
      </c>
      <c r="C3680" s="6" t="s">
        <v>4622</v>
      </c>
      <c r="D3680" s="1">
        <v>45622</v>
      </c>
      <c r="E3680" s="4">
        <v>10.53</v>
      </c>
      <c r="F3680" s="3">
        <v>1</v>
      </c>
      <c r="G3680" s="6" t="s">
        <v>18</v>
      </c>
    </row>
    <row r="3681" spans="1:7" x14ac:dyDescent="0.3">
      <c r="A3681" s="2" t="s">
        <v>4626</v>
      </c>
      <c r="B3681" s="2" t="s">
        <v>4621</v>
      </c>
      <c r="C3681" s="6" t="s">
        <v>4622</v>
      </c>
      <c r="D3681" s="1">
        <v>45375</v>
      </c>
      <c r="E3681" s="4">
        <v>189.34</v>
      </c>
      <c r="F3681" s="3">
        <v>1</v>
      </c>
      <c r="G3681" s="6" t="s">
        <v>12</v>
      </c>
    </row>
    <row r="3682" spans="1:7" x14ac:dyDescent="0.3">
      <c r="A3682" s="2" t="s">
        <v>4627</v>
      </c>
      <c r="B3682" s="2" t="s">
        <v>4621</v>
      </c>
      <c r="C3682" s="6" t="s">
        <v>4622</v>
      </c>
      <c r="D3682" s="1">
        <v>45443</v>
      </c>
      <c r="E3682" s="4">
        <v>26.68</v>
      </c>
      <c r="F3682" s="3">
        <v>3</v>
      </c>
      <c r="G3682" s="6" t="s">
        <v>38</v>
      </c>
    </row>
    <row r="3683" spans="1:7" x14ac:dyDescent="0.3">
      <c r="A3683" s="2" t="s">
        <v>4628</v>
      </c>
      <c r="B3683" s="2" t="s">
        <v>4621</v>
      </c>
      <c r="C3683" s="6" t="s">
        <v>4622</v>
      </c>
      <c r="D3683" s="1">
        <v>45410</v>
      </c>
      <c r="E3683" s="4">
        <v>448.51</v>
      </c>
      <c r="F3683" s="3">
        <v>1</v>
      </c>
      <c r="G3683" s="6" t="s">
        <v>12</v>
      </c>
    </row>
    <row r="3684" spans="1:7" x14ac:dyDescent="0.3">
      <c r="A3684" s="2" t="s">
        <v>4629</v>
      </c>
      <c r="B3684" s="2" t="s">
        <v>4621</v>
      </c>
      <c r="C3684" s="6" t="s">
        <v>4622</v>
      </c>
      <c r="D3684" s="1">
        <v>45452</v>
      </c>
      <c r="E3684" s="4">
        <v>321.89999999999998</v>
      </c>
      <c r="F3684" s="3">
        <v>3</v>
      </c>
      <c r="G3684" s="6" t="s">
        <v>18</v>
      </c>
    </row>
    <row r="3685" spans="1:7" x14ac:dyDescent="0.3">
      <c r="A3685" s="2" t="s">
        <v>4630</v>
      </c>
      <c r="B3685" s="2" t="s">
        <v>4621</v>
      </c>
      <c r="C3685" s="6" t="s">
        <v>4622</v>
      </c>
      <c r="D3685" s="1">
        <v>45613</v>
      </c>
      <c r="E3685" s="4">
        <v>381.96</v>
      </c>
      <c r="F3685" s="3">
        <v>3</v>
      </c>
      <c r="G3685" s="6" t="s">
        <v>15</v>
      </c>
    </row>
    <row r="3686" spans="1:7" x14ac:dyDescent="0.3">
      <c r="A3686" s="2" t="s">
        <v>4631</v>
      </c>
      <c r="B3686" s="2" t="s">
        <v>4621</v>
      </c>
      <c r="C3686" s="6" t="s">
        <v>4622</v>
      </c>
      <c r="D3686" s="1">
        <v>45621</v>
      </c>
      <c r="E3686" s="4">
        <v>78</v>
      </c>
      <c r="F3686" s="3">
        <v>1</v>
      </c>
      <c r="G3686" s="6" t="s">
        <v>10</v>
      </c>
    </row>
    <row r="3687" spans="1:7" x14ac:dyDescent="0.3">
      <c r="A3687" s="2" t="s">
        <v>4632</v>
      </c>
      <c r="B3687" s="2" t="s">
        <v>4621</v>
      </c>
      <c r="C3687" s="6" t="s">
        <v>4622</v>
      </c>
      <c r="D3687" s="1">
        <v>45581</v>
      </c>
      <c r="E3687" s="4">
        <v>129.86000000000001</v>
      </c>
      <c r="F3687" s="3">
        <v>2</v>
      </c>
      <c r="G3687" s="6" t="s">
        <v>18</v>
      </c>
    </row>
    <row r="3688" spans="1:7" x14ac:dyDescent="0.3">
      <c r="A3688" s="2" t="s">
        <v>4633</v>
      </c>
      <c r="B3688" s="2" t="s">
        <v>4621</v>
      </c>
      <c r="C3688" s="6" t="s">
        <v>4622</v>
      </c>
      <c r="D3688" s="1">
        <v>45484</v>
      </c>
      <c r="E3688" s="4">
        <v>82.21</v>
      </c>
      <c r="F3688" s="3">
        <v>4</v>
      </c>
      <c r="G3688" s="6" t="s">
        <v>18</v>
      </c>
    </row>
    <row r="3689" spans="1:7" x14ac:dyDescent="0.3">
      <c r="A3689" s="2" t="s">
        <v>4634</v>
      </c>
      <c r="B3689" s="2" t="s">
        <v>4621</v>
      </c>
      <c r="C3689" s="6" t="s">
        <v>4622</v>
      </c>
      <c r="D3689" s="1">
        <v>45470</v>
      </c>
      <c r="E3689" s="4">
        <v>14.04</v>
      </c>
      <c r="F3689" s="3">
        <v>2</v>
      </c>
      <c r="G3689" s="6" t="s">
        <v>26</v>
      </c>
    </row>
    <row r="3690" spans="1:7" x14ac:dyDescent="0.3">
      <c r="A3690" s="2" t="s">
        <v>4635</v>
      </c>
      <c r="B3690" s="2" t="s">
        <v>4636</v>
      </c>
      <c r="C3690" s="6" t="s">
        <v>4637</v>
      </c>
      <c r="D3690" s="1">
        <v>45656</v>
      </c>
      <c r="E3690" s="4">
        <v>310.23</v>
      </c>
      <c r="F3690" s="3">
        <v>2</v>
      </c>
      <c r="G3690" s="6" t="s">
        <v>12</v>
      </c>
    </row>
    <row r="3691" spans="1:7" x14ac:dyDescent="0.3">
      <c r="A3691" s="2" t="s">
        <v>4638</v>
      </c>
      <c r="B3691" s="2" t="s">
        <v>4636</v>
      </c>
      <c r="C3691" s="6" t="s">
        <v>4637</v>
      </c>
      <c r="D3691" s="1">
        <v>45630</v>
      </c>
      <c r="E3691" s="4">
        <v>165.79</v>
      </c>
      <c r="F3691" s="3">
        <v>3</v>
      </c>
      <c r="G3691" s="6" t="s">
        <v>10</v>
      </c>
    </row>
    <row r="3692" spans="1:7" x14ac:dyDescent="0.3">
      <c r="A3692" s="2" t="s">
        <v>4639</v>
      </c>
      <c r="B3692" s="2" t="s">
        <v>4636</v>
      </c>
      <c r="C3692" s="6" t="s">
        <v>4637</v>
      </c>
      <c r="D3692" s="1">
        <v>45600</v>
      </c>
      <c r="E3692" s="4">
        <v>134.47999999999999</v>
      </c>
      <c r="F3692" s="3">
        <v>1</v>
      </c>
      <c r="G3692" s="6" t="s">
        <v>38</v>
      </c>
    </row>
    <row r="3693" spans="1:7" x14ac:dyDescent="0.3">
      <c r="A3693" s="2" t="s">
        <v>4640</v>
      </c>
      <c r="B3693" s="2" t="s">
        <v>4636</v>
      </c>
      <c r="C3693" s="6" t="s">
        <v>4637</v>
      </c>
      <c r="D3693" s="1">
        <v>45584</v>
      </c>
      <c r="E3693" s="4">
        <v>335.53</v>
      </c>
      <c r="F3693" s="3">
        <v>2</v>
      </c>
      <c r="G3693" s="6" t="s">
        <v>38</v>
      </c>
    </row>
    <row r="3694" spans="1:7" x14ac:dyDescent="0.3">
      <c r="A3694" s="2" t="s">
        <v>4641</v>
      </c>
      <c r="B3694" s="2" t="s">
        <v>4636</v>
      </c>
      <c r="C3694" s="6" t="s">
        <v>4637</v>
      </c>
      <c r="D3694" s="1">
        <v>45581</v>
      </c>
      <c r="E3694" s="4">
        <v>67.040000000000006</v>
      </c>
      <c r="F3694" s="3">
        <v>2</v>
      </c>
      <c r="G3694" s="6" t="s">
        <v>15</v>
      </c>
    </row>
    <row r="3695" spans="1:7" x14ac:dyDescent="0.3">
      <c r="A3695" s="2" t="s">
        <v>4642</v>
      </c>
      <c r="B3695" s="2" t="s">
        <v>4636</v>
      </c>
      <c r="C3695" s="6" t="s">
        <v>4637</v>
      </c>
      <c r="D3695" s="1">
        <v>45641</v>
      </c>
      <c r="E3695" s="4">
        <v>148.36000000000001</v>
      </c>
      <c r="F3695" s="3">
        <v>2</v>
      </c>
      <c r="G3695" s="6" t="s">
        <v>38</v>
      </c>
    </row>
    <row r="3696" spans="1:7" x14ac:dyDescent="0.3">
      <c r="A3696" s="2" t="s">
        <v>4643</v>
      </c>
      <c r="B3696" s="2" t="s">
        <v>4636</v>
      </c>
      <c r="C3696" s="6" t="s">
        <v>4637</v>
      </c>
      <c r="D3696" s="1">
        <v>45626</v>
      </c>
      <c r="E3696" s="4">
        <v>79.72</v>
      </c>
      <c r="F3696" s="3">
        <v>1</v>
      </c>
      <c r="G3696" s="6" t="s">
        <v>18</v>
      </c>
    </row>
    <row r="3697" spans="1:7" x14ac:dyDescent="0.3">
      <c r="A3697" s="2" t="s">
        <v>4644</v>
      </c>
      <c r="B3697" s="2" t="s">
        <v>4645</v>
      </c>
      <c r="C3697" s="6" t="s">
        <v>4646</v>
      </c>
      <c r="D3697" s="1">
        <v>45219</v>
      </c>
      <c r="E3697" s="4">
        <v>259.35000000000002</v>
      </c>
      <c r="F3697" s="3">
        <v>3</v>
      </c>
      <c r="G3697" s="6" t="s">
        <v>26</v>
      </c>
    </row>
    <row r="3698" spans="1:7" x14ac:dyDescent="0.3">
      <c r="A3698" s="2" t="s">
        <v>4647</v>
      </c>
      <c r="B3698" s="2" t="s">
        <v>4645</v>
      </c>
      <c r="C3698" s="6" t="s">
        <v>4646</v>
      </c>
      <c r="D3698" s="1">
        <v>45315</v>
      </c>
      <c r="E3698" s="4">
        <v>420.76</v>
      </c>
      <c r="F3698" s="3">
        <v>1</v>
      </c>
      <c r="G3698" s="6" t="s">
        <v>12</v>
      </c>
    </row>
    <row r="3699" spans="1:7" x14ac:dyDescent="0.3">
      <c r="A3699" s="2" t="s">
        <v>4648</v>
      </c>
      <c r="B3699" s="2" t="s">
        <v>4645</v>
      </c>
      <c r="C3699" s="6" t="s">
        <v>4646</v>
      </c>
      <c r="D3699" s="1">
        <v>45519</v>
      </c>
      <c r="E3699" s="4">
        <v>232.93</v>
      </c>
      <c r="F3699" s="3">
        <v>3</v>
      </c>
      <c r="G3699" s="6" t="s">
        <v>10</v>
      </c>
    </row>
    <row r="3700" spans="1:7" x14ac:dyDescent="0.3">
      <c r="A3700" s="2" t="s">
        <v>4649</v>
      </c>
      <c r="B3700" s="2" t="s">
        <v>4645</v>
      </c>
      <c r="C3700" s="6" t="s">
        <v>4646</v>
      </c>
      <c r="D3700" s="1">
        <v>45292</v>
      </c>
      <c r="E3700" s="4">
        <v>388.35</v>
      </c>
      <c r="F3700" s="3">
        <v>2</v>
      </c>
      <c r="G3700" s="6" t="s">
        <v>38</v>
      </c>
    </row>
    <row r="3701" spans="1:7" x14ac:dyDescent="0.3">
      <c r="A3701" s="2" t="s">
        <v>4650</v>
      </c>
      <c r="B3701" s="2" t="s">
        <v>4645</v>
      </c>
      <c r="C3701" s="6" t="s">
        <v>4646</v>
      </c>
      <c r="D3701" s="1">
        <v>45242</v>
      </c>
      <c r="E3701" s="4">
        <v>123.63</v>
      </c>
      <c r="F3701" s="3">
        <v>1</v>
      </c>
      <c r="G3701" s="6" t="s">
        <v>10</v>
      </c>
    </row>
    <row r="3702" spans="1:7" x14ac:dyDescent="0.3">
      <c r="A3702" s="2" t="s">
        <v>4651</v>
      </c>
      <c r="B3702" s="2" t="s">
        <v>4645</v>
      </c>
      <c r="C3702" s="6" t="s">
        <v>4646</v>
      </c>
      <c r="D3702" s="1">
        <v>45444</v>
      </c>
      <c r="E3702" s="4">
        <v>356.37</v>
      </c>
      <c r="F3702" s="3">
        <v>3</v>
      </c>
      <c r="G3702" s="6" t="s">
        <v>12</v>
      </c>
    </row>
    <row r="3703" spans="1:7" x14ac:dyDescent="0.3">
      <c r="A3703" s="2" t="s">
        <v>4652</v>
      </c>
      <c r="B3703" s="2" t="s">
        <v>4645</v>
      </c>
      <c r="C3703" s="6" t="s">
        <v>4646</v>
      </c>
      <c r="D3703" s="1">
        <v>45270</v>
      </c>
      <c r="E3703" s="4">
        <v>66.17</v>
      </c>
      <c r="F3703" s="3">
        <v>2</v>
      </c>
      <c r="G3703" s="6" t="s">
        <v>18</v>
      </c>
    </row>
    <row r="3704" spans="1:7" x14ac:dyDescent="0.3">
      <c r="A3704" s="2" t="s">
        <v>4653</v>
      </c>
      <c r="B3704" s="2" t="s">
        <v>4654</v>
      </c>
      <c r="C3704" s="6" t="s">
        <v>4655</v>
      </c>
      <c r="D3704" s="1">
        <v>45061</v>
      </c>
      <c r="E3704" s="4">
        <v>444.42</v>
      </c>
      <c r="F3704" s="3">
        <v>1</v>
      </c>
      <c r="G3704" s="6" t="s">
        <v>10</v>
      </c>
    </row>
    <row r="3705" spans="1:7" x14ac:dyDescent="0.3">
      <c r="A3705" s="2" t="s">
        <v>4656</v>
      </c>
      <c r="B3705" s="2" t="s">
        <v>4654</v>
      </c>
      <c r="C3705" s="6" t="s">
        <v>4655</v>
      </c>
      <c r="D3705" s="1">
        <v>45094</v>
      </c>
      <c r="E3705" s="4">
        <v>256.42</v>
      </c>
      <c r="F3705" s="3">
        <v>4</v>
      </c>
      <c r="G3705" s="6" t="s">
        <v>26</v>
      </c>
    </row>
    <row r="3706" spans="1:7" x14ac:dyDescent="0.3">
      <c r="A3706" s="2" t="s">
        <v>4657</v>
      </c>
      <c r="B3706" s="2" t="s">
        <v>4654</v>
      </c>
      <c r="C3706" s="6" t="s">
        <v>4655</v>
      </c>
      <c r="D3706" s="1">
        <v>44967</v>
      </c>
      <c r="E3706" s="4">
        <v>431</v>
      </c>
      <c r="F3706" s="3">
        <v>4</v>
      </c>
      <c r="G3706" s="6" t="s">
        <v>12</v>
      </c>
    </row>
    <row r="3707" spans="1:7" x14ac:dyDescent="0.3">
      <c r="A3707" s="2" t="s">
        <v>4658</v>
      </c>
      <c r="B3707" s="2" t="s">
        <v>4654</v>
      </c>
      <c r="C3707" s="6" t="s">
        <v>4655</v>
      </c>
      <c r="D3707" s="1">
        <v>45455</v>
      </c>
      <c r="E3707" s="4">
        <v>426.89</v>
      </c>
      <c r="F3707" s="3">
        <v>2</v>
      </c>
      <c r="G3707" s="6" t="s">
        <v>15</v>
      </c>
    </row>
    <row r="3708" spans="1:7" x14ac:dyDescent="0.3">
      <c r="A3708" s="2" t="s">
        <v>4659</v>
      </c>
      <c r="B3708" s="2" t="s">
        <v>4654</v>
      </c>
      <c r="C3708" s="6" t="s">
        <v>4655</v>
      </c>
      <c r="D3708" s="1">
        <v>45477</v>
      </c>
      <c r="E3708" s="4">
        <v>437.09</v>
      </c>
      <c r="F3708" s="3">
        <v>3</v>
      </c>
      <c r="G3708" s="6" t="s">
        <v>15</v>
      </c>
    </row>
    <row r="3709" spans="1:7" x14ac:dyDescent="0.3">
      <c r="A3709" s="2" t="s">
        <v>4660</v>
      </c>
      <c r="B3709" s="2" t="s">
        <v>4654</v>
      </c>
      <c r="C3709" s="6" t="s">
        <v>4655</v>
      </c>
      <c r="D3709" s="1">
        <v>45590</v>
      </c>
      <c r="E3709" s="4">
        <v>66.56</v>
      </c>
      <c r="F3709" s="3">
        <v>2</v>
      </c>
      <c r="G3709" s="6" t="s">
        <v>15</v>
      </c>
    </row>
    <row r="3710" spans="1:7" x14ac:dyDescent="0.3">
      <c r="A3710" s="2" t="s">
        <v>4661</v>
      </c>
      <c r="B3710" s="2" t="s">
        <v>4654</v>
      </c>
      <c r="C3710" s="6" t="s">
        <v>4655</v>
      </c>
      <c r="D3710" s="1">
        <v>44958</v>
      </c>
      <c r="E3710" s="4">
        <v>96.88</v>
      </c>
      <c r="F3710" s="3">
        <v>1</v>
      </c>
      <c r="G3710" s="6" t="s">
        <v>18</v>
      </c>
    </row>
    <row r="3711" spans="1:7" x14ac:dyDescent="0.3">
      <c r="A3711" s="2" t="s">
        <v>4662</v>
      </c>
      <c r="B3711" s="2" t="s">
        <v>4654</v>
      </c>
      <c r="C3711" s="6" t="s">
        <v>4655</v>
      </c>
      <c r="D3711" s="1">
        <v>45654</v>
      </c>
      <c r="E3711" s="4">
        <v>100.78</v>
      </c>
      <c r="F3711" s="3">
        <v>4</v>
      </c>
      <c r="G3711" s="6" t="s">
        <v>15</v>
      </c>
    </row>
    <row r="3712" spans="1:7" x14ac:dyDescent="0.3">
      <c r="A3712" s="2" t="s">
        <v>4663</v>
      </c>
      <c r="B3712" s="2" t="s">
        <v>4654</v>
      </c>
      <c r="C3712" s="6" t="s">
        <v>4655</v>
      </c>
      <c r="D3712" s="1">
        <v>45540</v>
      </c>
      <c r="E3712" s="4">
        <v>302.83999999999997</v>
      </c>
      <c r="F3712" s="3">
        <v>4</v>
      </c>
      <c r="G3712" s="6" t="s">
        <v>15</v>
      </c>
    </row>
    <row r="3713" spans="1:7" x14ac:dyDescent="0.3">
      <c r="A3713" s="2" t="s">
        <v>4664</v>
      </c>
      <c r="B3713" s="2" t="s">
        <v>4654</v>
      </c>
      <c r="C3713" s="6" t="s">
        <v>4655</v>
      </c>
      <c r="D3713" s="1">
        <v>45028</v>
      </c>
      <c r="E3713" s="4">
        <v>393.2</v>
      </c>
      <c r="F3713" s="3">
        <v>2</v>
      </c>
      <c r="G3713" s="6" t="s">
        <v>18</v>
      </c>
    </row>
    <row r="3714" spans="1:7" x14ac:dyDescent="0.3">
      <c r="A3714" s="2" t="s">
        <v>4665</v>
      </c>
      <c r="B3714" s="2" t="s">
        <v>4654</v>
      </c>
      <c r="C3714" s="6" t="s">
        <v>4655</v>
      </c>
      <c r="D3714" s="1">
        <v>45196</v>
      </c>
      <c r="E3714" s="4">
        <v>186.82</v>
      </c>
      <c r="F3714" s="3">
        <v>3</v>
      </c>
      <c r="G3714" s="6" t="s">
        <v>15</v>
      </c>
    </row>
    <row r="3715" spans="1:7" x14ac:dyDescent="0.3">
      <c r="A3715" s="2" t="s">
        <v>4666</v>
      </c>
      <c r="B3715" s="2" t="s">
        <v>4654</v>
      </c>
      <c r="C3715" s="6" t="s">
        <v>4655</v>
      </c>
      <c r="D3715" s="1">
        <v>45184</v>
      </c>
      <c r="E3715" s="4">
        <v>192.18</v>
      </c>
      <c r="F3715" s="3">
        <v>3</v>
      </c>
      <c r="G3715" s="6" t="s">
        <v>12</v>
      </c>
    </row>
    <row r="3716" spans="1:7" x14ac:dyDescent="0.3">
      <c r="A3716" s="2" t="s">
        <v>4667</v>
      </c>
      <c r="B3716" s="2" t="s">
        <v>4654</v>
      </c>
      <c r="C3716" s="6" t="s">
        <v>4655</v>
      </c>
      <c r="D3716" s="1">
        <v>44987</v>
      </c>
      <c r="E3716" s="4">
        <v>215.64</v>
      </c>
      <c r="F3716" s="3">
        <v>1</v>
      </c>
      <c r="G3716" s="6" t="s">
        <v>38</v>
      </c>
    </row>
    <row r="3717" spans="1:7" x14ac:dyDescent="0.3">
      <c r="A3717" s="2" t="s">
        <v>4668</v>
      </c>
      <c r="B3717" s="2" t="s">
        <v>4654</v>
      </c>
      <c r="C3717" s="6" t="s">
        <v>4655</v>
      </c>
      <c r="D3717" s="1">
        <v>45190</v>
      </c>
      <c r="E3717" s="4">
        <v>461.65</v>
      </c>
      <c r="F3717" s="3">
        <v>4</v>
      </c>
      <c r="G3717" s="6" t="s">
        <v>26</v>
      </c>
    </row>
    <row r="3718" spans="1:7" x14ac:dyDescent="0.3">
      <c r="A3718" s="2" t="s">
        <v>4669</v>
      </c>
      <c r="B3718" s="2" t="s">
        <v>4670</v>
      </c>
      <c r="C3718" s="6" t="s">
        <v>4671</v>
      </c>
      <c r="D3718" s="1">
        <v>45622</v>
      </c>
      <c r="E3718" s="4">
        <v>222.21</v>
      </c>
      <c r="F3718" s="3">
        <v>4</v>
      </c>
      <c r="G3718" s="6" t="s">
        <v>15</v>
      </c>
    </row>
    <row r="3719" spans="1:7" x14ac:dyDescent="0.3">
      <c r="A3719" s="2" t="s">
        <v>4672</v>
      </c>
      <c r="B3719" s="2" t="s">
        <v>4670</v>
      </c>
      <c r="C3719" s="6" t="s">
        <v>4671</v>
      </c>
      <c r="D3719" s="1">
        <v>45378</v>
      </c>
      <c r="E3719" s="4">
        <v>103.47</v>
      </c>
      <c r="F3719" s="3">
        <v>1</v>
      </c>
      <c r="G3719" s="6" t="s">
        <v>12</v>
      </c>
    </row>
    <row r="3720" spans="1:7" x14ac:dyDescent="0.3">
      <c r="A3720" s="2" t="s">
        <v>4673</v>
      </c>
      <c r="B3720" s="2" t="s">
        <v>4670</v>
      </c>
      <c r="C3720" s="6" t="s">
        <v>4671</v>
      </c>
      <c r="D3720" s="1">
        <v>45597</v>
      </c>
      <c r="E3720" s="4">
        <v>121.62</v>
      </c>
      <c r="F3720" s="3">
        <v>2</v>
      </c>
      <c r="G3720" s="6" t="s">
        <v>15</v>
      </c>
    </row>
    <row r="3721" spans="1:7" x14ac:dyDescent="0.3">
      <c r="A3721" s="2" t="s">
        <v>4674</v>
      </c>
      <c r="B3721" s="2" t="s">
        <v>4670</v>
      </c>
      <c r="C3721" s="6" t="s">
        <v>4671</v>
      </c>
      <c r="D3721" s="1">
        <v>45587</v>
      </c>
      <c r="E3721" s="4">
        <v>163.57</v>
      </c>
      <c r="F3721" s="3">
        <v>2</v>
      </c>
      <c r="G3721" s="6" t="s">
        <v>26</v>
      </c>
    </row>
    <row r="3722" spans="1:7" x14ac:dyDescent="0.3">
      <c r="A3722" s="2" t="s">
        <v>4675</v>
      </c>
      <c r="B3722" s="2" t="s">
        <v>4670</v>
      </c>
      <c r="C3722" s="6" t="s">
        <v>4671</v>
      </c>
      <c r="D3722" s="1">
        <v>45607</v>
      </c>
      <c r="E3722" s="4">
        <v>347.43</v>
      </c>
      <c r="F3722" s="3">
        <v>1</v>
      </c>
      <c r="G3722" s="6" t="s">
        <v>10</v>
      </c>
    </row>
    <row r="3723" spans="1:7" x14ac:dyDescent="0.3">
      <c r="A3723" s="2" t="s">
        <v>4676</v>
      </c>
      <c r="B3723" s="2" t="s">
        <v>4670</v>
      </c>
      <c r="C3723" s="6" t="s">
        <v>4671</v>
      </c>
      <c r="D3723" s="1">
        <v>45545</v>
      </c>
      <c r="E3723" s="4">
        <v>163.53</v>
      </c>
      <c r="F3723" s="3">
        <v>4</v>
      </c>
      <c r="G3723" s="6" t="s">
        <v>38</v>
      </c>
    </row>
    <row r="3724" spans="1:7" x14ac:dyDescent="0.3">
      <c r="A3724" s="2" t="s">
        <v>4677</v>
      </c>
      <c r="B3724" s="2" t="s">
        <v>4678</v>
      </c>
      <c r="C3724" s="6" t="s">
        <v>4679</v>
      </c>
      <c r="D3724" s="1">
        <v>45243</v>
      </c>
      <c r="E3724" s="4">
        <v>209.37</v>
      </c>
      <c r="F3724" s="3">
        <v>1</v>
      </c>
      <c r="G3724" s="6" t="s">
        <v>12</v>
      </c>
    </row>
    <row r="3725" spans="1:7" x14ac:dyDescent="0.3">
      <c r="A3725" s="2" t="s">
        <v>4680</v>
      </c>
      <c r="B3725" s="2" t="s">
        <v>4678</v>
      </c>
      <c r="C3725" s="6" t="s">
        <v>4679</v>
      </c>
      <c r="D3725" s="1">
        <v>45414</v>
      </c>
      <c r="E3725" s="4">
        <v>329.74</v>
      </c>
      <c r="F3725" s="3">
        <v>2</v>
      </c>
      <c r="G3725" s="6" t="s">
        <v>10</v>
      </c>
    </row>
    <row r="3726" spans="1:7" x14ac:dyDescent="0.3">
      <c r="A3726" s="2" t="s">
        <v>4681</v>
      </c>
      <c r="B3726" s="2" t="s">
        <v>4678</v>
      </c>
      <c r="C3726" s="6" t="s">
        <v>4679</v>
      </c>
      <c r="D3726" s="1">
        <v>45106</v>
      </c>
      <c r="E3726" s="4">
        <v>320.72000000000003</v>
      </c>
      <c r="F3726" s="3">
        <v>3</v>
      </c>
      <c r="G3726" s="6" t="s">
        <v>26</v>
      </c>
    </row>
    <row r="3727" spans="1:7" x14ac:dyDescent="0.3">
      <c r="A3727" s="2" t="s">
        <v>4682</v>
      </c>
      <c r="B3727" s="2" t="s">
        <v>4678</v>
      </c>
      <c r="C3727" s="6" t="s">
        <v>4679</v>
      </c>
      <c r="D3727" s="1">
        <v>45104</v>
      </c>
      <c r="E3727" s="4">
        <v>229.82</v>
      </c>
      <c r="F3727" s="3">
        <v>3</v>
      </c>
      <c r="G3727" s="6" t="s">
        <v>38</v>
      </c>
    </row>
    <row r="3728" spans="1:7" x14ac:dyDescent="0.3">
      <c r="A3728" s="2" t="s">
        <v>4683</v>
      </c>
      <c r="B3728" s="2" t="s">
        <v>4678</v>
      </c>
      <c r="C3728" s="6" t="s">
        <v>4679</v>
      </c>
      <c r="D3728" s="1">
        <v>45076</v>
      </c>
      <c r="E3728" s="4">
        <v>218.04</v>
      </c>
      <c r="F3728" s="3">
        <v>2</v>
      </c>
      <c r="G3728" s="6" t="s">
        <v>38</v>
      </c>
    </row>
    <row r="3729" spans="1:7" x14ac:dyDescent="0.3">
      <c r="A3729" s="2" t="s">
        <v>4684</v>
      </c>
      <c r="B3729" s="2" t="s">
        <v>4678</v>
      </c>
      <c r="C3729" s="6" t="s">
        <v>4679</v>
      </c>
      <c r="D3729" s="1">
        <v>45099</v>
      </c>
      <c r="E3729" s="4">
        <v>299.22000000000003</v>
      </c>
      <c r="F3729" s="3">
        <v>3</v>
      </c>
      <c r="G3729" s="6" t="s">
        <v>10</v>
      </c>
    </row>
    <row r="3730" spans="1:7" x14ac:dyDescent="0.3">
      <c r="A3730" s="2" t="s">
        <v>4685</v>
      </c>
      <c r="B3730" s="2" t="s">
        <v>4678</v>
      </c>
      <c r="C3730" s="6" t="s">
        <v>4679</v>
      </c>
      <c r="D3730" s="1">
        <v>45210</v>
      </c>
      <c r="E3730" s="4">
        <v>446.08</v>
      </c>
      <c r="F3730" s="3">
        <v>4</v>
      </c>
      <c r="G3730" s="6" t="s">
        <v>38</v>
      </c>
    </row>
    <row r="3731" spans="1:7" x14ac:dyDescent="0.3">
      <c r="A3731" s="2" t="s">
        <v>4686</v>
      </c>
      <c r="B3731" s="2" t="s">
        <v>4678</v>
      </c>
      <c r="C3731" s="6" t="s">
        <v>4679</v>
      </c>
      <c r="D3731" s="1">
        <v>44966</v>
      </c>
      <c r="E3731" s="4">
        <v>68.62</v>
      </c>
      <c r="F3731" s="3">
        <v>2</v>
      </c>
      <c r="G3731" s="6" t="s">
        <v>15</v>
      </c>
    </row>
    <row r="3732" spans="1:7" x14ac:dyDescent="0.3">
      <c r="A3732" s="2" t="s">
        <v>4687</v>
      </c>
      <c r="B3732" s="2" t="s">
        <v>4678</v>
      </c>
      <c r="C3732" s="6" t="s">
        <v>4679</v>
      </c>
      <c r="D3732" s="1">
        <v>45492</v>
      </c>
      <c r="E3732" s="4">
        <v>413.15</v>
      </c>
      <c r="F3732" s="3">
        <v>1</v>
      </c>
      <c r="G3732" s="6" t="s">
        <v>38</v>
      </c>
    </row>
    <row r="3733" spans="1:7" x14ac:dyDescent="0.3">
      <c r="A3733" s="2" t="s">
        <v>4688</v>
      </c>
      <c r="B3733" s="2" t="s">
        <v>4678</v>
      </c>
      <c r="C3733" s="6" t="s">
        <v>4679</v>
      </c>
      <c r="D3733" s="1">
        <v>45065</v>
      </c>
      <c r="E3733" s="4">
        <v>159.63999999999999</v>
      </c>
      <c r="F3733" s="3">
        <v>3</v>
      </c>
      <c r="G3733" s="6" t="s">
        <v>38</v>
      </c>
    </row>
    <row r="3734" spans="1:7" x14ac:dyDescent="0.3">
      <c r="A3734" s="2" t="s">
        <v>4689</v>
      </c>
      <c r="B3734" s="2" t="s">
        <v>4678</v>
      </c>
      <c r="C3734" s="6" t="s">
        <v>4679</v>
      </c>
      <c r="D3734" s="1">
        <v>45334</v>
      </c>
      <c r="E3734" s="4">
        <v>152.52000000000001</v>
      </c>
      <c r="F3734" s="3">
        <v>3</v>
      </c>
      <c r="G3734" s="6" t="s">
        <v>12</v>
      </c>
    </row>
    <row r="3735" spans="1:7" x14ac:dyDescent="0.3">
      <c r="A3735" s="2" t="s">
        <v>4690</v>
      </c>
      <c r="B3735" s="2" t="s">
        <v>4678</v>
      </c>
      <c r="C3735" s="6" t="s">
        <v>4679</v>
      </c>
      <c r="D3735" s="1">
        <v>45041</v>
      </c>
      <c r="E3735" s="4">
        <v>137.46</v>
      </c>
      <c r="F3735" s="3">
        <v>3</v>
      </c>
      <c r="G3735" s="6" t="s">
        <v>18</v>
      </c>
    </row>
    <row r="3736" spans="1:7" x14ac:dyDescent="0.3">
      <c r="A3736" s="2" t="s">
        <v>4691</v>
      </c>
      <c r="B3736" s="2" t="s">
        <v>4678</v>
      </c>
      <c r="C3736" s="6" t="s">
        <v>4679</v>
      </c>
      <c r="D3736" s="1">
        <v>45264</v>
      </c>
      <c r="E3736" s="4">
        <v>350.45</v>
      </c>
      <c r="F3736" s="3">
        <v>3</v>
      </c>
      <c r="G3736" s="6" t="s">
        <v>10</v>
      </c>
    </row>
    <row r="3737" spans="1:7" x14ac:dyDescent="0.3">
      <c r="A3737" s="2" t="s">
        <v>4692</v>
      </c>
      <c r="B3737" s="2" t="s">
        <v>4678</v>
      </c>
      <c r="C3737" s="6" t="s">
        <v>4679</v>
      </c>
      <c r="D3737" s="1">
        <v>45636</v>
      </c>
      <c r="E3737" s="4">
        <v>59.1</v>
      </c>
      <c r="F3737" s="3">
        <v>3</v>
      </c>
      <c r="G3737" s="6" t="s">
        <v>15</v>
      </c>
    </row>
    <row r="3738" spans="1:7" x14ac:dyDescent="0.3">
      <c r="A3738" s="2" t="s">
        <v>4693</v>
      </c>
      <c r="B3738" s="2" t="s">
        <v>4694</v>
      </c>
      <c r="C3738" s="6" t="s">
        <v>4695</v>
      </c>
      <c r="D3738" s="1">
        <v>45588</v>
      </c>
      <c r="E3738" s="4">
        <v>104.47</v>
      </c>
      <c r="F3738" s="3">
        <v>1</v>
      </c>
      <c r="G3738" s="6" t="s">
        <v>15</v>
      </c>
    </row>
    <row r="3739" spans="1:7" x14ac:dyDescent="0.3">
      <c r="A3739" s="2" t="s">
        <v>4696</v>
      </c>
      <c r="B3739" s="2" t="s">
        <v>4694</v>
      </c>
      <c r="C3739" s="6" t="s">
        <v>4695</v>
      </c>
      <c r="D3739" s="1">
        <v>45613</v>
      </c>
      <c r="E3739" s="4">
        <v>74</v>
      </c>
      <c r="F3739" s="3">
        <v>1</v>
      </c>
      <c r="G3739" s="6" t="s">
        <v>38</v>
      </c>
    </row>
    <row r="3740" spans="1:7" x14ac:dyDescent="0.3">
      <c r="A3740" s="2" t="s">
        <v>4697</v>
      </c>
      <c r="B3740" s="2" t="s">
        <v>4694</v>
      </c>
      <c r="C3740" s="6" t="s">
        <v>4695</v>
      </c>
      <c r="D3740" s="1">
        <v>45644</v>
      </c>
      <c r="E3740" s="4">
        <v>444.58</v>
      </c>
      <c r="F3740" s="3">
        <v>4</v>
      </c>
      <c r="G3740" s="6" t="s">
        <v>26</v>
      </c>
    </row>
    <row r="3741" spans="1:7" x14ac:dyDescent="0.3">
      <c r="A3741" s="2" t="s">
        <v>4698</v>
      </c>
      <c r="B3741" s="2" t="s">
        <v>4694</v>
      </c>
      <c r="C3741" s="6" t="s">
        <v>4695</v>
      </c>
      <c r="D3741" s="1">
        <v>45435</v>
      </c>
      <c r="E3741" s="4">
        <v>58.45</v>
      </c>
      <c r="F3741" s="3">
        <v>3</v>
      </c>
      <c r="G3741" s="6" t="s">
        <v>18</v>
      </c>
    </row>
    <row r="3742" spans="1:7" x14ac:dyDescent="0.3">
      <c r="A3742" s="2" t="s">
        <v>4699</v>
      </c>
      <c r="B3742" s="2" t="s">
        <v>4700</v>
      </c>
      <c r="C3742" s="6" t="s">
        <v>4701</v>
      </c>
      <c r="D3742" s="1">
        <v>45632</v>
      </c>
      <c r="E3742" s="4">
        <v>227.52</v>
      </c>
      <c r="F3742" s="3">
        <v>4</v>
      </c>
      <c r="G3742" s="6" t="s">
        <v>18</v>
      </c>
    </row>
    <row r="3743" spans="1:7" x14ac:dyDescent="0.3">
      <c r="A3743" s="2" t="s">
        <v>4702</v>
      </c>
      <c r="B3743" s="2" t="s">
        <v>4700</v>
      </c>
      <c r="C3743" s="6" t="s">
        <v>4701</v>
      </c>
      <c r="D3743" s="1">
        <v>45617</v>
      </c>
      <c r="E3743" s="4">
        <v>355.62</v>
      </c>
      <c r="F3743" s="3">
        <v>4</v>
      </c>
      <c r="G3743" s="6" t="s">
        <v>38</v>
      </c>
    </row>
    <row r="3744" spans="1:7" x14ac:dyDescent="0.3">
      <c r="A3744" s="2" t="s">
        <v>4703</v>
      </c>
      <c r="B3744" s="2" t="s">
        <v>4700</v>
      </c>
      <c r="C3744" s="6" t="s">
        <v>4701</v>
      </c>
      <c r="D3744" s="1">
        <v>45596</v>
      </c>
      <c r="E3744" s="4">
        <v>202.68</v>
      </c>
      <c r="F3744" s="3">
        <v>1</v>
      </c>
      <c r="G3744" s="6" t="s">
        <v>26</v>
      </c>
    </row>
    <row r="3745" spans="1:7" x14ac:dyDescent="0.3">
      <c r="A3745" s="2" t="s">
        <v>4704</v>
      </c>
      <c r="B3745" s="2" t="s">
        <v>4700</v>
      </c>
      <c r="C3745" s="6" t="s">
        <v>4701</v>
      </c>
      <c r="D3745" s="1">
        <v>45603</v>
      </c>
      <c r="E3745" s="4">
        <v>314.72000000000003</v>
      </c>
      <c r="F3745" s="3">
        <v>1</v>
      </c>
      <c r="G3745" s="6" t="s">
        <v>38</v>
      </c>
    </row>
    <row r="3746" spans="1:7" x14ac:dyDescent="0.3">
      <c r="A3746" s="2" t="s">
        <v>4705</v>
      </c>
      <c r="B3746" s="2" t="s">
        <v>4700</v>
      </c>
      <c r="C3746" s="6" t="s">
        <v>4701</v>
      </c>
      <c r="D3746" s="1">
        <v>45645</v>
      </c>
      <c r="E3746" s="4">
        <v>493.12</v>
      </c>
      <c r="F3746" s="3">
        <v>4</v>
      </c>
      <c r="G3746" s="6" t="s">
        <v>15</v>
      </c>
    </row>
    <row r="3747" spans="1:7" x14ac:dyDescent="0.3">
      <c r="A3747" s="2" t="s">
        <v>4706</v>
      </c>
      <c r="B3747" s="2" t="s">
        <v>4707</v>
      </c>
      <c r="C3747" s="6" t="s">
        <v>4708</v>
      </c>
      <c r="D3747" s="1">
        <v>45357</v>
      </c>
      <c r="E3747" s="4">
        <v>240.21</v>
      </c>
      <c r="F3747" s="3">
        <v>3</v>
      </c>
      <c r="G3747" s="6" t="s">
        <v>10</v>
      </c>
    </row>
    <row r="3748" spans="1:7" x14ac:dyDescent="0.3">
      <c r="A3748" s="2" t="s">
        <v>4709</v>
      </c>
      <c r="B3748" s="2" t="s">
        <v>4707</v>
      </c>
      <c r="C3748" s="6" t="s">
        <v>4708</v>
      </c>
      <c r="D3748" s="1">
        <v>45254</v>
      </c>
      <c r="E3748" s="4">
        <v>49.78</v>
      </c>
      <c r="F3748" s="3">
        <v>4</v>
      </c>
      <c r="G3748" s="6" t="s">
        <v>38</v>
      </c>
    </row>
    <row r="3749" spans="1:7" x14ac:dyDescent="0.3">
      <c r="A3749" s="2" t="s">
        <v>4710</v>
      </c>
      <c r="B3749" s="2" t="s">
        <v>4707</v>
      </c>
      <c r="C3749" s="6" t="s">
        <v>4708</v>
      </c>
      <c r="D3749" s="1">
        <v>45243</v>
      </c>
      <c r="E3749" s="4">
        <v>339.32</v>
      </c>
      <c r="F3749" s="3">
        <v>1</v>
      </c>
      <c r="G3749" s="6" t="s">
        <v>38</v>
      </c>
    </row>
    <row r="3750" spans="1:7" x14ac:dyDescent="0.3">
      <c r="A3750" s="2" t="s">
        <v>4711</v>
      </c>
      <c r="B3750" s="2" t="s">
        <v>4707</v>
      </c>
      <c r="C3750" s="6" t="s">
        <v>4708</v>
      </c>
      <c r="D3750" s="1">
        <v>45420</v>
      </c>
      <c r="E3750" s="4">
        <v>346.32</v>
      </c>
      <c r="F3750" s="3">
        <v>4</v>
      </c>
      <c r="G3750" s="6" t="s">
        <v>18</v>
      </c>
    </row>
    <row r="3751" spans="1:7" x14ac:dyDescent="0.3">
      <c r="A3751" s="2" t="s">
        <v>4712</v>
      </c>
      <c r="B3751" s="2" t="s">
        <v>4713</v>
      </c>
      <c r="C3751" s="6" t="s">
        <v>4714</v>
      </c>
      <c r="D3751" s="1">
        <v>45590</v>
      </c>
      <c r="E3751" s="4">
        <v>274.74</v>
      </c>
      <c r="F3751" s="3">
        <v>4</v>
      </c>
      <c r="G3751" s="6" t="s">
        <v>26</v>
      </c>
    </row>
    <row r="3752" spans="1:7" x14ac:dyDescent="0.3">
      <c r="A3752" s="2" t="s">
        <v>4715</v>
      </c>
      <c r="B3752" s="2" t="s">
        <v>4713</v>
      </c>
      <c r="C3752" s="6" t="s">
        <v>4714</v>
      </c>
      <c r="D3752" s="1">
        <v>45620</v>
      </c>
      <c r="E3752" s="4">
        <v>494.12</v>
      </c>
      <c r="F3752" s="3">
        <v>2</v>
      </c>
      <c r="G3752" s="6" t="s">
        <v>15</v>
      </c>
    </row>
    <row r="3753" spans="1:7" x14ac:dyDescent="0.3">
      <c r="A3753" s="2" t="s">
        <v>4716</v>
      </c>
      <c r="B3753" s="2" t="s">
        <v>4713</v>
      </c>
      <c r="C3753" s="6" t="s">
        <v>4714</v>
      </c>
      <c r="D3753" s="1">
        <v>45524</v>
      </c>
      <c r="E3753" s="4">
        <v>416.16</v>
      </c>
      <c r="F3753" s="3">
        <v>4</v>
      </c>
      <c r="G3753" s="6" t="s">
        <v>15</v>
      </c>
    </row>
    <row r="3754" spans="1:7" x14ac:dyDescent="0.3">
      <c r="A3754" s="2" t="s">
        <v>4717</v>
      </c>
      <c r="B3754" s="2" t="s">
        <v>4713</v>
      </c>
      <c r="C3754" s="6" t="s">
        <v>4714</v>
      </c>
      <c r="D3754" s="1">
        <v>45526</v>
      </c>
      <c r="E3754" s="4">
        <v>283.24</v>
      </c>
      <c r="F3754" s="3">
        <v>4</v>
      </c>
      <c r="G3754" s="6" t="s">
        <v>12</v>
      </c>
    </row>
    <row r="3755" spans="1:7" x14ac:dyDescent="0.3">
      <c r="A3755" s="2" t="s">
        <v>4718</v>
      </c>
      <c r="B3755" s="2" t="s">
        <v>4713</v>
      </c>
      <c r="C3755" s="6" t="s">
        <v>4714</v>
      </c>
      <c r="D3755" s="1">
        <v>45606</v>
      </c>
      <c r="E3755" s="4">
        <v>445.7</v>
      </c>
      <c r="F3755" s="3">
        <v>4</v>
      </c>
      <c r="G3755" s="6" t="s">
        <v>26</v>
      </c>
    </row>
    <row r="3756" spans="1:7" x14ac:dyDescent="0.3">
      <c r="A3756" s="2" t="s">
        <v>4719</v>
      </c>
      <c r="B3756" s="2" t="s">
        <v>4713</v>
      </c>
      <c r="C3756" s="6" t="s">
        <v>4714</v>
      </c>
      <c r="D3756" s="1">
        <v>45649</v>
      </c>
      <c r="E3756" s="4">
        <v>291.06</v>
      </c>
      <c r="F3756" s="3">
        <v>1</v>
      </c>
      <c r="G3756" s="6" t="s">
        <v>15</v>
      </c>
    </row>
    <row r="3757" spans="1:7" x14ac:dyDescent="0.3">
      <c r="A3757" s="2" t="s">
        <v>4720</v>
      </c>
      <c r="B3757" s="2" t="s">
        <v>4713</v>
      </c>
      <c r="C3757" s="6" t="s">
        <v>4714</v>
      </c>
      <c r="D3757" s="1">
        <v>45564</v>
      </c>
      <c r="E3757" s="4">
        <v>347.84</v>
      </c>
      <c r="F3757" s="3">
        <v>2</v>
      </c>
      <c r="G3757" s="6" t="s">
        <v>38</v>
      </c>
    </row>
    <row r="3758" spans="1:7" x14ac:dyDescent="0.3">
      <c r="A3758" s="2" t="s">
        <v>4721</v>
      </c>
      <c r="B3758" s="2" t="s">
        <v>4713</v>
      </c>
      <c r="C3758" s="6" t="s">
        <v>4714</v>
      </c>
      <c r="D3758" s="1">
        <v>45532</v>
      </c>
      <c r="E3758" s="4">
        <v>395.61</v>
      </c>
      <c r="F3758" s="3">
        <v>1</v>
      </c>
      <c r="G3758" s="6" t="s">
        <v>26</v>
      </c>
    </row>
    <row r="3759" spans="1:7" x14ac:dyDescent="0.3">
      <c r="A3759" s="2" t="s">
        <v>4722</v>
      </c>
      <c r="B3759" s="2" t="s">
        <v>4713</v>
      </c>
      <c r="C3759" s="6" t="s">
        <v>4714</v>
      </c>
      <c r="D3759" s="1">
        <v>45587</v>
      </c>
      <c r="E3759" s="4">
        <v>482.92</v>
      </c>
      <c r="F3759" s="3">
        <v>1</v>
      </c>
      <c r="G3759" s="6" t="s">
        <v>12</v>
      </c>
    </row>
    <row r="3760" spans="1:7" x14ac:dyDescent="0.3">
      <c r="A3760" s="2" t="s">
        <v>4723</v>
      </c>
      <c r="B3760" s="2" t="s">
        <v>4713</v>
      </c>
      <c r="C3760" s="6" t="s">
        <v>4714</v>
      </c>
      <c r="D3760" s="1">
        <v>45589</v>
      </c>
      <c r="E3760" s="4">
        <v>234.72</v>
      </c>
      <c r="F3760" s="3">
        <v>1</v>
      </c>
      <c r="G3760" s="6" t="s">
        <v>10</v>
      </c>
    </row>
    <row r="3761" spans="1:7" x14ac:dyDescent="0.3">
      <c r="A3761" s="2" t="s">
        <v>4724</v>
      </c>
      <c r="B3761" s="2" t="s">
        <v>4713</v>
      </c>
      <c r="C3761" s="6" t="s">
        <v>4714</v>
      </c>
      <c r="D3761" s="1">
        <v>45618</v>
      </c>
      <c r="E3761" s="4">
        <v>168.71</v>
      </c>
      <c r="F3761" s="3">
        <v>3</v>
      </c>
      <c r="G3761" s="6" t="s">
        <v>15</v>
      </c>
    </row>
    <row r="3762" spans="1:7" x14ac:dyDescent="0.3">
      <c r="A3762" s="2" t="s">
        <v>4725</v>
      </c>
      <c r="B3762" s="2" t="s">
        <v>4726</v>
      </c>
      <c r="C3762" s="6" t="s">
        <v>4727</v>
      </c>
      <c r="D3762" s="1">
        <v>45653</v>
      </c>
      <c r="E3762" s="4">
        <v>442.85</v>
      </c>
      <c r="F3762" s="3">
        <v>2</v>
      </c>
      <c r="G3762" s="6" t="s">
        <v>38</v>
      </c>
    </row>
    <row r="3763" spans="1:7" x14ac:dyDescent="0.3">
      <c r="A3763" s="2" t="s">
        <v>4728</v>
      </c>
      <c r="B3763" s="2" t="s">
        <v>4726</v>
      </c>
      <c r="C3763" s="6" t="s">
        <v>4727</v>
      </c>
      <c r="D3763" s="1">
        <v>45636</v>
      </c>
      <c r="E3763" s="4">
        <v>256.36</v>
      </c>
      <c r="F3763" s="3">
        <v>3</v>
      </c>
      <c r="G3763" s="6" t="s">
        <v>12</v>
      </c>
    </row>
    <row r="3764" spans="1:7" x14ac:dyDescent="0.3">
      <c r="A3764" s="2" t="s">
        <v>4729</v>
      </c>
      <c r="B3764" s="2" t="s">
        <v>4726</v>
      </c>
      <c r="C3764" s="6" t="s">
        <v>4727</v>
      </c>
      <c r="D3764" s="1">
        <v>45597</v>
      </c>
      <c r="E3764" s="4">
        <v>466.25</v>
      </c>
      <c r="F3764" s="3">
        <v>1</v>
      </c>
      <c r="G3764" s="6" t="s">
        <v>12</v>
      </c>
    </row>
    <row r="3765" spans="1:7" x14ac:dyDescent="0.3">
      <c r="A3765" s="2" t="s">
        <v>4730</v>
      </c>
      <c r="B3765" s="2" t="s">
        <v>4726</v>
      </c>
      <c r="C3765" s="6" t="s">
        <v>4727</v>
      </c>
      <c r="D3765" s="1">
        <v>45647</v>
      </c>
      <c r="E3765" s="4">
        <v>95.31</v>
      </c>
      <c r="F3765" s="3">
        <v>3</v>
      </c>
      <c r="G3765" s="6" t="s">
        <v>12</v>
      </c>
    </row>
    <row r="3766" spans="1:7" x14ac:dyDescent="0.3">
      <c r="A3766" s="2" t="s">
        <v>4731</v>
      </c>
      <c r="B3766" s="2" t="s">
        <v>4726</v>
      </c>
      <c r="C3766" s="6" t="s">
        <v>4727</v>
      </c>
      <c r="D3766" s="1">
        <v>45602</v>
      </c>
      <c r="E3766" s="4">
        <v>79.12</v>
      </c>
      <c r="F3766" s="3">
        <v>1</v>
      </c>
      <c r="G3766" s="6" t="s">
        <v>10</v>
      </c>
    </row>
    <row r="3767" spans="1:7" x14ac:dyDescent="0.3">
      <c r="A3767" s="2" t="s">
        <v>4732</v>
      </c>
      <c r="B3767" s="2" t="s">
        <v>4726</v>
      </c>
      <c r="C3767" s="6" t="s">
        <v>4727</v>
      </c>
      <c r="D3767" s="1">
        <v>45653</v>
      </c>
      <c r="E3767" s="4">
        <v>346.07</v>
      </c>
      <c r="F3767" s="3">
        <v>4</v>
      </c>
      <c r="G3767" s="6" t="s">
        <v>10</v>
      </c>
    </row>
    <row r="3768" spans="1:7" x14ac:dyDescent="0.3">
      <c r="A3768" s="2" t="s">
        <v>4733</v>
      </c>
      <c r="B3768" s="2" t="s">
        <v>4734</v>
      </c>
      <c r="C3768" s="6" t="s">
        <v>4735</v>
      </c>
      <c r="D3768" s="1">
        <v>45515</v>
      </c>
      <c r="E3768" s="4">
        <v>289.49</v>
      </c>
      <c r="F3768" s="3">
        <v>2</v>
      </c>
      <c r="G3768" s="6" t="s">
        <v>26</v>
      </c>
    </row>
    <row r="3769" spans="1:7" x14ac:dyDescent="0.3">
      <c r="A3769" s="2" t="s">
        <v>4736</v>
      </c>
      <c r="B3769" s="2" t="s">
        <v>4734</v>
      </c>
      <c r="C3769" s="6" t="s">
        <v>4735</v>
      </c>
      <c r="D3769" s="1">
        <v>45636</v>
      </c>
      <c r="E3769" s="4">
        <v>420.79</v>
      </c>
      <c r="F3769" s="3">
        <v>1</v>
      </c>
      <c r="G3769" s="6" t="s">
        <v>38</v>
      </c>
    </row>
    <row r="3770" spans="1:7" x14ac:dyDescent="0.3">
      <c r="A3770" s="2" t="s">
        <v>4737</v>
      </c>
      <c r="B3770" s="2" t="s">
        <v>4734</v>
      </c>
      <c r="C3770" s="6" t="s">
        <v>4735</v>
      </c>
      <c r="D3770" s="1">
        <v>45637</v>
      </c>
      <c r="E3770" s="4">
        <v>56.67</v>
      </c>
      <c r="F3770" s="3">
        <v>4</v>
      </c>
      <c r="G3770" s="6" t="s">
        <v>18</v>
      </c>
    </row>
    <row r="3771" spans="1:7" x14ac:dyDescent="0.3">
      <c r="A3771" s="2" t="s">
        <v>4738</v>
      </c>
      <c r="B3771" s="2" t="s">
        <v>4734</v>
      </c>
      <c r="C3771" s="6" t="s">
        <v>4735</v>
      </c>
      <c r="D3771" s="1">
        <v>45638</v>
      </c>
      <c r="E3771" s="4">
        <v>71.790000000000006</v>
      </c>
      <c r="F3771" s="3">
        <v>2</v>
      </c>
      <c r="G3771" s="6" t="s">
        <v>12</v>
      </c>
    </row>
    <row r="3772" spans="1:7" x14ac:dyDescent="0.3">
      <c r="A3772" s="2" t="s">
        <v>4739</v>
      </c>
      <c r="B3772" s="2" t="s">
        <v>4734</v>
      </c>
      <c r="C3772" s="6" t="s">
        <v>4735</v>
      </c>
      <c r="D3772" s="1">
        <v>45469</v>
      </c>
      <c r="E3772" s="4">
        <v>326.20999999999998</v>
      </c>
      <c r="F3772" s="3">
        <v>4</v>
      </c>
      <c r="G3772" s="6" t="s">
        <v>15</v>
      </c>
    </row>
    <row r="3773" spans="1:7" x14ac:dyDescent="0.3">
      <c r="A3773" s="2" t="s">
        <v>4740</v>
      </c>
      <c r="B3773" s="2" t="s">
        <v>4734</v>
      </c>
      <c r="C3773" s="6" t="s">
        <v>4735</v>
      </c>
      <c r="D3773" s="1">
        <v>45520</v>
      </c>
      <c r="E3773" s="4">
        <v>418.05</v>
      </c>
      <c r="F3773" s="3">
        <v>3</v>
      </c>
      <c r="G3773" s="6" t="s">
        <v>15</v>
      </c>
    </row>
    <row r="3774" spans="1:7" x14ac:dyDescent="0.3">
      <c r="A3774" s="2" t="s">
        <v>4741</v>
      </c>
      <c r="B3774" s="2" t="s">
        <v>4734</v>
      </c>
      <c r="C3774" s="6" t="s">
        <v>4735</v>
      </c>
      <c r="D3774" s="1">
        <v>45651</v>
      </c>
      <c r="E3774" s="4">
        <v>245.83</v>
      </c>
      <c r="F3774" s="3">
        <v>4</v>
      </c>
      <c r="G3774" s="6" t="s">
        <v>38</v>
      </c>
    </row>
    <row r="3775" spans="1:7" x14ac:dyDescent="0.3">
      <c r="A3775" s="2" t="s">
        <v>4742</v>
      </c>
      <c r="B3775" s="2" t="s">
        <v>4734</v>
      </c>
      <c r="C3775" s="6" t="s">
        <v>4735</v>
      </c>
      <c r="D3775" s="1">
        <v>45643</v>
      </c>
      <c r="E3775" s="4">
        <v>310.27</v>
      </c>
      <c r="F3775" s="3">
        <v>3</v>
      </c>
      <c r="G3775" s="6" t="s">
        <v>10</v>
      </c>
    </row>
    <row r="3776" spans="1:7" x14ac:dyDescent="0.3">
      <c r="A3776" s="2" t="s">
        <v>4743</v>
      </c>
      <c r="B3776" s="2" t="s">
        <v>4734</v>
      </c>
      <c r="C3776" s="6" t="s">
        <v>4735</v>
      </c>
      <c r="D3776" s="1">
        <v>45471</v>
      </c>
      <c r="E3776" s="4">
        <v>433.94</v>
      </c>
      <c r="F3776" s="3">
        <v>1</v>
      </c>
      <c r="G3776" s="6" t="s">
        <v>38</v>
      </c>
    </row>
    <row r="3777" spans="1:7" x14ac:dyDescent="0.3">
      <c r="A3777" s="2" t="s">
        <v>4744</v>
      </c>
      <c r="B3777" s="2" t="s">
        <v>4734</v>
      </c>
      <c r="C3777" s="6" t="s">
        <v>4735</v>
      </c>
      <c r="D3777" s="1">
        <v>45479</v>
      </c>
      <c r="E3777" s="4">
        <v>382.92</v>
      </c>
      <c r="F3777" s="3">
        <v>3</v>
      </c>
      <c r="G3777" s="6" t="s">
        <v>38</v>
      </c>
    </row>
    <row r="3778" spans="1:7" x14ac:dyDescent="0.3">
      <c r="A3778" s="2" t="s">
        <v>4745</v>
      </c>
      <c r="B3778" s="2" t="s">
        <v>4734</v>
      </c>
      <c r="C3778" s="6" t="s">
        <v>4735</v>
      </c>
      <c r="D3778" s="1">
        <v>45502</v>
      </c>
      <c r="E3778" s="4">
        <v>431.86</v>
      </c>
      <c r="F3778" s="3">
        <v>4</v>
      </c>
      <c r="G3778" s="6" t="s">
        <v>10</v>
      </c>
    </row>
    <row r="3779" spans="1:7" x14ac:dyDescent="0.3">
      <c r="A3779" s="2" t="s">
        <v>4746</v>
      </c>
      <c r="B3779" s="2" t="s">
        <v>4734</v>
      </c>
      <c r="C3779" s="6" t="s">
        <v>4735</v>
      </c>
      <c r="D3779" s="1">
        <v>45537</v>
      </c>
      <c r="E3779" s="4">
        <v>165.27</v>
      </c>
      <c r="F3779" s="3">
        <v>1</v>
      </c>
      <c r="G3779" s="6" t="s">
        <v>10</v>
      </c>
    </row>
    <row r="3780" spans="1:7" x14ac:dyDescent="0.3">
      <c r="A3780" s="2" t="s">
        <v>4747</v>
      </c>
      <c r="B3780" s="2" t="s">
        <v>4734</v>
      </c>
      <c r="C3780" s="6" t="s">
        <v>4735</v>
      </c>
      <c r="D3780" s="1">
        <v>45570</v>
      </c>
      <c r="E3780" s="4">
        <v>134.31</v>
      </c>
      <c r="F3780" s="3">
        <v>3</v>
      </c>
      <c r="G3780" s="6" t="s">
        <v>26</v>
      </c>
    </row>
    <row r="3781" spans="1:7" x14ac:dyDescent="0.3">
      <c r="A3781" s="2" t="s">
        <v>4748</v>
      </c>
      <c r="B3781" s="2" t="s">
        <v>4734</v>
      </c>
      <c r="C3781" s="6" t="s">
        <v>4735</v>
      </c>
      <c r="D3781" s="1">
        <v>45583</v>
      </c>
      <c r="E3781" s="4">
        <v>32.78</v>
      </c>
      <c r="F3781" s="3">
        <v>1</v>
      </c>
      <c r="G3781" s="6" t="s">
        <v>12</v>
      </c>
    </row>
    <row r="3782" spans="1:7" x14ac:dyDescent="0.3">
      <c r="A3782" s="2" t="s">
        <v>4749</v>
      </c>
      <c r="B3782" s="2" t="s">
        <v>4734</v>
      </c>
      <c r="C3782" s="6" t="s">
        <v>4735</v>
      </c>
      <c r="D3782" s="1">
        <v>45507</v>
      </c>
      <c r="E3782" s="4">
        <v>11.93</v>
      </c>
      <c r="F3782" s="3">
        <v>3</v>
      </c>
      <c r="G3782" s="6" t="s">
        <v>15</v>
      </c>
    </row>
    <row r="3783" spans="1:7" x14ac:dyDescent="0.3">
      <c r="A3783" s="2" t="s">
        <v>4750</v>
      </c>
      <c r="B3783" s="2" t="s">
        <v>4751</v>
      </c>
      <c r="C3783" s="6" t="s">
        <v>4752</v>
      </c>
      <c r="D3783" s="1">
        <v>45626</v>
      </c>
      <c r="E3783" s="4">
        <v>145.28</v>
      </c>
      <c r="F3783" s="3">
        <v>4</v>
      </c>
      <c r="G3783" s="6" t="s">
        <v>38</v>
      </c>
    </row>
    <row r="3784" spans="1:7" x14ac:dyDescent="0.3">
      <c r="A3784" s="2" t="s">
        <v>4753</v>
      </c>
      <c r="B3784" s="2" t="s">
        <v>4751</v>
      </c>
      <c r="C3784" s="6" t="s">
        <v>4752</v>
      </c>
      <c r="D3784" s="1">
        <v>45619</v>
      </c>
      <c r="E3784" s="4">
        <v>28.02</v>
      </c>
      <c r="F3784" s="3">
        <v>3</v>
      </c>
      <c r="G3784" s="6" t="s">
        <v>18</v>
      </c>
    </row>
    <row r="3785" spans="1:7" x14ac:dyDescent="0.3">
      <c r="A3785" s="2" t="s">
        <v>4754</v>
      </c>
      <c r="B3785" s="2" t="s">
        <v>4751</v>
      </c>
      <c r="C3785" s="6" t="s">
        <v>4752</v>
      </c>
      <c r="D3785" s="1">
        <v>45637</v>
      </c>
      <c r="E3785" s="4">
        <v>474.49</v>
      </c>
      <c r="F3785" s="3">
        <v>4</v>
      </c>
      <c r="G3785" s="6" t="s">
        <v>18</v>
      </c>
    </row>
    <row r="3786" spans="1:7" x14ac:dyDescent="0.3">
      <c r="A3786" s="2" t="s">
        <v>4755</v>
      </c>
      <c r="B3786" s="2" t="s">
        <v>4751</v>
      </c>
      <c r="C3786" s="6" t="s">
        <v>4752</v>
      </c>
      <c r="D3786" s="1">
        <v>45594</v>
      </c>
      <c r="E3786" s="4">
        <v>252.81</v>
      </c>
      <c r="F3786" s="3">
        <v>2</v>
      </c>
      <c r="G3786" s="6" t="s">
        <v>26</v>
      </c>
    </row>
    <row r="3787" spans="1:7" x14ac:dyDescent="0.3">
      <c r="A3787" s="2" t="s">
        <v>4756</v>
      </c>
      <c r="B3787" s="2" t="s">
        <v>4751</v>
      </c>
      <c r="C3787" s="6" t="s">
        <v>4752</v>
      </c>
      <c r="D3787" s="1">
        <v>45587</v>
      </c>
      <c r="E3787" s="4">
        <v>184.18</v>
      </c>
      <c r="F3787" s="3">
        <v>3</v>
      </c>
      <c r="G3787" s="6" t="s">
        <v>10</v>
      </c>
    </row>
    <row r="3788" spans="1:7" x14ac:dyDescent="0.3">
      <c r="A3788" s="2" t="s">
        <v>4757</v>
      </c>
      <c r="B3788" s="2" t="s">
        <v>4751</v>
      </c>
      <c r="C3788" s="6" t="s">
        <v>4752</v>
      </c>
      <c r="D3788" s="1">
        <v>45632</v>
      </c>
      <c r="E3788" s="4">
        <v>174.2</v>
      </c>
      <c r="F3788" s="3">
        <v>4</v>
      </c>
      <c r="G3788" s="6" t="s">
        <v>10</v>
      </c>
    </row>
    <row r="3789" spans="1:7" x14ac:dyDescent="0.3">
      <c r="A3789" s="2" t="s">
        <v>4758</v>
      </c>
      <c r="B3789" s="2" t="s">
        <v>4751</v>
      </c>
      <c r="C3789" s="6" t="s">
        <v>4752</v>
      </c>
      <c r="D3789" s="1">
        <v>45604</v>
      </c>
      <c r="E3789" s="4">
        <v>268.89</v>
      </c>
      <c r="F3789" s="3">
        <v>1</v>
      </c>
      <c r="G3789" s="6" t="s">
        <v>10</v>
      </c>
    </row>
    <row r="3790" spans="1:7" x14ac:dyDescent="0.3">
      <c r="A3790" s="2" t="s">
        <v>4759</v>
      </c>
      <c r="B3790" s="2" t="s">
        <v>4751</v>
      </c>
      <c r="C3790" s="6" t="s">
        <v>4752</v>
      </c>
      <c r="D3790" s="1">
        <v>45602</v>
      </c>
      <c r="E3790" s="4">
        <v>174.72</v>
      </c>
      <c r="F3790" s="3">
        <v>1</v>
      </c>
      <c r="G3790" s="6" t="s">
        <v>38</v>
      </c>
    </row>
    <row r="3791" spans="1:7" x14ac:dyDescent="0.3">
      <c r="A3791" s="2" t="s">
        <v>4760</v>
      </c>
      <c r="B3791" s="2" t="s">
        <v>4751</v>
      </c>
      <c r="C3791" s="6" t="s">
        <v>4752</v>
      </c>
      <c r="D3791" s="1">
        <v>45644</v>
      </c>
      <c r="E3791" s="4">
        <v>400.52</v>
      </c>
      <c r="F3791" s="3">
        <v>2</v>
      </c>
      <c r="G3791" s="6" t="s">
        <v>26</v>
      </c>
    </row>
    <row r="3792" spans="1:7" x14ac:dyDescent="0.3">
      <c r="A3792" s="2" t="s">
        <v>4761</v>
      </c>
      <c r="B3792" s="2" t="s">
        <v>4751</v>
      </c>
      <c r="C3792" s="6" t="s">
        <v>4752</v>
      </c>
      <c r="D3792" s="1">
        <v>45610</v>
      </c>
      <c r="E3792" s="4">
        <v>115.39</v>
      </c>
      <c r="F3792" s="3">
        <v>4</v>
      </c>
      <c r="G3792" s="6" t="s">
        <v>10</v>
      </c>
    </row>
    <row r="3793" spans="1:7" x14ac:dyDescent="0.3">
      <c r="A3793" s="2" t="s">
        <v>4762</v>
      </c>
      <c r="B3793" s="2" t="s">
        <v>4751</v>
      </c>
      <c r="C3793" s="6" t="s">
        <v>4752</v>
      </c>
      <c r="D3793" s="1">
        <v>45653</v>
      </c>
      <c r="E3793" s="4">
        <v>475.48</v>
      </c>
      <c r="F3793" s="3">
        <v>3</v>
      </c>
      <c r="G3793" s="6" t="s">
        <v>26</v>
      </c>
    </row>
    <row r="3794" spans="1:7" x14ac:dyDescent="0.3">
      <c r="A3794" s="2" t="s">
        <v>4763</v>
      </c>
      <c r="B3794" s="2" t="s">
        <v>4751</v>
      </c>
      <c r="C3794" s="6" t="s">
        <v>4752</v>
      </c>
      <c r="D3794" s="1">
        <v>45593</v>
      </c>
      <c r="E3794" s="4">
        <v>446.72</v>
      </c>
      <c r="F3794" s="3">
        <v>1</v>
      </c>
      <c r="G3794" s="6" t="s">
        <v>38</v>
      </c>
    </row>
    <row r="3795" spans="1:7" x14ac:dyDescent="0.3">
      <c r="A3795" s="2" t="s">
        <v>4764</v>
      </c>
      <c r="B3795" s="2" t="s">
        <v>4751</v>
      </c>
      <c r="C3795" s="6" t="s">
        <v>4752</v>
      </c>
      <c r="D3795" s="1">
        <v>45611</v>
      </c>
      <c r="E3795" s="4">
        <v>26.36</v>
      </c>
      <c r="F3795" s="3">
        <v>3</v>
      </c>
      <c r="G3795" s="6" t="s">
        <v>10</v>
      </c>
    </row>
    <row r="3796" spans="1:7" x14ac:dyDescent="0.3">
      <c r="A3796" s="2" t="s">
        <v>4765</v>
      </c>
      <c r="B3796" s="2" t="s">
        <v>4751</v>
      </c>
      <c r="C3796" s="6" t="s">
        <v>4752</v>
      </c>
      <c r="D3796" s="1">
        <v>45586</v>
      </c>
      <c r="E3796" s="4">
        <v>429.2</v>
      </c>
      <c r="F3796" s="3">
        <v>1</v>
      </c>
      <c r="G3796" s="6" t="s">
        <v>26</v>
      </c>
    </row>
    <row r="3797" spans="1:7" x14ac:dyDescent="0.3">
      <c r="A3797" s="2" t="s">
        <v>4766</v>
      </c>
      <c r="B3797" s="2" t="s">
        <v>4751</v>
      </c>
      <c r="C3797" s="6" t="s">
        <v>4752</v>
      </c>
      <c r="D3797" s="1">
        <v>45642</v>
      </c>
      <c r="E3797" s="4">
        <v>485.21</v>
      </c>
      <c r="F3797" s="3">
        <v>2</v>
      </c>
      <c r="G3797" s="6" t="s">
        <v>12</v>
      </c>
    </row>
    <row r="3798" spans="1:7" x14ac:dyDescent="0.3">
      <c r="A3798" s="2" t="s">
        <v>4767</v>
      </c>
      <c r="B3798" s="2" t="s">
        <v>4768</v>
      </c>
      <c r="C3798" s="6" t="s">
        <v>4769</v>
      </c>
      <c r="D3798" s="1">
        <v>45524</v>
      </c>
      <c r="E3798" s="4">
        <v>160.43</v>
      </c>
      <c r="F3798" s="3">
        <v>4</v>
      </c>
      <c r="G3798" s="6" t="s">
        <v>26</v>
      </c>
    </row>
    <row r="3799" spans="1:7" x14ac:dyDescent="0.3">
      <c r="A3799" s="2" t="s">
        <v>4770</v>
      </c>
      <c r="B3799" s="2" t="s">
        <v>4768</v>
      </c>
      <c r="C3799" s="6" t="s">
        <v>4769</v>
      </c>
      <c r="D3799" s="1">
        <v>45619</v>
      </c>
      <c r="E3799" s="4">
        <v>153.74</v>
      </c>
      <c r="F3799" s="3">
        <v>3</v>
      </c>
      <c r="G3799" s="6" t="s">
        <v>38</v>
      </c>
    </row>
    <row r="3800" spans="1:7" x14ac:dyDescent="0.3">
      <c r="A3800" s="2" t="s">
        <v>4771</v>
      </c>
      <c r="B3800" s="2" t="s">
        <v>4768</v>
      </c>
      <c r="C3800" s="6" t="s">
        <v>4769</v>
      </c>
      <c r="D3800" s="1">
        <v>45229</v>
      </c>
      <c r="E3800" s="4">
        <v>41.94</v>
      </c>
      <c r="F3800" s="3">
        <v>3</v>
      </c>
      <c r="G3800" s="6" t="s">
        <v>26</v>
      </c>
    </row>
    <row r="3801" spans="1:7" x14ac:dyDescent="0.3">
      <c r="A3801" s="2" t="s">
        <v>4772</v>
      </c>
      <c r="B3801" s="2" t="s">
        <v>4768</v>
      </c>
      <c r="C3801" s="6" t="s">
        <v>4769</v>
      </c>
      <c r="D3801" s="1">
        <v>45250</v>
      </c>
      <c r="E3801" s="4">
        <v>44.97</v>
      </c>
      <c r="F3801" s="3">
        <v>4</v>
      </c>
      <c r="G3801" s="6" t="s">
        <v>26</v>
      </c>
    </row>
    <row r="3802" spans="1:7" x14ac:dyDescent="0.3">
      <c r="A3802" s="2" t="s">
        <v>4773</v>
      </c>
      <c r="B3802" s="2" t="s">
        <v>4768</v>
      </c>
      <c r="C3802" s="6" t="s">
        <v>4769</v>
      </c>
      <c r="D3802" s="1">
        <v>45557</v>
      </c>
      <c r="E3802" s="4">
        <v>178.02</v>
      </c>
      <c r="F3802" s="3">
        <v>4</v>
      </c>
      <c r="G3802" s="6" t="s">
        <v>26</v>
      </c>
    </row>
    <row r="3803" spans="1:7" x14ac:dyDescent="0.3">
      <c r="A3803" s="2" t="s">
        <v>4774</v>
      </c>
      <c r="B3803" s="2" t="s">
        <v>4768</v>
      </c>
      <c r="C3803" s="6" t="s">
        <v>4769</v>
      </c>
      <c r="D3803" s="1">
        <v>45451</v>
      </c>
      <c r="E3803" s="4">
        <v>81.09</v>
      </c>
      <c r="F3803" s="3">
        <v>1</v>
      </c>
      <c r="G3803" s="6" t="s">
        <v>18</v>
      </c>
    </row>
    <row r="3804" spans="1:7" x14ac:dyDescent="0.3">
      <c r="A3804" s="2" t="s">
        <v>4775</v>
      </c>
      <c r="B3804" s="2" t="s">
        <v>4768</v>
      </c>
      <c r="C3804" s="6" t="s">
        <v>4769</v>
      </c>
      <c r="D3804" s="1">
        <v>45394</v>
      </c>
      <c r="E3804" s="4">
        <v>196.74</v>
      </c>
      <c r="F3804" s="3">
        <v>1</v>
      </c>
      <c r="G3804" s="6" t="s">
        <v>15</v>
      </c>
    </row>
    <row r="3805" spans="1:7" x14ac:dyDescent="0.3">
      <c r="A3805" s="2" t="s">
        <v>4776</v>
      </c>
      <c r="B3805" s="2" t="s">
        <v>4768</v>
      </c>
      <c r="C3805" s="6" t="s">
        <v>4769</v>
      </c>
      <c r="D3805" s="1">
        <v>45498</v>
      </c>
      <c r="E3805" s="4">
        <v>386.36</v>
      </c>
      <c r="F3805" s="3">
        <v>1</v>
      </c>
      <c r="G3805" s="6" t="s">
        <v>26</v>
      </c>
    </row>
    <row r="3806" spans="1:7" x14ac:dyDescent="0.3">
      <c r="A3806" s="2" t="s">
        <v>4777</v>
      </c>
      <c r="B3806" s="2" t="s">
        <v>4778</v>
      </c>
      <c r="C3806" s="6" t="s">
        <v>4779</v>
      </c>
      <c r="D3806" s="1">
        <v>45603</v>
      </c>
      <c r="E3806" s="4">
        <v>412.35</v>
      </c>
      <c r="F3806" s="3">
        <v>2</v>
      </c>
      <c r="G3806" s="6" t="s">
        <v>12</v>
      </c>
    </row>
    <row r="3807" spans="1:7" x14ac:dyDescent="0.3">
      <c r="A3807" s="2" t="s">
        <v>4780</v>
      </c>
      <c r="B3807" s="2" t="s">
        <v>4781</v>
      </c>
      <c r="C3807" s="6" t="s">
        <v>4782</v>
      </c>
      <c r="D3807" s="1">
        <v>45656</v>
      </c>
      <c r="E3807" s="4">
        <v>182.69</v>
      </c>
      <c r="F3807" s="3">
        <v>1</v>
      </c>
      <c r="G3807" s="6" t="s">
        <v>15</v>
      </c>
    </row>
    <row r="3808" spans="1:7" x14ac:dyDescent="0.3">
      <c r="A3808" s="2" t="s">
        <v>4783</v>
      </c>
      <c r="B3808" s="2" t="s">
        <v>4781</v>
      </c>
      <c r="C3808" s="6" t="s">
        <v>4782</v>
      </c>
      <c r="D3808" s="1">
        <v>45610</v>
      </c>
      <c r="E3808" s="4">
        <v>186</v>
      </c>
      <c r="F3808" s="3">
        <v>1</v>
      </c>
      <c r="G3808" s="6" t="s">
        <v>18</v>
      </c>
    </row>
    <row r="3809" spans="1:7" x14ac:dyDescent="0.3">
      <c r="A3809" s="2" t="s">
        <v>4784</v>
      </c>
      <c r="B3809" s="2" t="s">
        <v>4781</v>
      </c>
      <c r="C3809" s="6" t="s">
        <v>4782</v>
      </c>
      <c r="D3809" s="1">
        <v>45632</v>
      </c>
      <c r="E3809" s="4">
        <v>476.06</v>
      </c>
      <c r="F3809" s="3">
        <v>4</v>
      </c>
      <c r="G3809" s="6" t="s">
        <v>10</v>
      </c>
    </row>
    <row r="3810" spans="1:7" x14ac:dyDescent="0.3">
      <c r="A3810" s="2" t="s">
        <v>4785</v>
      </c>
      <c r="B3810" s="2" t="s">
        <v>4781</v>
      </c>
      <c r="C3810" s="6" t="s">
        <v>4782</v>
      </c>
      <c r="D3810" s="1">
        <v>45603</v>
      </c>
      <c r="E3810" s="4">
        <v>36.64</v>
      </c>
      <c r="F3810" s="3">
        <v>2</v>
      </c>
      <c r="G3810" s="6" t="s">
        <v>38</v>
      </c>
    </row>
    <row r="3811" spans="1:7" x14ac:dyDescent="0.3">
      <c r="A3811" s="2" t="s">
        <v>4786</v>
      </c>
      <c r="B3811" s="2" t="s">
        <v>4781</v>
      </c>
      <c r="C3811" s="6" t="s">
        <v>4782</v>
      </c>
      <c r="D3811" s="1">
        <v>45580</v>
      </c>
      <c r="E3811" s="4">
        <v>192.21</v>
      </c>
      <c r="F3811" s="3">
        <v>4</v>
      </c>
      <c r="G3811" s="6" t="s">
        <v>15</v>
      </c>
    </row>
    <row r="3812" spans="1:7" x14ac:dyDescent="0.3">
      <c r="A3812" s="2" t="s">
        <v>4787</v>
      </c>
      <c r="B3812" s="2" t="s">
        <v>4781</v>
      </c>
      <c r="C3812" s="6" t="s">
        <v>4782</v>
      </c>
      <c r="D3812" s="1">
        <v>45584</v>
      </c>
      <c r="E3812" s="4">
        <v>499.32</v>
      </c>
      <c r="F3812" s="3">
        <v>2</v>
      </c>
      <c r="G3812" s="6" t="s">
        <v>12</v>
      </c>
    </row>
    <row r="3813" spans="1:7" x14ac:dyDescent="0.3">
      <c r="A3813" s="2" t="s">
        <v>4788</v>
      </c>
      <c r="B3813" s="2" t="s">
        <v>4781</v>
      </c>
      <c r="C3813" s="6" t="s">
        <v>4782</v>
      </c>
      <c r="D3813" s="1">
        <v>45594</v>
      </c>
      <c r="E3813" s="4">
        <v>115.73</v>
      </c>
      <c r="F3813" s="3">
        <v>2</v>
      </c>
      <c r="G3813" s="6" t="s">
        <v>15</v>
      </c>
    </row>
    <row r="3814" spans="1:7" x14ac:dyDescent="0.3">
      <c r="A3814" s="2" t="s">
        <v>4789</v>
      </c>
      <c r="B3814" s="2" t="s">
        <v>4781</v>
      </c>
      <c r="C3814" s="6" t="s">
        <v>4782</v>
      </c>
      <c r="D3814" s="1">
        <v>45655</v>
      </c>
      <c r="E3814" s="4">
        <v>291.39</v>
      </c>
      <c r="F3814" s="3">
        <v>1</v>
      </c>
      <c r="G3814" s="6" t="s">
        <v>15</v>
      </c>
    </row>
    <row r="3815" spans="1:7" x14ac:dyDescent="0.3">
      <c r="A3815" s="2" t="s">
        <v>4790</v>
      </c>
      <c r="B3815" s="2" t="s">
        <v>4791</v>
      </c>
      <c r="C3815" s="6" t="s">
        <v>4792</v>
      </c>
      <c r="D3815" s="1">
        <v>45493</v>
      </c>
      <c r="E3815" s="4">
        <v>23.96</v>
      </c>
      <c r="F3815" s="3">
        <v>1</v>
      </c>
      <c r="G3815" s="6" t="s">
        <v>10</v>
      </c>
    </row>
    <row r="3816" spans="1:7" x14ac:dyDescent="0.3">
      <c r="A3816" s="2" t="s">
        <v>4793</v>
      </c>
      <c r="B3816" s="2" t="s">
        <v>4791</v>
      </c>
      <c r="C3816" s="6" t="s">
        <v>4792</v>
      </c>
      <c r="D3816" s="1">
        <v>45241</v>
      </c>
      <c r="E3816" s="4">
        <v>496.2</v>
      </c>
      <c r="F3816" s="3">
        <v>2</v>
      </c>
      <c r="G3816" s="6" t="s">
        <v>26</v>
      </c>
    </row>
    <row r="3817" spans="1:7" x14ac:dyDescent="0.3">
      <c r="A3817" s="2" t="s">
        <v>4794</v>
      </c>
      <c r="B3817" s="2" t="s">
        <v>4791</v>
      </c>
      <c r="C3817" s="6" t="s">
        <v>4792</v>
      </c>
      <c r="D3817" s="1">
        <v>44998</v>
      </c>
      <c r="E3817" s="4">
        <v>94.43</v>
      </c>
      <c r="F3817" s="3">
        <v>1</v>
      </c>
      <c r="G3817" s="6" t="s">
        <v>12</v>
      </c>
    </row>
    <row r="3818" spans="1:7" x14ac:dyDescent="0.3">
      <c r="A3818" s="2" t="s">
        <v>4795</v>
      </c>
      <c r="B3818" s="2" t="s">
        <v>4796</v>
      </c>
      <c r="C3818" s="6" t="s">
        <v>4797</v>
      </c>
      <c r="D3818" s="1">
        <v>45653</v>
      </c>
      <c r="E3818" s="4">
        <v>444.62</v>
      </c>
      <c r="F3818" s="3">
        <v>2</v>
      </c>
      <c r="G3818" s="6" t="s">
        <v>38</v>
      </c>
    </row>
    <row r="3819" spans="1:7" x14ac:dyDescent="0.3">
      <c r="A3819" s="2" t="s">
        <v>4798</v>
      </c>
      <c r="B3819" s="2" t="s">
        <v>4796</v>
      </c>
      <c r="C3819" s="6" t="s">
        <v>4797</v>
      </c>
      <c r="D3819" s="1">
        <v>45608</v>
      </c>
      <c r="E3819" s="4">
        <v>474.33</v>
      </c>
      <c r="F3819" s="3">
        <v>2</v>
      </c>
      <c r="G3819" s="6" t="s">
        <v>38</v>
      </c>
    </row>
    <row r="3820" spans="1:7" x14ac:dyDescent="0.3">
      <c r="A3820" s="2" t="s">
        <v>4799</v>
      </c>
      <c r="B3820" s="2" t="s">
        <v>4796</v>
      </c>
      <c r="C3820" s="6" t="s">
        <v>4797</v>
      </c>
      <c r="D3820" s="1">
        <v>45631</v>
      </c>
      <c r="E3820" s="4">
        <v>367.34</v>
      </c>
      <c r="F3820" s="3">
        <v>4</v>
      </c>
      <c r="G3820" s="6" t="s">
        <v>18</v>
      </c>
    </row>
    <row r="3821" spans="1:7" x14ac:dyDescent="0.3">
      <c r="A3821" s="2" t="s">
        <v>4800</v>
      </c>
      <c r="B3821" s="2" t="s">
        <v>4801</v>
      </c>
      <c r="C3821" s="6" t="s">
        <v>4802</v>
      </c>
      <c r="D3821" s="1">
        <v>45410</v>
      </c>
      <c r="E3821" s="4">
        <v>433.74</v>
      </c>
      <c r="F3821" s="3">
        <v>1</v>
      </c>
      <c r="G3821" s="6" t="s">
        <v>15</v>
      </c>
    </row>
    <row r="3822" spans="1:7" x14ac:dyDescent="0.3">
      <c r="A3822" s="2" t="s">
        <v>4803</v>
      </c>
      <c r="B3822" s="2" t="s">
        <v>4801</v>
      </c>
      <c r="C3822" s="6" t="s">
        <v>4802</v>
      </c>
      <c r="D3822" s="1">
        <v>45107</v>
      </c>
      <c r="E3822" s="4">
        <v>237.49</v>
      </c>
      <c r="F3822" s="3">
        <v>3</v>
      </c>
      <c r="G3822" s="6" t="s">
        <v>15</v>
      </c>
    </row>
    <row r="3823" spans="1:7" x14ac:dyDescent="0.3">
      <c r="A3823" s="2" t="s">
        <v>4804</v>
      </c>
      <c r="B3823" s="2" t="s">
        <v>4801</v>
      </c>
      <c r="C3823" s="6" t="s">
        <v>4802</v>
      </c>
      <c r="D3823" s="1">
        <v>45569</v>
      </c>
      <c r="E3823" s="4">
        <v>485.39</v>
      </c>
      <c r="F3823" s="3">
        <v>4</v>
      </c>
      <c r="G3823" s="6" t="s">
        <v>10</v>
      </c>
    </row>
    <row r="3824" spans="1:7" x14ac:dyDescent="0.3">
      <c r="A3824" s="2" t="s">
        <v>4805</v>
      </c>
      <c r="B3824" s="2" t="s">
        <v>4801</v>
      </c>
      <c r="C3824" s="6" t="s">
        <v>4802</v>
      </c>
      <c r="D3824" s="1">
        <v>45191</v>
      </c>
      <c r="E3824" s="4">
        <v>492.39</v>
      </c>
      <c r="F3824" s="3">
        <v>3</v>
      </c>
      <c r="G3824" s="6" t="s">
        <v>26</v>
      </c>
    </row>
    <row r="3825" spans="1:7" x14ac:dyDescent="0.3">
      <c r="A3825" s="2" t="s">
        <v>4806</v>
      </c>
      <c r="B3825" s="2" t="s">
        <v>4801</v>
      </c>
      <c r="C3825" s="6" t="s">
        <v>4802</v>
      </c>
      <c r="D3825" s="1">
        <v>45477</v>
      </c>
      <c r="E3825" s="4">
        <v>173.06</v>
      </c>
      <c r="F3825" s="3">
        <v>4</v>
      </c>
      <c r="G3825" s="6" t="s">
        <v>10</v>
      </c>
    </row>
    <row r="3826" spans="1:7" x14ac:dyDescent="0.3">
      <c r="A3826" s="2" t="s">
        <v>4807</v>
      </c>
      <c r="B3826" s="2" t="s">
        <v>4801</v>
      </c>
      <c r="C3826" s="6" t="s">
        <v>4802</v>
      </c>
      <c r="D3826" s="1">
        <v>45544</v>
      </c>
      <c r="E3826" s="4">
        <v>44.2</v>
      </c>
      <c r="F3826" s="3">
        <v>2</v>
      </c>
      <c r="G3826" s="6" t="s">
        <v>38</v>
      </c>
    </row>
    <row r="3827" spans="1:7" x14ac:dyDescent="0.3">
      <c r="A3827" s="2" t="s">
        <v>4808</v>
      </c>
      <c r="B3827" s="2" t="s">
        <v>4801</v>
      </c>
      <c r="C3827" s="6" t="s">
        <v>4802</v>
      </c>
      <c r="D3827" s="1">
        <v>45368</v>
      </c>
      <c r="E3827" s="4">
        <v>429.57</v>
      </c>
      <c r="F3827" s="3">
        <v>4</v>
      </c>
      <c r="G3827" s="6" t="s">
        <v>38</v>
      </c>
    </row>
    <row r="3828" spans="1:7" x14ac:dyDescent="0.3">
      <c r="A3828" s="2" t="s">
        <v>4809</v>
      </c>
      <c r="B3828" s="2" t="s">
        <v>4801</v>
      </c>
      <c r="C3828" s="6" t="s">
        <v>4802</v>
      </c>
      <c r="D3828" s="1">
        <v>45240</v>
      </c>
      <c r="E3828" s="4">
        <v>210.33</v>
      </c>
      <c r="F3828" s="3">
        <v>1</v>
      </c>
      <c r="G3828" s="6" t="s">
        <v>38</v>
      </c>
    </row>
    <row r="3829" spans="1:7" x14ac:dyDescent="0.3">
      <c r="A3829" s="2" t="s">
        <v>4810</v>
      </c>
      <c r="B3829" s="2" t="s">
        <v>4801</v>
      </c>
      <c r="C3829" s="6" t="s">
        <v>4802</v>
      </c>
      <c r="D3829" s="1">
        <v>45175</v>
      </c>
      <c r="E3829" s="4">
        <v>329.51</v>
      </c>
      <c r="F3829" s="3">
        <v>2</v>
      </c>
      <c r="G3829" s="6" t="s">
        <v>26</v>
      </c>
    </row>
    <row r="3830" spans="1:7" x14ac:dyDescent="0.3">
      <c r="A3830" s="2" t="s">
        <v>4811</v>
      </c>
      <c r="B3830" s="2" t="s">
        <v>4801</v>
      </c>
      <c r="C3830" s="6" t="s">
        <v>4802</v>
      </c>
      <c r="D3830" s="1">
        <v>45195</v>
      </c>
      <c r="E3830" s="4">
        <v>133.84</v>
      </c>
      <c r="F3830" s="3">
        <v>4</v>
      </c>
      <c r="G3830" s="6" t="s">
        <v>15</v>
      </c>
    </row>
    <row r="3831" spans="1:7" x14ac:dyDescent="0.3">
      <c r="A3831" s="2" t="s">
        <v>4812</v>
      </c>
      <c r="B3831" s="2" t="s">
        <v>4813</v>
      </c>
      <c r="C3831" s="6" t="s">
        <v>4814</v>
      </c>
      <c r="D3831" s="1">
        <v>45310</v>
      </c>
      <c r="E3831" s="4">
        <v>382.79</v>
      </c>
      <c r="F3831" s="3">
        <v>2</v>
      </c>
      <c r="G3831" s="6" t="s">
        <v>15</v>
      </c>
    </row>
    <row r="3832" spans="1:7" x14ac:dyDescent="0.3">
      <c r="A3832" s="2" t="s">
        <v>4815</v>
      </c>
      <c r="B3832" s="2" t="s">
        <v>4813</v>
      </c>
      <c r="C3832" s="6" t="s">
        <v>4814</v>
      </c>
      <c r="D3832" s="1">
        <v>45301</v>
      </c>
      <c r="E3832" s="4">
        <v>289.02</v>
      </c>
      <c r="F3832" s="3">
        <v>1</v>
      </c>
      <c r="G3832" s="6" t="s">
        <v>10</v>
      </c>
    </row>
    <row r="3833" spans="1:7" x14ac:dyDescent="0.3">
      <c r="A3833" s="2" t="s">
        <v>4816</v>
      </c>
      <c r="B3833" s="2" t="s">
        <v>4813</v>
      </c>
      <c r="C3833" s="6" t="s">
        <v>4814</v>
      </c>
      <c r="D3833" s="1">
        <v>45408</v>
      </c>
      <c r="E3833" s="4">
        <v>285.31</v>
      </c>
      <c r="F3833" s="3">
        <v>2</v>
      </c>
      <c r="G3833" s="6" t="s">
        <v>38</v>
      </c>
    </row>
    <row r="3834" spans="1:7" x14ac:dyDescent="0.3">
      <c r="A3834" s="2" t="s">
        <v>4817</v>
      </c>
      <c r="B3834" s="2" t="s">
        <v>4813</v>
      </c>
      <c r="C3834" s="6" t="s">
        <v>4814</v>
      </c>
      <c r="D3834" s="1">
        <v>45644</v>
      </c>
      <c r="E3834" s="4">
        <v>357.97</v>
      </c>
      <c r="F3834" s="3">
        <v>3</v>
      </c>
      <c r="G3834" s="6" t="s">
        <v>15</v>
      </c>
    </row>
    <row r="3835" spans="1:7" x14ac:dyDescent="0.3">
      <c r="A3835" s="2" t="s">
        <v>4818</v>
      </c>
      <c r="B3835" s="2" t="s">
        <v>4813</v>
      </c>
      <c r="C3835" s="6" t="s">
        <v>4814</v>
      </c>
      <c r="D3835" s="1">
        <v>45302</v>
      </c>
      <c r="E3835" s="4">
        <v>352.45</v>
      </c>
      <c r="F3835" s="3">
        <v>1</v>
      </c>
      <c r="G3835" s="6" t="s">
        <v>26</v>
      </c>
    </row>
    <row r="3836" spans="1:7" x14ac:dyDescent="0.3">
      <c r="A3836" s="2" t="s">
        <v>4819</v>
      </c>
      <c r="B3836" s="2" t="s">
        <v>4813</v>
      </c>
      <c r="C3836" s="6" t="s">
        <v>4814</v>
      </c>
      <c r="D3836" s="1">
        <v>45396</v>
      </c>
      <c r="E3836" s="4">
        <v>357.2</v>
      </c>
      <c r="F3836" s="3">
        <v>4</v>
      </c>
      <c r="G3836" s="6" t="s">
        <v>26</v>
      </c>
    </row>
    <row r="3837" spans="1:7" x14ac:dyDescent="0.3">
      <c r="A3837" s="2" t="s">
        <v>4820</v>
      </c>
      <c r="B3837" s="2" t="s">
        <v>4813</v>
      </c>
      <c r="C3837" s="6" t="s">
        <v>4814</v>
      </c>
      <c r="D3837" s="1">
        <v>45534</v>
      </c>
      <c r="E3837" s="4">
        <v>418.36</v>
      </c>
      <c r="F3837" s="3">
        <v>2</v>
      </c>
      <c r="G3837" s="6" t="s">
        <v>10</v>
      </c>
    </row>
    <row r="3838" spans="1:7" x14ac:dyDescent="0.3">
      <c r="A3838" s="2" t="s">
        <v>4821</v>
      </c>
      <c r="B3838" s="2" t="s">
        <v>4813</v>
      </c>
      <c r="C3838" s="6" t="s">
        <v>4814</v>
      </c>
      <c r="D3838" s="1">
        <v>45378</v>
      </c>
      <c r="E3838" s="4">
        <v>28.77</v>
      </c>
      <c r="F3838" s="3">
        <v>2</v>
      </c>
      <c r="G3838" s="6" t="s">
        <v>10</v>
      </c>
    </row>
    <row r="3839" spans="1:7" x14ac:dyDescent="0.3">
      <c r="A3839" s="2" t="s">
        <v>4822</v>
      </c>
      <c r="B3839" s="2" t="s">
        <v>4813</v>
      </c>
      <c r="C3839" s="6" t="s">
        <v>4814</v>
      </c>
      <c r="D3839" s="1">
        <v>45136</v>
      </c>
      <c r="E3839" s="4">
        <v>30.96</v>
      </c>
      <c r="F3839" s="3">
        <v>4</v>
      </c>
      <c r="G3839" s="6" t="s">
        <v>38</v>
      </c>
    </row>
    <row r="3840" spans="1:7" x14ac:dyDescent="0.3">
      <c r="A3840" s="2" t="s">
        <v>4823</v>
      </c>
      <c r="B3840" s="2" t="s">
        <v>4813</v>
      </c>
      <c r="C3840" s="6" t="s">
        <v>4814</v>
      </c>
      <c r="D3840" s="1">
        <v>45509</v>
      </c>
      <c r="E3840" s="4">
        <v>379.69</v>
      </c>
      <c r="F3840" s="3">
        <v>3</v>
      </c>
      <c r="G3840" s="6" t="s">
        <v>38</v>
      </c>
    </row>
    <row r="3841" spans="1:7" x14ac:dyDescent="0.3">
      <c r="A3841" s="2" t="s">
        <v>4824</v>
      </c>
      <c r="B3841" s="2" t="s">
        <v>4825</v>
      </c>
      <c r="C3841" s="6" t="s">
        <v>4826</v>
      </c>
      <c r="D3841" s="1">
        <v>45279</v>
      </c>
      <c r="E3841" s="4">
        <v>421.17</v>
      </c>
      <c r="F3841" s="3">
        <v>2</v>
      </c>
      <c r="G3841" s="6" t="s">
        <v>18</v>
      </c>
    </row>
    <row r="3842" spans="1:7" x14ac:dyDescent="0.3">
      <c r="A3842" s="2" t="s">
        <v>4827</v>
      </c>
      <c r="B3842" s="2" t="s">
        <v>4825</v>
      </c>
      <c r="C3842" s="6" t="s">
        <v>4826</v>
      </c>
      <c r="D3842" s="1">
        <v>45362</v>
      </c>
      <c r="E3842" s="4">
        <v>263.47000000000003</v>
      </c>
      <c r="F3842" s="3">
        <v>3</v>
      </c>
      <c r="G3842" s="6" t="s">
        <v>18</v>
      </c>
    </row>
    <row r="3843" spans="1:7" x14ac:dyDescent="0.3">
      <c r="A3843" s="2" t="s">
        <v>4828</v>
      </c>
      <c r="B3843" s="2" t="s">
        <v>4825</v>
      </c>
      <c r="C3843" s="6" t="s">
        <v>4826</v>
      </c>
      <c r="D3843" s="1">
        <v>45140</v>
      </c>
      <c r="E3843" s="4">
        <v>131.86000000000001</v>
      </c>
      <c r="F3843" s="3">
        <v>4</v>
      </c>
      <c r="G3843" s="6" t="s">
        <v>38</v>
      </c>
    </row>
    <row r="3844" spans="1:7" x14ac:dyDescent="0.3">
      <c r="A3844" s="2" t="s">
        <v>4829</v>
      </c>
      <c r="B3844" s="2" t="s">
        <v>4825</v>
      </c>
      <c r="C3844" s="6" t="s">
        <v>4826</v>
      </c>
      <c r="D3844" s="1">
        <v>45114</v>
      </c>
      <c r="E3844" s="4">
        <v>356.28</v>
      </c>
      <c r="F3844" s="3">
        <v>3</v>
      </c>
      <c r="G3844" s="6" t="s">
        <v>12</v>
      </c>
    </row>
    <row r="3845" spans="1:7" x14ac:dyDescent="0.3">
      <c r="A3845" s="2" t="s">
        <v>4830</v>
      </c>
      <c r="B3845" s="2" t="s">
        <v>4825</v>
      </c>
      <c r="C3845" s="6" t="s">
        <v>4826</v>
      </c>
      <c r="D3845" s="1">
        <v>45477</v>
      </c>
      <c r="E3845" s="4">
        <v>20.86</v>
      </c>
      <c r="F3845" s="3">
        <v>4</v>
      </c>
      <c r="G3845" s="6" t="s">
        <v>10</v>
      </c>
    </row>
    <row r="3846" spans="1:7" x14ac:dyDescent="0.3">
      <c r="A3846" s="2" t="s">
        <v>4831</v>
      </c>
      <c r="B3846" s="2" t="s">
        <v>4825</v>
      </c>
      <c r="C3846" s="6" t="s">
        <v>4826</v>
      </c>
      <c r="D3846" s="1">
        <v>45624</v>
      </c>
      <c r="E3846" s="4">
        <v>482.61</v>
      </c>
      <c r="F3846" s="3">
        <v>4</v>
      </c>
      <c r="G3846" s="6" t="s">
        <v>26</v>
      </c>
    </row>
    <row r="3847" spans="1:7" x14ac:dyDescent="0.3">
      <c r="A3847" s="2" t="s">
        <v>4832</v>
      </c>
      <c r="B3847" s="2" t="s">
        <v>4825</v>
      </c>
      <c r="C3847" s="6" t="s">
        <v>4826</v>
      </c>
      <c r="D3847" s="1">
        <v>45436</v>
      </c>
      <c r="E3847" s="4">
        <v>493.53</v>
      </c>
      <c r="F3847" s="3">
        <v>2</v>
      </c>
      <c r="G3847" s="6" t="s">
        <v>26</v>
      </c>
    </row>
    <row r="3848" spans="1:7" x14ac:dyDescent="0.3">
      <c r="A3848" s="2" t="s">
        <v>4833</v>
      </c>
      <c r="B3848" s="2" t="s">
        <v>4825</v>
      </c>
      <c r="C3848" s="6" t="s">
        <v>4826</v>
      </c>
      <c r="D3848" s="1">
        <v>45486</v>
      </c>
      <c r="E3848" s="4">
        <v>30.81</v>
      </c>
      <c r="F3848" s="3">
        <v>2</v>
      </c>
      <c r="G3848" s="6" t="s">
        <v>10</v>
      </c>
    </row>
    <row r="3849" spans="1:7" x14ac:dyDescent="0.3">
      <c r="A3849" s="2" t="s">
        <v>4834</v>
      </c>
      <c r="B3849" s="2" t="s">
        <v>4825</v>
      </c>
      <c r="C3849" s="6" t="s">
        <v>4826</v>
      </c>
      <c r="D3849" s="1">
        <v>45333</v>
      </c>
      <c r="E3849" s="4">
        <v>117.44</v>
      </c>
      <c r="F3849" s="3">
        <v>1</v>
      </c>
      <c r="G3849" s="6" t="s">
        <v>10</v>
      </c>
    </row>
    <row r="3850" spans="1:7" x14ac:dyDescent="0.3">
      <c r="A3850" s="2" t="s">
        <v>4835</v>
      </c>
      <c r="B3850" s="2" t="s">
        <v>4836</v>
      </c>
      <c r="C3850" s="6" t="s">
        <v>4837</v>
      </c>
      <c r="D3850" s="1">
        <v>45443</v>
      </c>
      <c r="E3850" s="4">
        <v>358.97</v>
      </c>
      <c r="F3850" s="3">
        <v>4</v>
      </c>
      <c r="G3850" s="6" t="s">
        <v>10</v>
      </c>
    </row>
    <row r="3851" spans="1:7" x14ac:dyDescent="0.3">
      <c r="A3851" s="2" t="s">
        <v>4838</v>
      </c>
      <c r="B3851" s="2" t="s">
        <v>4839</v>
      </c>
      <c r="C3851" s="6" t="s">
        <v>4840</v>
      </c>
      <c r="D3851" s="1">
        <v>45515</v>
      </c>
      <c r="E3851" s="4">
        <v>121.93</v>
      </c>
      <c r="F3851" s="3">
        <v>1</v>
      </c>
      <c r="G3851" s="6" t="s">
        <v>38</v>
      </c>
    </row>
    <row r="3852" spans="1:7" x14ac:dyDescent="0.3">
      <c r="A3852" s="2" t="s">
        <v>4841</v>
      </c>
      <c r="B3852" s="2" t="s">
        <v>4839</v>
      </c>
      <c r="C3852" s="6" t="s">
        <v>4840</v>
      </c>
      <c r="D3852" s="1">
        <v>45596</v>
      </c>
      <c r="E3852" s="4">
        <v>338.4</v>
      </c>
      <c r="F3852" s="3">
        <v>3</v>
      </c>
      <c r="G3852" s="6" t="s">
        <v>12</v>
      </c>
    </row>
    <row r="3853" spans="1:7" x14ac:dyDescent="0.3">
      <c r="A3853" s="2" t="s">
        <v>4842</v>
      </c>
      <c r="B3853" s="2" t="s">
        <v>4839</v>
      </c>
      <c r="C3853" s="6" t="s">
        <v>4840</v>
      </c>
      <c r="D3853" s="1">
        <v>45510</v>
      </c>
      <c r="E3853" s="4">
        <v>240.42</v>
      </c>
      <c r="F3853" s="3">
        <v>4</v>
      </c>
      <c r="G3853" s="6" t="s">
        <v>15</v>
      </c>
    </row>
    <row r="3854" spans="1:7" x14ac:dyDescent="0.3">
      <c r="A3854" s="2" t="s">
        <v>4843</v>
      </c>
      <c r="B3854" s="2" t="s">
        <v>4839</v>
      </c>
      <c r="C3854" s="6" t="s">
        <v>4840</v>
      </c>
      <c r="D3854" s="1">
        <v>45562</v>
      </c>
      <c r="E3854" s="4">
        <v>43.28</v>
      </c>
      <c r="F3854" s="3">
        <v>2</v>
      </c>
      <c r="G3854" s="6" t="s">
        <v>26</v>
      </c>
    </row>
    <row r="3855" spans="1:7" x14ac:dyDescent="0.3">
      <c r="A3855" s="2" t="s">
        <v>4844</v>
      </c>
      <c r="B3855" s="2" t="s">
        <v>4839</v>
      </c>
      <c r="C3855" s="6" t="s">
        <v>4840</v>
      </c>
      <c r="D3855" s="1">
        <v>45576</v>
      </c>
      <c r="E3855" s="4">
        <v>203.59</v>
      </c>
      <c r="F3855" s="3">
        <v>4</v>
      </c>
      <c r="G3855" s="6" t="s">
        <v>38</v>
      </c>
    </row>
    <row r="3856" spans="1:7" x14ac:dyDescent="0.3">
      <c r="A3856" s="2" t="s">
        <v>4845</v>
      </c>
      <c r="B3856" s="2" t="s">
        <v>4839</v>
      </c>
      <c r="C3856" s="6" t="s">
        <v>4840</v>
      </c>
      <c r="D3856" s="1">
        <v>45545</v>
      </c>
      <c r="E3856" s="4">
        <v>146.13</v>
      </c>
      <c r="F3856" s="3">
        <v>4</v>
      </c>
      <c r="G3856" s="6" t="s">
        <v>18</v>
      </c>
    </row>
    <row r="3857" spans="1:7" x14ac:dyDescent="0.3">
      <c r="A3857" s="2" t="s">
        <v>4846</v>
      </c>
      <c r="B3857" s="2" t="s">
        <v>4839</v>
      </c>
      <c r="C3857" s="6" t="s">
        <v>4840</v>
      </c>
      <c r="D3857" s="1">
        <v>45544</v>
      </c>
      <c r="E3857" s="4">
        <v>497.46</v>
      </c>
      <c r="F3857" s="3">
        <v>3</v>
      </c>
      <c r="G3857" s="6" t="s">
        <v>10</v>
      </c>
    </row>
    <row r="3858" spans="1:7" x14ac:dyDescent="0.3">
      <c r="A3858" s="2" t="s">
        <v>4847</v>
      </c>
      <c r="B3858" s="2" t="s">
        <v>4839</v>
      </c>
      <c r="C3858" s="6" t="s">
        <v>4840</v>
      </c>
      <c r="D3858" s="1">
        <v>45542</v>
      </c>
      <c r="E3858" s="4">
        <v>35.36</v>
      </c>
      <c r="F3858" s="3">
        <v>3</v>
      </c>
      <c r="G3858" s="6" t="s">
        <v>15</v>
      </c>
    </row>
    <row r="3859" spans="1:7" x14ac:dyDescent="0.3">
      <c r="A3859" s="2" t="s">
        <v>4848</v>
      </c>
      <c r="B3859" s="2" t="s">
        <v>4839</v>
      </c>
      <c r="C3859" s="6" t="s">
        <v>4840</v>
      </c>
      <c r="D3859" s="1">
        <v>45567</v>
      </c>
      <c r="E3859" s="4">
        <v>483.81</v>
      </c>
      <c r="F3859" s="3">
        <v>3</v>
      </c>
      <c r="G3859" s="6" t="s">
        <v>18</v>
      </c>
    </row>
    <row r="3860" spans="1:7" x14ac:dyDescent="0.3">
      <c r="A3860" s="2" t="s">
        <v>4849</v>
      </c>
      <c r="B3860" s="2" t="s">
        <v>4839</v>
      </c>
      <c r="C3860" s="6" t="s">
        <v>4840</v>
      </c>
      <c r="D3860" s="1">
        <v>45623</v>
      </c>
      <c r="E3860" s="4">
        <v>89.22</v>
      </c>
      <c r="F3860" s="3">
        <v>1</v>
      </c>
      <c r="G3860" s="6" t="s">
        <v>26</v>
      </c>
    </row>
    <row r="3861" spans="1:7" x14ac:dyDescent="0.3">
      <c r="A3861" s="2" t="s">
        <v>4850</v>
      </c>
      <c r="B3861" s="2" t="s">
        <v>4839</v>
      </c>
      <c r="C3861" s="6" t="s">
        <v>4840</v>
      </c>
      <c r="D3861" s="1">
        <v>45619</v>
      </c>
      <c r="E3861" s="4">
        <v>178.01</v>
      </c>
      <c r="F3861" s="3">
        <v>4</v>
      </c>
      <c r="G3861" s="6" t="s">
        <v>15</v>
      </c>
    </row>
    <row r="3862" spans="1:7" x14ac:dyDescent="0.3">
      <c r="A3862" s="2" t="s">
        <v>4851</v>
      </c>
      <c r="B3862" s="2" t="s">
        <v>4839</v>
      </c>
      <c r="C3862" s="6" t="s">
        <v>4840</v>
      </c>
      <c r="D3862" s="1">
        <v>45551</v>
      </c>
      <c r="E3862" s="4">
        <v>55.29</v>
      </c>
      <c r="F3862" s="3">
        <v>2</v>
      </c>
      <c r="G3862" s="6" t="s">
        <v>15</v>
      </c>
    </row>
    <row r="3863" spans="1:7" x14ac:dyDescent="0.3">
      <c r="A3863" s="2" t="s">
        <v>4852</v>
      </c>
      <c r="B3863" s="2" t="s">
        <v>4853</v>
      </c>
      <c r="C3863" s="6" t="s">
        <v>4854</v>
      </c>
      <c r="D3863" s="1">
        <v>45191</v>
      </c>
      <c r="E3863" s="4">
        <v>397.06</v>
      </c>
      <c r="F3863" s="3">
        <v>1</v>
      </c>
      <c r="G3863" s="6" t="s">
        <v>10</v>
      </c>
    </row>
    <row r="3864" spans="1:7" x14ac:dyDescent="0.3">
      <c r="A3864" s="2" t="s">
        <v>4855</v>
      </c>
      <c r="B3864" s="2" t="s">
        <v>4853</v>
      </c>
      <c r="C3864" s="6" t="s">
        <v>4854</v>
      </c>
      <c r="D3864" s="1">
        <v>45244</v>
      </c>
      <c r="E3864" s="4">
        <v>74.010000000000005</v>
      </c>
      <c r="F3864" s="3">
        <v>3</v>
      </c>
      <c r="G3864" s="6" t="s">
        <v>18</v>
      </c>
    </row>
    <row r="3865" spans="1:7" x14ac:dyDescent="0.3">
      <c r="A3865" s="2" t="s">
        <v>4856</v>
      </c>
      <c r="B3865" s="2" t="s">
        <v>4853</v>
      </c>
      <c r="C3865" s="6" t="s">
        <v>4854</v>
      </c>
      <c r="D3865" s="1">
        <v>45613</v>
      </c>
      <c r="E3865" s="4">
        <v>30.65</v>
      </c>
      <c r="F3865" s="3">
        <v>2</v>
      </c>
      <c r="G3865" s="6" t="s">
        <v>26</v>
      </c>
    </row>
    <row r="3866" spans="1:7" x14ac:dyDescent="0.3">
      <c r="A3866" s="2" t="s">
        <v>4857</v>
      </c>
      <c r="B3866" s="2" t="s">
        <v>4853</v>
      </c>
      <c r="C3866" s="6" t="s">
        <v>4854</v>
      </c>
      <c r="D3866" s="1">
        <v>45481</v>
      </c>
      <c r="E3866" s="4">
        <v>460.57</v>
      </c>
      <c r="F3866" s="3">
        <v>2</v>
      </c>
      <c r="G3866" s="6" t="s">
        <v>18</v>
      </c>
    </row>
    <row r="3867" spans="1:7" x14ac:dyDescent="0.3">
      <c r="A3867" s="2" t="s">
        <v>4858</v>
      </c>
      <c r="B3867" s="2" t="s">
        <v>4853</v>
      </c>
      <c r="C3867" s="6" t="s">
        <v>4854</v>
      </c>
      <c r="D3867" s="1">
        <v>45598</v>
      </c>
      <c r="E3867" s="4">
        <v>320.67</v>
      </c>
      <c r="F3867" s="3">
        <v>2</v>
      </c>
      <c r="G3867" s="6" t="s">
        <v>18</v>
      </c>
    </row>
    <row r="3868" spans="1:7" x14ac:dyDescent="0.3">
      <c r="A3868" s="2" t="s">
        <v>4859</v>
      </c>
      <c r="B3868" s="2" t="s">
        <v>4853</v>
      </c>
      <c r="C3868" s="6" t="s">
        <v>4854</v>
      </c>
      <c r="D3868" s="1">
        <v>45476</v>
      </c>
      <c r="E3868" s="4">
        <v>94.6</v>
      </c>
      <c r="F3868" s="3">
        <v>4</v>
      </c>
      <c r="G3868" s="6" t="s">
        <v>26</v>
      </c>
    </row>
    <row r="3869" spans="1:7" x14ac:dyDescent="0.3">
      <c r="A3869" s="2" t="s">
        <v>4860</v>
      </c>
      <c r="B3869" s="2" t="s">
        <v>4853</v>
      </c>
      <c r="C3869" s="6" t="s">
        <v>4854</v>
      </c>
      <c r="D3869" s="1">
        <v>45414</v>
      </c>
      <c r="E3869" s="4">
        <v>338.63</v>
      </c>
      <c r="F3869" s="3">
        <v>4</v>
      </c>
      <c r="G3869" s="6" t="s">
        <v>12</v>
      </c>
    </row>
    <row r="3870" spans="1:7" x14ac:dyDescent="0.3">
      <c r="A3870" s="2" t="s">
        <v>4861</v>
      </c>
      <c r="B3870" s="2" t="s">
        <v>4853</v>
      </c>
      <c r="C3870" s="6" t="s">
        <v>4854</v>
      </c>
      <c r="D3870" s="1">
        <v>45094</v>
      </c>
      <c r="E3870" s="4">
        <v>408.89</v>
      </c>
      <c r="F3870" s="3">
        <v>1</v>
      </c>
      <c r="G3870" s="6" t="s">
        <v>18</v>
      </c>
    </row>
    <row r="3871" spans="1:7" x14ac:dyDescent="0.3">
      <c r="A3871" s="2" t="s">
        <v>4862</v>
      </c>
      <c r="B3871" s="2" t="s">
        <v>4853</v>
      </c>
      <c r="C3871" s="6" t="s">
        <v>4854</v>
      </c>
      <c r="D3871" s="1">
        <v>45398</v>
      </c>
      <c r="E3871" s="4">
        <v>468.28</v>
      </c>
      <c r="F3871" s="3">
        <v>2</v>
      </c>
      <c r="G3871" s="6" t="s">
        <v>10</v>
      </c>
    </row>
    <row r="3872" spans="1:7" x14ac:dyDescent="0.3">
      <c r="A3872" s="2" t="s">
        <v>4863</v>
      </c>
      <c r="B3872" s="2" t="s">
        <v>4853</v>
      </c>
      <c r="C3872" s="6" t="s">
        <v>4854</v>
      </c>
      <c r="D3872" s="1">
        <v>45542</v>
      </c>
      <c r="E3872" s="4">
        <v>397.22</v>
      </c>
      <c r="F3872" s="3">
        <v>4</v>
      </c>
      <c r="G3872" s="6" t="s">
        <v>18</v>
      </c>
    </row>
    <row r="3873" spans="1:7" x14ac:dyDescent="0.3">
      <c r="A3873" s="2" t="s">
        <v>4864</v>
      </c>
      <c r="B3873" s="2" t="s">
        <v>4853</v>
      </c>
      <c r="C3873" s="6" t="s">
        <v>4854</v>
      </c>
      <c r="D3873" s="1">
        <v>45149</v>
      </c>
      <c r="E3873" s="4">
        <v>143.78</v>
      </c>
      <c r="F3873" s="3">
        <v>1</v>
      </c>
      <c r="G3873" s="6" t="s">
        <v>38</v>
      </c>
    </row>
    <row r="3874" spans="1:7" x14ac:dyDescent="0.3">
      <c r="A3874" s="2" t="s">
        <v>4865</v>
      </c>
      <c r="B3874" s="2" t="s">
        <v>4866</v>
      </c>
      <c r="C3874" s="6" t="s">
        <v>4867</v>
      </c>
      <c r="D3874" s="1">
        <v>45604</v>
      </c>
      <c r="E3874" s="4">
        <v>406.46</v>
      </c>
      <c r="F3874" s="3">
        <v>1</v>
      </c>
      <c r="G3874" s="6" t="s">
        <v>10</v>
      </c>
    </row>
    <row r="3875" spans="1:7" x14ac:dyDescent="0.3">
      <c r="A3875" s="2" t="s">
        <v>4868</v>
      </c>
      <c r="B3875" s="2" t="s">
        <v>4869</v>
      </c>
      <c r="C3875" s="6" t="s">
        <v>4870</v>
      </c>
      <c r="D3875" s="1">
        <v>45566</v>
      </c>
      <c r="E3875" s="4">
        <v>49.83</v>
      </c>
      <c r="F3875" s="3">
        <v>2</v>
      </c>
      <c r="G3875" s="6" t="s">
        <v>10</v>
      </c>
    </row>
    <row r="3876" spans="1:7" x14ac:dyDescent="0.3">
      <c r="A3876" s="2" t="s">
        <v>4871</v>
      </c>
      <c r="B3876" s="2" t="s">
        <v>4869</v>
      </c>
      <c r="C3876" s="6" t="s">
        <v>4870</v>
      </c>
      <c r="D3876" s="1">
        <v>45624</v>
      </c>
      <c r="E3876" s="4">
        <v>318.54000000000002</v>
      </c>
      <c r="F3876" s="3">
        <v>4</v>
      </c>
      <c r="G3876" s="6" t="s">
        <v>15</v>
      </c>
    </row>
    <row r="3877" spans="1:7" x14ac:dyDescent="0.3">
      <c r="A3877" s="2" t="s">
        <v>4872</v>
      </c>
      <c r="B3877" s="2" t="s">
        <v>4869</v>
      </c>
      <c r="C3877" s="6" t="s">
        <v>4870</v>
      </c>
      <c r="D3877" s="1">
        <v>45542</v>
      </c>
      <c r="E3877" s="4">
        <v>242.34</v>
      </c>
      <c r="F3877" s="3">
        <v>4</v>
      </c>
      <c r="G3877" s="6" t="s">
        <v>26</v>
      </c>
    </row>
    <row r="3878" spans="1:7" x14ac:dyDescent="0.3">
      <c r="A3878" s="2" t="s">
        <v>4873</v>
      </c>
      <c r="B3878" s="2" t="s">
        <v>4869</v>
      </c>
      <c r="C3878" s="6" t="s">
        <v>4870</v>
      </c>
      <c r="D3878" s="1">
        <v>45647</v>
      </c>
      <c r="E3878" s="4">
        <v>414.55</v>
      </c>
      <c r="F3878" s="3">
        <v>3</v>
      </c>
      <c r="G3878" s="6" t="s">
        <v>15</v>
      </c>
    </row>
    <row r="3879" spans="1:7" x14ac:dyDescent="0.3">
      <c r="A3879" s="2" t="s">
        <v>4874</v>
      </c>
      <c r="B3879" s="2" t="s">
        <v>4869</v>
      </c>
      <c r="C3879" s="6" t="s">
        <v>4870</v>
      </c>
      <c r="D3879" s="1">
        <v>45604</v>
      </c>
      <c r="E3879" s="4">
        <v>444.36</v>
      </c>
      <c r="F3879" s="3">
        <v>2</v>
      </c>
      <c r="G3879" s="6" t="s">
        <v>38</v>
      </c>
    </row>
    <row r="3880" spans="1:7" x14ac:dyDescent="0.3">
      <c r="A3880" s="2" t="s">
        <v>4875</v>
      </c>
      <c r="B3880" s="2" t="s">
        <v>4869</v>
      </c>
      <c r="C3880" s="6" t="s">
        <v>4870</v>
      </c>
      <c r="D3880" s="1">
        <v>45655</v>
      </c>
      <c r="E3880" s="4">
        <v>250.4</v>
      </c>
      <c r="F3880" s="3">
        <v>4</v>
      </c>
      <c r="G3880" s="6" t="s">
        <v>15</v>
      </c>
    </row>
    <row r="3881" spans="1:7" x14ac:dyDescent="0.3">
      <c r="A3881" s="2" t="s">
        <v>4876</v>
      </c>
      <c r="B3881" s="2" t="s">
        <v>4869</v>
      </c>
      <c r="C3881" s="6" t="s">
        <v>4870</v>
      </c>
      <c r="D3881" s="1">
        <v>45610</v>
      </c>
      <c r="E3881" s="4">
        <v>68.25</v>
      </c>
      <c r="F3881" s="3">
        <v>3</v>
      </c>
      <c r="G3881" s="6" t="s">
        <v>38</v>
      </c>
    </row>
    <row r="3882" spans="1:7" x14ac:dyDescent="0.3">
      <c r="A3882" s="2" t="s">
        <v>4877</v>
      </c>
      <c r="B3882" s="2" t="s">
        <v>4869</v>
      </c>
      <c r="C3882" s="6" t="s">
        <v>4870</v>
      </c>
      <c r="D3882" s="1">
        <v>45636</v>
      </c>
      <c r="E3882" s="4">
        <v>129.47999999999999</v>
      </c>
      <c r="F3882" s="3">
        <v>1</v>
      </c>
      <c r="G3882" s="6" t="s">
        <v>15</v>
      </c>
    </row>
    <row r="3883" spans="1:7" x14ac:dyDescent="0.3">
      <c r="A3883" s="2" t="s">
        <v>4878</v>
      </c>
      <c r="B3883" s="2" t="s">
        <v>4879</v>
      </c>
      <c r="C3883" s="6" t="s">
        <v>4880</v>
      </c>
      <c r="D3883" s="1">
        <v>45555</v>
      </c>
      <c r="E3883" s="4">
        <v>303.86</v>
      </c>
      <c r="F3883" s="3">
        <v>4</v>
      </c>
      <c r="G3883" s="6" t="s">
        <v>12</v>
      </c>
    </row>
    <row r="3884" spans="1:7" x14ac:dyDescent="0.3">
      <c r="A3884" s="2" t="s">
        <v>4881</v>
      </c>
      <c r="B3884" s="2" t="s">
        <v>4879</v>
      </c>
      <c r="C3884" s="6" t="s">
        <v>4880</v>
      </c>
      <c r="D3884" s="1">
        <v>45576</v>
      </c>
      <c r="E3884" s="4">
        <v>399.89</v>
      </c>
      <c r="F3884" s="3">
        <v>4</v>
      </c>
      <c r="G3884" s="6" t="s">
        <v>10</v>
      </c>
    </row>
    <row r="3885" spans="1:7" x14ac:dyDescent="0.3">
      <c r="A3885" s="2" t="s">
        <v>4882</v>
      </c>
      <c r="B3885" s="2" t="s">
        <v>4879</v>
      </c>
      <c r="C3885" s="6" t="s">
        <v>4880</v>
      </c>
      <c r="D3885" s="1">
        <v>45652</v>
      </c>
      <c r="E3885" s="4">
        <v>245.5</v>
      </c>
      <c r="F3885" s="3">
        <v>4</v>
      </c>
      <c r="G3885" s="6" t="s">
        <v>12</v>
      </c>
    </row>
    <row r="3886" spans="1:7" x14ac:dyDescent="0.3">
      <c r="A3886" s="2" t="s">
        <v>4883</v>
      </c>
      <c r="B3886" s="2" t="s">
        <v>4879</v>
      </c>
      <c r="C3886" s="6" t="s">
        <v>4880</v>
      </c>
      <c r="D3886" s="1">
        <v>45528</v>
      </c>
      <c r="E3886" s="4">
        <v>69.59</v>
      </c>
      <c r="F3886" s="3">
        <v>2</v>
      </c>
      <c r="G3886" s="6" t="s">
        <v>12</v>
      </c>
    </row>
    <row r="3887" spans="1:7" x14ac:dyDescent="0.3">
      <c r="A3887" s="2" t="s">
        <v>4884</v>
      </c>
      <c r="B3887" s="2" t="s">
        <v>4879</v>
      </c>
      <c r="C3887" s="6" t="s">
        <v>4880</v>
      </c>
      <c r="D3887" s="1">
        <v>45534</v>
      </c>
      <c r="E3887" s="4">
        <v>57.02</v>
      </c>
      <c r="F3887" s="3">
        <v>3</v>
      </c>
      <c r="G3887" s="6" t="s">
        <v>26</v>
      </c>
    </row>
    <row r="3888" spans="1:7" x14ac:dyDescent="0.3">
      <c r="A3888" s="2" t="s">
        <v>4885</v>
      </c>
      <c r="B3888" s="2" t="s">
        <v>4879</v>
      </c>
      <c r="C3888" s="6" t="s">
        <v>4880</v>
      </c>
      <c r="D3888" s="1">
        <v>45540</v>
      </c>
      <c r="E3888" s="4">
        <v>392.18</v>
      </c>
      <c r="F3888" s="3">
        <v>3</v>
      </c>
      <c r="G3888" s="6" t="s">
        <v>18</v>
      </c>
    </row>
    <row r="3889" spans="1:7" x14ac:dyDescent="0.3">
      <c r="A3889" s="2" t="s">
        <v>4886</v>
      </c>
      <c r="B3889" s="2" t="s">
        <v>4887</v>
      </c>
      <c r="C3889" s="6" t="s">
        <v>4888</v>
      </c>
      <c r="D3889" s="1">
        <v>45409</v>
      </c>
      <c r="E3889" s="4">
        <v>213.23</v>
      </c>
      <c r="F3889" s="3">
        <v>1</v>
      </c>
      <c r="G3889" s="6" t="s">
        <v>10</v>
      </c>
    </row>
    <row r="3890" spans="1:7" x14ac:dyDescent="0.3">
      <c r="A3890" s="2" t="s">
        <v>4889</v>
      </c>
      <c r="B3890" s="2" t="s">
        <v>4887</v>
      </c>
      <c r="C3890" s="6" t="s">
        <v>4888</v>
      </c>
      <c r="D3890" s="1">
        <v>45326</v>
      </c>
      <c r="E3890" s="4">
        <v>109.55</v>
      </c>
      <c r="F3890" s="3">
        <v>2</v>
      </c>
      <c r="G3890" s="6" t="s">
        <v>18</v>
      </c>
    </row>
    <row r="3891" spans="1:7" x14ac:dyDescent="0.3">
      <c r="A3891" s="2" t="s">
        <v>4890</v>
      </c>
      <c r="B3891" s="2" t="s">
        <v>4887</v>
      </c>
      <c r="C3891" s="6" t="s">
        <v>4888</v>
      </c>
      <c r="D3891" s="1">
        <v>45525</v>
      </c>
      <c r="E3891" s="4">
        <v>494.7</v>
      </c>
      <c r="F3891" s="3">
        <v>1</v>
      </c>
      <c r="G3891" s="6" t="s">
        <v>12</v>
      </c>
    </row>
    <row r="3892" spans="1:7" x14ac:dyDescent="0.3">
      <c r="A3892" s="2" t="s">
        <v>4891</v>
      </c>
      <c r="B3892" s="2" t="s">
        <v>4887</v>
      </c>
      <c r="C3892" s="6" t="s">
        <v>4888</v>
      </c>
      <c r="D3892" s="1">
        <v>45299</v>
      </c>
      <c r="E3892" s="4">
        <v>287.87</v>
      </c>
      <c r="F3892" s="3">
        <v>2</v>
      </c>
      <c r="G3892" s="6" t="s">
        <v>26</v>
      </c>
    </row>
    <row r="3893" spans="1:7" x14ac:dyDescent="0.3">
      <c r="A3893" s="2" t="s">
        <v>4892</v>
      </c>
      <c r="B3893" s="2" t="s">
        <v>4887</v>
      </c>
      <c r="C3893" s="6" t="s">
        <v>4888</v>
      </c>
      <c r="D3893" s="1">
        <v>45609</v>
      </c>
      <c r="E3893" s="4">
        <v>123.16</v>
      </c>
      <c r="F3893" s="3">
        <v>2</v>
      </c>
      <c r="G3893" s="6" t="s">
        <v>38</v>
      </c>
    </row>
    <row r="3894" spans="1:7" x14ac:dyDescent="0.3">
      <c r="A3894" s="2" t="s">
        <v>4893</v>
      </c>
      <c r="B3894" s="2" t="s">
        <v>4894</v>
      </c>
      <c r="C3894" s="6" t="s">
        <v>4895</v>
      </c>
      <c r="D3894" s="1">
        <v>45627</v>
      </c>
      <c r="E3894" s="4">
        <v>371.28</v>
      </c>
      <c r="F3894" s="3">
        <v>2</v>
      </c>
      <c r="G3894" s="6" t="s">
        <v>38</v>
      </c>
    </row>
    <row r="3895" spans="1:7" x14ac:dyDescent="0.3">
      <c r="A3895" s="2" t="s">
        <v>4896</v>
      </c>
      <c r="B3895" s="2" t="s">
        <v>4894</v>
      </c>
      <c r="C3895" s="6" t="s">
        <v>4895</v>
      </c>
      <c r="D3895" s="1">
        <v>45589</v>
      </c>
      <c r="E3895" s="4">
        <v>429.76</v>
      </c>
      <c r="F3895" s="3">
        <v>3</v>
      </c>
      <c r="G3895" s="6" t="s">
        <v>26</v>
      </c>
    </row>
    <row r="3896" spans="1:7" x14ac:dyDescent="0.3">
      <c r="A3896" s="2" t="s">
        <v>4897</v>
      </c>
      <c r="B3896" s="2" t="s">
        <v>4894</v>
      </c>
      <c r="C3896" s="6" t="s">
        <v>4895</v>
      </c>
      <c r="D3896" s="1">
        <v>45622</v>
      </c>
      <c r="E3896" s="4">
        <v>287.13</v>
      </c>
      <c r="F3896" s="3">
        <v>2</v>
      </c>
      <c r="G3896" s="6" t="s">
        <v>10</v>
      </c>
    </row>
    <row r="3897" spans="1:7" x14ac:dyDescent="0.3">
      <c r="A3897" s="2" t="s">
        <v>4898</v>
      </c>
      <c r="B3897" s="2" t="s">
        <v>4894</v>
      </c>
      <c r="C3897" s="6" t="s">
        <v>4895</v>
      </c>
      <c r="D3897" s="1">
        <v>45624</v>
      </c>
      <c r="E3897" s="4">
        <v>100.95</v>
      </c>
      <c r="F3897" s="3">
        <v>2</v>
      </c>
      <c r="G3897" s="6" t="s">
        <v>15</v>
      </c>
    </row>
    <row r="3898" spans="1:7" x14ac:dyDescent="0.3">
      <c r="A3898" s="2" t="s">
        <v>4899</v>
      </c>
      <c r="B3898" s="2" t="s">
        <v>4900</v>
      </c>
      <c r="C3898" s="6" t="s">
        <v>4901</v>
      </c>
      <c r="D3898" s="1">
        <v>45421</v>
      </c>
      <c r="E3898" s="4">
        <v>446.3</v>
      </c>
      <c r="F3898" s="3">
        <v>2</v>
      </c>
      <c r="G3898" s="6" t="s">
        <v>26</v>
      </c>
    </row>
    <row r="3899" spans="1:7" x14ac:dyDescent="0.3">
      <c r="A3899" s="2" t="s">
        <v>4902</v>
      </c>
      <c r="B3899" s="2" t="s">
        <v>4900</v>
      </c>
      <c r="C3899" s="6" t="s">
        <v>4901</v>
      </c>
      <c r="D3899" s="1">
        <v>45594</v>
      </c>
      <c r="E3899" s="4">
        <v>73.180000000000007</v>
      </c>
      <c r="F3899" s="3">
        <v>1</v>
      </c>
      <c r="G3899" s="6" t="s">
        <v>38</v>
      </c>
    </row>
    <row r="3900" spans="1:7" x14ac:dyDescent="0.3">
      <c r="A3900" s="2" t="s">
        <v>4903</v>
      </c>
      <c r="B3900" s="2" t="s">
        <v>4900</v>
      </c>
      <c r="C3900" s="6" t="s">
        <v>4901</v>
      </c>
      <c r="D3900" s="1">
        <v>45388</v>
      </c>
      <c r="E3900" s="4">
        <v>463.06</v>
      </c>
      <c r="F3900" s="3">
        <v>4</v>
      </c>
      <c r="G3900" s="6" t="s">
        <v>38</v>
      </c>
    </row>
    <row r="3901" spans="1:7" x14ac:dyDescent="0.3">
      <c r="A3901" s="2" t="s">
        <v>4904</v>
      </c>
      <c r="B3901" s="2" t="s">
        <v>4900</v>
      </c>
      <c r="C3901" s="6" t="s">
        <v>4901</v>
      </c>
      <c r="D3901" s="1">
        <v>45449</v>
      </c>
      <c r="E3901" s="4">
        <v>143.5</v>
      </c>
      <c r="F3901" s="3">
        <v>4</v>
      </c>
      <c r="G3901" s="6" t="s">
        <v>15</v>
      </c>
    </row>
    <row r="3902" spans="1:7" x14ac:dyDescent="0.3">
      <c r="A3902" s="2" t="s">
        <v>4905</v>
      </c>
      <c r="B3902" s="2" t="s">
        <v>4900</v>
      </c>
      <c r="C3902" s="6" t="s">
        <v>4901</v>
      </c>
      <c r="D3902" s="1">
        <v>45379</v>
      </c>
      <c r="E3902" s="4">
        <v>86.62</v>
      </c>
      <c r="F3902" s="3">
        <v>3</v>
      </c>
      <c r="G3902" s="6" t="s">
        <v>10</v>
      </c>
    </row>
    <row r="3903" spans="1:7" x14ac:dyDescent="0.3">
      <c r="A3903" s="2" t="s">
        <v>4906</v>
      </c>
      <c r="B3903" s="2" t="s">
        <v>4900</v>
      </c>
      <c r="C3903" s="6" t="s">
        <v>4901</v>
      </c>
      <c r="D3903" s="1">
        <v>45406</v>
      </c>
      <c r="E3903" s="4">
        <v>67.599999999999994</v>
      </c>
      <c r="F3903" s="3">
        <v>2</v>
      </c>
      <c r="G3903" s="6" t="s">
        <v>10</v>
      </c>
    </row>
    <row r="3904" spans="1:7" x14ac:dyDescent="0.3">
      <c r="A3904" s="2" t="s">
        <v>4907</v>
      </c>
      <c r="B3904" s="2" t="s">
        <v>4900</v>
      </c>
      <c r="C3904" s="6" t="s">
        <v>4901</v>
      </c>
      <c r="D3904" s="1">
        <v>45265</v>
      </c>
      <c r="E3904" s="4">
        <v>424.71</v>
      </c>
      <c r="F3904" s="3">
        <v>2</v>
      </c>
      <c r="G3904" s="6" t="s">
        <v>10</v>
      </c>
    </row>
    <row r="3905" spans="1:7" x14ac:dyDescent="0.3">
      <c r="A3905" s="2" t="s">
        <v>4908</v>
      </c>
      <c r="B3905" s="2" t="s">
        <v>4900</v>
      </c>
      <c r="C3905" s="6" t="s">
        <v>4901</v>
      </c>
      <c r="D3905" s="1">
        <v>45570</v>
      </c>
      <c r="E3905" s="4">
        <v>355.44</v>
      </c>
      <c r="F3905" s="3">
        <v>4</v>
      </c>
      <c r="G3905" s="6" t="s">
        <v>26</v>
      </c>
    </row>
    <row r="3906" spans="1:7" x14ac:dyDescent="0.3">
      <c r="A3906" s="2" t="s">
        <v>4909</v>
      </c>
      <c r="B3906" s="2" t="s">
        <v>4900</v>
      </c>
      <c r="C3906" s="6" t="s">
        <v>4901</v>
      </c>
      <c r="D3906" s="1">
        <v>45609</v>
      </c>
      <c r="E3906" s="4">
        <v>87.34</v>
      </c>
      <c r="F3906" s="3">
        <v>3</v>
      </c>
      <c r="G3906" s="6" t="s">
        <v>12</v>
      </c>
    </row>
    <row r="3907" spans="1:7" x14ac:dyDescent="0.3">
      <c r="A3907" s="2" t="s">
        <v>4910</v>
      </c>
      <c r="B3907" s="2" t="s">
        <v>4900</v>
      </c>
      <c r="C3907" s="6" t="s">
        <v>4901</v>
      </c>
      <c r="D3907" s="1">
        <v>45295</v>
      </c>
      <c r="E3907" s="4">
        <v>106.15</v>
      </c>
      <c r="F3907" s="3">
        <v>4</v>
      </c>
      <c r="G3907" s="6" t="s">
        <v>10</v>
      </c>
    </row>
    <row r="3908" spans="1:7" x14ac:dyDescent="0.3">
      <c r="A3908" s="2" t="s">
        <v>4911</v>
      </c>
      <c r="B3908" s="2" t="s">
        <v>4912</v>
      </c>
      <c r="C3908" s="6" t="s">
        <v>4913</v>
      </c>
      <c r="D3908" s="1">
        <v>45384</v>
      </c>
      <c r="E3908" s="4">
        <v>59.02</v>
      </c>
      <c r="F3908" s="3">
        <v>1</v>
      </c>
      <c r="G3908" s="6" t="s">
        <v>38</v>
      </c>
    </row>
    <row r="3909" spans="1:7" x14ac:dyDescent="0.3">
      <c r="A3909" s="2" t="s">
        <v>4914</v>
      </c>
      <c r="B3909" s="2" t="s">
        <v>4912</v>
      </c>
      <c r="C3909" s="6" t="s">
        <v>4913</v>
      </c>
      <c r="D3909" s="1">
        <v>45606</v>
      </c>
      <c r="E3909" s="4">
        <v>130.59</v>
      </c>
      <c r="F3909" s="3">
        <v>2</v>
      </c>
      <c r="G3909" s="6" t="s">
        <v>26</v>
      </c>
    </row>
    <row r="3910" spans="1:7" x14ac:dyDescent="0.3">
      <c r="A3910" s="2" t="s">
        <v>4915</v>
      </c>
      <c r="B3910" s="2" t="s">
        <v>4912</v>
      </c>
      <c r="C3910" s="6" t="s">
        <v>4913</v>
      </c>
      <c r="D3910" s="1">
        <v>45371</v>
      </c>
      <c r="E3910" s="4">
        <v>199.71</v>
      </c>
      <c r="F3910" s="3">
        <v>3</v>
      </c>
      <c r="G3910" s="6" t="s">
        <v>15</v>
      </c>
    </row>
    <row r="3911" spans="1:7" x14ac:dyDescent="0.3">
      <c r="A3911" s="2" t="s">
        <v>4916</v>
      </c>
      <c r="B3911" s="2" t="s">
        <v>4912</v>
      </c>
      <c r="C3911" s="6" t="s">
        <v>4913</v>
      </c>
      <c r="D3911" s="1">
        <v>45421</v>
      </c>
      <c r="E3911" s="4">
        <v>431.7</v>
      </c>
      <c r="F3911" s="3">
        <v>1</v>
      </c>
      <c r="G3911" s="6" t="s">
        <v>18</v>
      </c>
    </row>
    <row r="3912" spans="1:7" x14ac:dyDescent="0.3">
      <c r="A3912" s="2" t="s">
        <v>4917</v>
      </c>
      <c r="B3912" s="2" t="s">
        <v>4912</v>
      </c>
      <c r="C3912" s="6" t="s">
        <v>4913</v>
      </c>
      <c r="D3912" s="1">
        <v>45601</v>
      </c>
      <c r="E3912" s="4">
        <v>350.69</v>
      </c>
      <c r="F3912" s="3">
        <v>1</v>
      </c>
      <c r="G3912" s="6" t="s">
        <v>10</v>
      </c>
    </row>
    <row r="3913" spans="1:7" x14ac:dyDescent="0.3">
      <c r="A3913" s="2" t="s">
        <v>4918</v>
      </c>
      <c r="B3913" s="2" t="s">
        <v>4912</v>
      </c>
      <c r="C3913" s="6" t="s">
        <v>4913</v>
      </c>
      <c r="D3913" s="1">
        <v>45529</v>
      </c>
      <c r="E3913" s="4">
        <v>84.17</v>
      </c>
      <c r="F3913" s="3">
        <v>3</v>
      </c>
      <c r="G3913" s="6" t="s">
        <v>15</v>
      </c>
    </row>
    <row r="3914" spans="1:7" x14ac:dyDescent="0.3">
      <c r="A3914" s="2" t="s">
        <v>4919</v>
      </c>
      <c r="B3914" s="2" t="s">
        <v>4912</v>
      </c>
      <c r="C3914" s="6" t="s">
        <v>4913</v>
      </c>
      <c r="D3914" s="1">
        <v>45540</v>
      </c>
      <c r="E3914" s="4">
        <v>206.74</v>
      </c>
      <c r="F3914" s="3">
        <v>4</v>
      </c>
      <c r="G3914" s="6" t="s">
        <v>10</v>
      </c>
    </row>
    <row r="3915" spans="1:7" x14ac:dyDescent="0.3">
      <c r="A3915" s="2" t="s">
        <v>4920</v>
      </c>
      <c r="B3915" s="2" t="s">
        <v>4912</v>
      </c>
      <c r="C3915" s="6" t="s">
        <v>4913</v>
      </c>
      <c r="D3915" s="1">
        <v>45535</v>
      </c>
      <c r="E3915" s="4">
        <v>95.86</v>
      </c>
      <c r="F3915" s="3">
        <v>4</v>
      </c>
      <c r="G3915" s="6" t="s">
        <v>15</v>
      </c>
    </row>
    <row r="3916" spans="1:7" x14ac:dyDescent="0.3">
      <c r="A3916" s="2" t="s">
        <v>4921</v>
      </c>
      <c r="B3916" s="2" t="s">
        <v>4912</v>
      </c>
      <c r="C3916" s="6" t="s">
        <v>4913</v>
      </c>
      <c r="D3916" s="1">
        <v>45507</v>
      </c>
      <c r="E3916" s="4">
        <v>59.22</v>
      </c>
      <c r="F3916" s="3">
        <v>3</v>
      </c>
      <c r="G3916" s="6" t="s">
        <v>10</v>
      </c>
    </row>
    <row r="3917" spans="1:7" x14ac:dyDescent="0.3">
      <c r="A3917" s="2" t="s">
        <v>4922</v>
      </c>
      <c r="B3917" s="2" t="s">
        <v>4912</v>
      </c>
      <c r="C3917" s="6" t="s">
        <v>4913</v>
      </c>
      <c r="D3917" s="1">
        <v>45289</v>
      </c>
      <c r="E3917" s="4">
        <v>208.88</v>
      </c>
      <c r="F3917" s="3">
        <v>4</v>
      </c>
      <c r="G3917" s="6" t="s">
        <v>18</v>
      </c>
    </row>
    <row r="3918" spans="1:7" x14ac:dyDescent="0.3">
      <c r="A3918" s="2" t="s">
        <v>4923</v>
      </c>
      <c r="B3918" s="2" t="s">
        <v>4912</v>
      </c>
      <c r="C3918" s="6" t="s">
        <v>4913</v>
      </c>
      <c r="D3918" s="1">
        <v>45596</v>
      </c>
      <c r="E3918" s="4">
        <v>160.59</v>
      </c>
      <c r="F3918" s="3">
        <v>2</v>
      </c>
      <c r="G3918" s="6" t="s">
        <v>18</v>
      </c>
    </row>
    <row r="3919" spans="1:7" x14ac:dyDescent="0.3">
      <c r="A3919" s="2" t="s">
        <v>4924</v>
      </c>
      <c r="B3919" s="2" t="s">
        <v>4912</v>
      </c>
      <c r="C3919" s="6" t="s">
        <v>4913</v>
      </c>
      <c r="D3919" s="1">
        <v>45432</v>
      </c>
      <c r="E3919" s="4">
        <v>330.61</v>
      </c>
      <c r="F3919" s="3">
        <v>1</v>
      </c>
      <c r="G3919" s="6" t="s">
        <v>12</v>
      </c>
    </row>
    <row r="3920" spans="1:7" x14ac:dyDescent="0.3">
      <c r="A3920" s="2" t="s">
        <v>4925</v>
      </c>
      <c r="B3920" s="2" t="s">
        <v>4926</v>
      </c>
      <c r="C3920" s="6" t="s">
        <v>4927</v>
      </c>
      <c r="D3920" s="1">
        <v>45574</v>
      </c>
      <c r="E3920" s="4">
        <v>269.06</v>
      </c>
      <c r="F3920" s="3">
        <v>1</v>
      </c>
      <c r="G3920" s="6" t="s">
        <v>38</v>
      </c>
    </row>
    <row r="3921" spans="1:7" x14ac:dyDescent="0.3">
      <c r="A3921" s="2" t="s">
        <v>4928</v>
      </c>
      <c r="B3921" s="2" t="s">
        <v>4929</v>
      </c>
      <c r="C3921" s="6" t="s">
        <v>4930</v>
      </c>
      <c r="D3921" s="1">
        <v>45509</v>
      </c>
      <c r="E3921" s="4">
        <v>229.99</v>
      </c>
      <c r="F3921" s="3">
        <v>1</v>
      </c>
      <c r="G3921" s="6" t="s">
        <v>12</v>
      </c>
    </row>
    <row r="3922" spans="1:7" x14ac:dyDescent="0.3">
      <c r="A3922" s="2" t="s">
        <v>4931</v>
      </c>
      <c r="B3922" s="2" t="s">
        <v>4929</v>
      </c>
      <c r="C3922" s="6" t="s">
        <v>4930</v>
      </c>
      <c r="D3922" s="1">
        <v>45436</v>
      </c>
      <c r="E3922" s="4">
        <v>464.54</v>
      </c>
      <c r="F3922" s="3">
        <v>3</v>
      </c>
      <c r="G3922" s="6" t="s">
        <v>18</v>
      </c>
    </row>
    <row r="3923" spans="1:7" x14ac:dyDescent="0.3">
      <c r="A3923" s="2" t="s">
        <v>4932</v>
      </c>
      <c r="B3923" s="2" t="s">
        <v>4929</v>
      </c>
      <c r="C3923" s="6" t="s">
        <v>4930</v>
      </c>
      <c r="D3923" s="1">
        <v>45419</v>
      </c>
      <c r="E3923" s="4">
        <v>425.33</v>
      </c>
      <c r="F3923" s="3">
        <v>1</v>
      </c>
      <c r="G3923" s="6" t="s">
        <v>38</v>
      </c>
    </row>
    <row r="3924" spans="1:7" x14ac:dyDescent="0.3">
      <c r="A3924" s="2" t="s">
        <v>4933</v>
      </c>
      <c r="B3924" s="2" t="s">
        <v>4929</v>
      </c>
      <c r="C3924" s="6" t="s">
        <v>4930</v>
      </c>
      <c r="D3924" s="1">
        <v>45500</v>
      </c>
      <c r="E3924" s="4">
        <v>110.62</v>
      </c>
      <c r="F3924" s="3">
        <v>1</v>
      </c>
      <c r="G3924" s="6" t="s">
        <v>12</v>
      </c>
    </row>
    <row r="3925" spans="1:7" x14ac:dyDescent="0.3">
      <c r="A3925" s="2" t="s">
        <v>4934</v>
      </c>
      <c r="B3925" s="2" t="s">
        <v>4929</v>
      </c>
      <c r="C3925" s="6" t="s">
        <v>4930</v>
      </c>
      <c r="D3925" s="1">
        <v>45395</v>
      </c>
      <c r="E3925" s="4">
        <v>44.7</v>
      </c>
      <c r="F3925" s="3">
        <v>4</v>
      </c>
      <c r="G3925" s="6" t="s">
        <v>26</v>
      </c>
    </row>
    <row r="3926" spans="1:7" x14ac:dyDescent="0.3">
      <c r="A3926" s="2" t="s">
        <v>4935</v>
      </c>
      <c r="B3926" s="2" t="s">
        <v>4929</v>
      </c>
      <c r="C3926" s="6" t="s">
        <v>4930</v>
      </c>
      <c r="D3926" s="1">
        <v>45392</v>
      </c>
      <c r="E3926" s="4">
        <v>405.22</v>
      </c>
      <c r="F3926" s="3">
        <v>3</v>
      </c>
      <c r="G3926" s="6" t="s">
        <v>15</v>
      </c>
    </row>
    <row r="3927" spans="1:7" x14ac:dyDescent="0.3">
      <c r="A3927" s="2" t="s">
        <v>4936</v>
      </c>
      <c r="B3927" s="2" t="s">
        <v>4929</v>
      </c>
      <c r="C3927" s="6" t="s">
        <v>4930</v>
      </c>
      <c r="D3927" s="1">
        <v>45399</v>
      </c>
      <c r="E3927" s="4">
        <v>39.619999999999997</v>
      </c>
      <c r="F3927" s="3">
        <v>2</v>
      </c>
      <c r="G3927" s="6" t="s">
        <v>15</v>
      </c>
    </row>
    <row r="3928" spans="1:7" x14ac:dyDescent="0.3">
      <c r="A3928" s="2" t="s">
        <v>4937</v>
      </c>
      <c r="B3928" s="2" t="s">
        <v>4929</v>
      </c>
      <c r="C3928" s="6" t="s">
        <v>4930</v>
      </c>
      <c r="D3928" s="1">
        <v>45616</v>
      </c>
      <c r="E3928" s="4">
        <v>229.47</v>
      </c>
      <c r="F3928" s="3">
        <v>2</v>
      </c>
      <c r="G3928" s="6" t="s">
        <v>12</v>
      </c>
    </row>
    <row r="3929" spans="1:7" x14ac:dyDescent="0.3">
      <c r="A3929" s="2" t="s">
        <v>4938</v>
      </c>
      <c r="B3929" s="2" t="s">
        <v>4929</v>
      </c>
      <c r="C3929" s="6" t="s">
        <v>4930</v>
      </c>
      <c r="D3929" s="1">
        <v>45424</v>
      </c>
      <c r="E3929" s="4">
        <v>479.28</v>
      </c>
      <c r="F3929" s="3">
        <v>4</v>
      </c>
      <c r="G3929" s="6" t="s">
        <v>38</v>
      </c>
    </row>
    <row r="3930" spans="1:7" x14ac:dyDescent="0.3">
      <c r="A3930" s="2" t="s">
        <v>4939</v>
      </c>
      <c r="B3930" s="2" t="s">
        <v>4929</v>
      </c>
      <c r="C3930" s="6" t="s">
        <v>4930</v>
      </c>
      <c r="D3930" s="1">
        <v>45280</v>
      </c>
      <c r="E3930" s="4">
        <v>116.21</v>
      </c>
      <c r="F3930" s="3">
        <v>4</v>
      </c>
      <c r="G3930" s="6" t="s">
        <v>18</v>
      </c>
    </row>
    <row r="3931" spans="1:7" x14ac:dyDescent="0.3">
      <c r="A3931" s="2" t="s">
        <v>4940</v>
      </c>
      <c r="B3931" s="2" t="s">
        <v>4929</v>
      </c>
      <c r="C3931" s="6" t="s">
        <v>4930</v>
      </c>
      <c r="D3931" s="1">
        <v>45292</v>
      </c>
      <c r="E3931" s="4">
        <v>126.75</v>
      </c>
      <c r="F3931" s="3">
        <v>2</v>
      </c>
      <c r="G3931" s="6" t="s">
        <v>12</v>
      </c>
    </row>
    <row r="3932" spans="1:7" x14ac:dyDescent="0.3">
      <c r="A3932" s="2" t="s">
        <v>4941</v>
      </c>
      <c r="B3932" s="2" t="s">
        <v>4929</v>
      </c>
      <c r="C3932" s="6" t="s">
        <v>4930</v>
      </c>
      <c r="D3932" s="1">
        <v>45361</v>
      </c>
      <c r="E3932" s="4">
        <v>112.33</v>
      </c>
      <c r="F3932" s="3">
        <v>4</v>
      </c>
      <c r="G3932" s="6" t="s">
        <v>26</v>
      </c>
    </row>
    <row r="3933" spans="1:7" x14ac:dyDescent="0.3">
      <c r="A3933" s="2" t="s">
        <v>4942</v>
      </c>
      <c r="B3933" s="2" t="s">
        <v>4929</v>
      </c>
      <c r="C3933" s="6" t="s">
        <v>4930</v>
      </c>
      <c r="D3933" s="1">
        <v>45638</v>
      </c>
      <c r="E3933" s="4">
        <v>234.46</v>
      </c>
      <c r="F3933" s="3">
        <v>3</v>
      </c>
      <c r="G3933" s="6" t="s">
        <v>12</v>
      </c>
    </row>
    <row r="3934" spans="1:7" x14ac:dyDescent="0.3">
      <c r="A3934" s="2" t="s">
        <v>4943</v>
      </c>
      <c r="B3934" s="2" t="s">
        <v>4929</v>
      </c>
      <c r="C3934" s="6" t="s">
        <v>4930</v>
      </c>
      <c r="D3934" s="1">
        <v>45471</v>
      </c>
      <c r="E3934" s="4">
        <v>365.96</v>
      </c>
      <c r="F3934" s="3">
        <v>4</v>
      </c>
      <c r="G3934" s="6" t="s">
        <v>12</v>
      </c>
    </row>
    <row r="3935" spans="1:7" x14ac:dyDescent="0.3">
      <c r="A3935" s="2" t="s">
        <v>4944</v>
      </c>
      <c r="B3935" s="2" t="s">
        <v>4929</v>
      </c>
      <c r="C3935" s="6" t="s">
        <v>4930</v>
      </c>
      <c r="D3935" s="1">
        <v>45602</v>
      </c>
      <c r="E3935" s="4">
        <v>491.79</v>
      </c>
      <c r="F3935" s="3">
        <v>2</v>
      </c>
      <c r="G3935" s="6" t="s">
        <v>38</v>
      </c>
    </row>
    <row r="3936" spans="1:7" x14ac:dyDescent="0.3">
      <c r="A3936" s="2" t="s">
        <v>4945</v>
      </c>
      <c r="B3936" s="2" t="s">
        <v>4946</v>
      </c>
      <c r="C3936" s="6" t="s">
        <v>4947</v>
      </c>
      <c r="D3936" s="1">
        <v>45535</v>
      </c>
      <c r="E3936" s="4">
        <v>259.83999999999997</v>
      </c>
      <c r="F3936" s="3">
        <v>4</v>
      </c>
      <c r="G3936" s="6" t="s">
        <v>12</v>
      </c>
    </row>
    <row r="3937" spans="1:7" x14ac:dyDescent="0.3">
      <c r="A3937" s="2" t="s">
        <v>4948</v>
      </c>
      <c r="B3937" s="2" t="s">
        <v>4946</v>
      </c>
      <c r="C3937" s="6" t="s">
        <v>4947</v>
      </c>
      <c r="D3937" s="1">
        <v>45586</v>
      </c>
      <c r="E3937" s="4">
        <v>120.89</v>
      </c>
      <c r="F3937" s="3">
        <v>2</v>
      </c>
      <c r="G3937" s="6" t="s">
        <v>12</v>
      </c>
    </row>
    <row r="3938" spans="1:7" x14ac:dyDescent="0.3">
      <c r="A3938" s="2" t="s">
        <v>4949</v>
      </c>
      <c r="B3938" s="2" t="s">
        <v>4946</v>
      </c>
      <c r="C3938" s="6" t="s">
        <v>4947</v>
      </c>
      <c r="D3938" s="1">
        <v>45511</v>
      </c>
      <c r="E3938" s="4">
        <v>476.63</v>
      </c>
      <c r="F3938" s="3">
        <v>3</v>
      </c>
      <c r="G3938" s="6" t="s">
        <v>10</v>
      </c>
    </row>
    <row r="3939" spans="1:7" x14ac:dyDescent="0.3">
      <c r="A3939" s="2" t="s">
        <v>4950</v>
      </c>
      <c r="B3939" s="2" t="s">
        <v>4946</v>
      </c>
      <c r="C3939" s="6" t="s">
        <v>4947</v>
      </c>
      <c r="D3939" s="1">
        <v>45562</v>
      </c>
      <c r="E3939" s="4">
        <v>102.9</v>
      </c>
      <c r="F3939" s="3">
        <v>2</v>
      </c>
      <c r="G3939" s="6" t="s">
        <v>38</v>
      </c>
    </row>
    <row r="3940" spans="1:7" x14ac:dyDescent="0.3">
      <c r="A3940" s="2" t="s">
        <v>4951</v>
      </c>
      <c r="B3940" s="2" t="s">
        <v>4946</v>
      </c>
      <c r="C3940" s="6" t="s">
        <v>4947</v>
      </c>
      <c r="D3940" s="1">
        <v>45501</v>
      </c>
      <c r="E3940" s="4">
        <v>206.68</v>
      </c>
      <c r="F3940" s="3">
        <v>3</v>
      </c>
      <c r="G3940" s="6" t="s">
        <v>18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466CF-591A-454E-BD12-CC52C6614571}">
  <dimension ref="A1:P502"/>
  <sheetViews>
    <sheetView workbookViewId="0">
      <selection activeCell="D7" sqref="D7"/>
    </sheetView>
  </sheetViews>
  <sheetFormatPr defaultRowHeight="14.4" x14ac:dyDescent="0.3"/>
  <cols>
    <col min="1" max="1" width="11.88671875" bestFit="1" customWidth="1"/>
    <col min="2" max="2" width="12.88671875" bestFit="1" customWidth="1"/>
    <col min="3" max="3" width="19.109375" bestFit="1" customWidth="1"/>
    <col min="4" max="4" width="14.5546875" style="8" bestFit="1" customWidth="1"/>
    <col min="5" max="5" width="7.77734375" bestFit="1" customWidth="1"/>
    <col min="6" max="6" width="7.5546875" style="3" bestFit="1" customWidth="1"/>
    <col min="7" max="7" width="8.44140625" bestFit="1" customWidth="1"/>
    <col min="8" max="8" width="10.44140625" style="1" bestFit="1" customWidth="1"/>
    <col min="9" max="9" width="22.21875" bestFit="1" customWidth="1"/>
    <col min="10" max="10" width="19.21875" style="7" bestFit="1" customWidth="1"/>
    <col min="11" max="11" width="18" style="5" bestFit="1" customWidth="1"/>
    <col min="12" max="12" width="18.109375" style="5" bestFit="1" customWidth="1"/>
    <col min="13" max="13" width="22.88671875" bestFit="1" customWidth="1"/>
    <col min="14" max="14" width="25.6640625" bestFit="1" customWidth="1"/>
    <col min="15" max="15" width="18.33203125" style="7" bestFit="1" customWidth="1"/>
    <col min="16" max="16" width="20.77734375" bestFit="1" customWidth="1"/>
    <col min="19" max="19" width="8.44140625" bestFit="1" customWidth="1"/>
    <col min="20" max="20" width="14.77734375" bestFit="1" customWidth="1"/>
    <col min="21" max="21" width="8.5546875" bestFit="1" customWidth="1"/>
    <col min="22" max="22" width="7.44140625" bestFit="1" customWidth="1"/>
    <col min="23" max="23" width="12.6640625" bestFit="1" customWidth="1"/>
    <col min="24" max="24" width="11.109375" bestFit="1" customWidth="1"/>
    <col min="25" max="25" width="12.5546875" bestFit="1" customWidth="1"/>
  </cols>
  <sheetData>
    <row r="1" spans="1:16" x14ac:dyDescent="0.3">
      <c r="A1" s="29" t="str" cm="1">
        <f t="array" ref="A1:A502">_xlfn.UNIQUE(ecommerce_transactions!B:B)</f>
        <v>Customer_ID</v>
      </c>
      <c r="B1" s="29" t="s">
        <v>4952</v>
      </c>
      <c r="C1" s="29" t="s">
        <v>4953</v>
      </c>
      <c r="D1" s="30" t="s">
        <v>4954</v>
      </c>
      <c r="E1" s="29" t="s">
        <v>4956</v>
      </c>
      <c r="F1" s="31" t="s">
        <v>4958</v>
      </c>
      <c r="G1" s="29" t="s">
        <v>4957</v>
      </c>
      <c r="H1" s="32" t="s">
        <v>4955</v>
      </c>
      <c r="I1" s="29" t="s">
        <v>4959</v>
      </c>
      <c r="J1" s="33" t="s">
        <v>4960</v>
      </c>
      <c r="K1" s="34" t="s">
        <v>4961</v>
      </c>
      <c r="L1" s="34" t="s">
        <v>4962</v>
      </c>
      <c r="M1" s="29" t="s">
        <v>4964</v>
      </c>
      <c r="N1" s="29" t="s">
        <v>4963</v>
      </c>
      <c r="O1" s="33" t="s">
        <v>4965</v>
      </c>
      <c r="P1" s="29" t="s">
        <v>4966</v>
      </c>
    </row>
    <row r="2" spans="1:16" x14ac:dyDescent="0.3">
      <c r="A2" s="26" t="str">
        <v>C0001</v>
      </c>
      <c r="B2" s="26">
        <f>_xlfn.DAYS(DATE(2024,12,31),_xlfn.MAXIFS(ecommerce_transactions!$D$2:$D$9999, ecommerce_transactions!$B$2:$B$9999, A2))</f>
        <v>117</v>
      </c>
      <c r="C2" s="26">
        <f>COUNTIF(ecommerce_transactions!B:B,main_data!A2)</f>
        <v>7</v>
      </c>
      <c r="D2" s="35">
        <f>SUMIF(ecommerce_transactions!B:B,main_data!A2,ecommerce_transactions!E:E)</f>
        <v>1177.8799999999999</v>
      </c>
      <c r="E2" s="28">
        <f>IF(B2&lt;=PERCENTILE($B$2:$B$501,0.2),5,IF(B2&lt;=PERCENTILE($B$2:$B$501,0.4),4,IF(B2&lt;=PERCENTILE($B$2:$B$501,0.6),3,IF(B2&lt;=PERCENTILE($B$2:$B$501,0.8),2,1))))</f>
        <v>1</v>
      </c>
      <c r="F2" s="28">
        <f>IF(C2&gt;=PERCENTILE($C$2:$C$501, 0.8), 5,IF(C2&gt;=PERCENTILE($C$2:$C$501, 0.6), 4, IF(C2&gt;=PERCENTILE($C$2:$C$501, 0.4), 3, IF(C2&gt;=PERCENTILE($C$2:$C$501, 0.2), 2, 1))))</f>
        <v>3</v>
      </c>
      <c r="G2" s="26">
        <f>IF(D2&gt;=PERCENTILE($D$2:$D$501,0.8),5,IF(D2&gt;=PERCENTILE($D$2:$D$501,0.6),4,IF(D2&gt;=PERCENTILE($D$2:$D$501,0.4),3,IF(D2&gt;=PERCENTILE($D$2:$D$501,0.2),2,1))))</f>
        <v>2</v>
      </c>
      <c r="H2" s="18" t="str">
        <f>CONCATENATE(E2,F2,G2)</f>
        <v>132</v>
      </c>
      <c r="I2" s="26" t="str">
        <f>IF(AND(E2&gt;=4, F2&gt;=4, G2&gt;=4), "Champions",
    IF(AND(E2&gt;=3, F2&gt;=3, G2&gt;=3), "Loyal Customers",
    IF(AND(E2&gt;=4, F2&lt;=2), "New Customers",
    IF(AND(E2&gt;=4, F2&gt;=2, G2&gt;=2), "Potential Loyalists",
    IF(AND(G2&gt;=4, E2&lt;=2, F2&lt;=2), "Cannot Lose Them",
    IF(AND(F2&gt;=3, E2&lt;=2), "At Risk",
    IF(AND(E2&lt;=2, F2&lt;=2), "About to Sleep",
    IF(AND(E2&lt;=2, F2&lt;=3), "Hibernating", "Lost"))))))))</f>
        <v>At Risk</v>
      </c>
      <c r="J2" s="17">
        <f>D2/C2</f>
        <v>168.26857142857142</v>
      </c>
      <c r="K2" s="36">
        <f>_xlfn.MAXIFS(ecommerce_transactions!D:D,ecommerce_transactions!B:B,main_data!A2)</f>
        <v>45540</v>
      </c>
      <c r="L2" s="36">
        <f>_xlfn.MINIFS(ecommerce_transactions!D:D,ecommerce_transactions!B:B,main_data!A2)</f>
        <v>45279</v>
      </c>
      <c r="M2" s="19">
        <f>(K2-L2)/365.25</f>
        <v>0.71457905544147848</v>
      </c>
      <c r="N2" s="19">
        <f t="shared" ref="N2:N65" si="0">C2/(M2+0.5)</f>
        <v>5.7633136094674553</v>
      </c>
      <c r="O2" s="17">
        <f>J2*N2*M2</f>
        <v>692.98772612003381</v>
      </c>
      <c r="P2" s="17">
        <f>O2*0.3</f>
        <v>207.89631783601013</v>
      </c>
    </row>
    <row r="3" spans="1:16" x14ac:dyDescent="0.3">
      <c r="A3" s="26" t="str">
        <v>C0002</v>
      </c>
      <c r="B3" s="26">
        <f>_xlfn.DAYS(DATE(2024,12,31),_xlfn.MAXIFS(ecommerce_transactions!$D$2:$D$9999, ecommerce_transactions!$B$2:$B$9999, A3))</f>
        <v>25</v>
      </c>
      <c r="C3" s="26">
        <f>COUNTIF(ecommerce_transactions!B:B,main_data!A3)</f>
        <v>15</v>
      </c>
      <c r="D3" s="35">
        <f>SUMIF(ecommerce_transactions!B:B,main_data!A3,ecommerce_transactions!E:E)</f>
        <v>4325</v>
      </c>
      <c r="E3" s="28">
        <f t="shared" ref="E3:E66" si="1">IF(B3&lt;=PERCENTILE($B$2:$B$501,0.2),5,IF(B3&lt;=PERCENTILE($B$2:$B$501,0.4),4,IF(B3&lt;=PERCENTILE($B$2:$B$501,0.6),3,IF(B3&lt;=PERCENTILE($B$2:$B$501,0.8),2,1))))</f>
        <v>3</v>
      </c>
      <c r="F3" s="28">
        <f t="shared" ref="F3:F66" si="2">IF(C3&gt;=PERCENTILE($C$2:$C$501, 0.8), 5,IF(C3&gt;=PERCENTILE($C$2:$C$501, 0.6), 4, IF(C3&gt;=PERCENTILE($C$2:$C$501, 0.4), 3, IF(C3&gt;=PERCENTILE($C$2:$C$501, 0.2), 2, 1))))</f>
        <v>5</v>
      </c>
      <c r="G3" s="26">
        <f t="shared" ref="G3:G66" si="3">IF(D3&gt;=PERCENTILE($D$2:$D$501,0.8),5,IF(D3&gt;=PERCENTILE($D$2:$D$501,0.6),4,IF(D3&gt;=PERCENTILE($D$2:$D$501,0.4),3,IF(D3&gt;=PERCENTILE($D$2:$D$501,0.2),2,1))))</f>
        <v>5</v>
      </c>
      <c r="H3" s="18" t="str">
        <f t="shared" ref="H3:H66" si="4">CONCATENATE(E3,F3,G3)</f>
        <v>355</v>
      </c>
      <c r="I3" s="26" t="str">
        <f t="shared" ref="I3:I66" si="5">IF(AND(E3&gt;=4, F3&gt;=4, G3&gt;=4), "Champions",
    IF(AND(E3&gt;=3, F3&gt;=3, G3&gt;=3), "Loyal Customers",
    IF(AND(E3&gt;=4, F3&lt;=2), "New Customers",
    IF(AND(E3&gt;=4, F3&gt;=2, G3&gt;=2), "Potential Loyalists",
    IF(AND(G3&gt;=4, E3&lt;=2, F3&lt;=2), "Cannot Lose Them",
    IF(AND(F3&gt;=3, E3&lt;=2), "At Risk",
    IF(AND(E3&lt;=2, F3&lt;=2), "About to Sleep",
    IF(AND(E3&lt;=2, F3&lt;=3), "Hibernating", "Lost"))))))))</f>
        <v>Loyal Customers</v>
      </c>
      <c r="J3" s="17">
        <f t="shared" ref="J3:J66" si="6">D3/C3</f>
        <v>288.33333333333331</v>
      </c>
      <c r="K3" s="36">
        <f>_xlfn.MAXIFS(ecommerce_transactions!D:D,ecommerce_transactions!B:B,main_data!A3)</f>
        <v>45632</v>
      </c>
      <c r="L3" s="36">
        <f>_xlfn.MINIFS(ecommerce_transactions!D:D,ecommerce_transactions!B:B,main_data!A3)</f>
        <v>44980</v>
      </c>
      <c r="M3" s="19">
        <f t="shared" ref="M3:M66" si="7">(K3-L3)/365.25</f>
        <v>1.78507871321013</v>
      </c>
      <c r="N3" s="19">
        <f t="shared" si="0"/>
        <v>6.564325295791523</v>
      </c>
      <c r="O3" s="17">
        <f t="shared" ref="O3:O66" si="8">J3*N3*M3</f>
        <v>3378.6431031900552</v>
      </c>
      <c r="P3" s="17">
        <f t="shared" ref="P3:P66" si="9">O3*0.3</f>
        <v>1013.5929309570165</v>
      </c>
    </row>
    <row r="4" spans="1:16" x14ac:dyDescent="0.3">
      <c r="A4" s="26" t="str">
        <v>C0003</v>
      </c>
      <c r="B4" s="26">
        <f>_xlfn.DAYS(DATE(2024,12,31),_xlfn.MAXIFS(ecommerce_transactions!$D$2:$D$9999, ecommerce_transactions!$B$2:$B$9999, A4))</f>
        <v>6</v>
      </c>
      <c r="C4" s="26">
        <f>COUNTIF(ecommerce_transactions!B:B,main_data!A4)</f>
        <v>15</v>
      </c>
      <c r="D4" s="35">
        <f>SUMIF(ecommerce_transactions!B:B,main_data!A4,ecommerce_transactions!E:E)</f>
        <v>3895.55</v>
      </c>
      <c r="E4" s="28">
        <f t="shared" si="1"/>
        <v>5</v>
      </c>
      <c r="F4" s="28">
        <f t="shared" si="2"/>
        <v>5</v>
      </c>
      <c r="G4" s="26">
        <f t="shared" si="3"/>
        <v>5</v>
      </c>
      <c r="H4" s="18" t="str">
        <f t="shared" si="4"/>
        <v>555</v>
      </c>
      <c r="I4" s="26" t="str">
        <f t="shared" si="5"/>
        <v>Champions</v>
      </c>
      <c r="J4" s="17">
        <f t="shared" si="6"/>
        <v>259.70333333333332</v>
      </c>
      <c r="K4" s="36">
        <f>_xlfn.MAXIFS(ecommerce_transactions!D:D,ecommerce_transactions!B:B,main_data!A4)</f>
        <v>45651</v>
      </c>
      <c r="L4" s="36">
        <f>_xlfn.MINIFS(ecommerce_transactions!D:D,ecommerce_transactions!B:B,main_data!A4)</f>
        <v>45566</v>
      </c>
      <c r="M4" s="19">
        <f t="shared" si="7"/>
        <v>0.2327173169062286</v>
      </c>
      <c r="N4" s="19">
        <f t="shared" si="0"/>
        <v>20.471742176553011</v>
      </c>
      <c r="O4" s="17">
        <f t="shared" si="8"/>
        <v>1237.2601588042969</v>
      </c>
      <c r="P4" s="17">
        <f t="shared" si="9"/>
        <v>371.17804764128908</v>
      </c>
    </row>
    <row r="5" spans="1:16" x14ac:dyDescent="0.3">
      <c r="A5" s="26" t="str">
        <v>C0004</v>
      </c>
      <c r="B5" s="26">
        <f>_xlfn.DAYS(DATE(2024,12,31),_xlfn.MAXIFS(ecommerce_transactions!$D$2:$D$9999, ecommerce_transactions!$B$2:$B$9999, A5))</f>
        <v>155</v>
      </c>
      <c r="C5" s="26">
        <f>COUNTIF(ecommerce_transactions!B:B,main_data!A5)</f>
        <v>2</v>
      </c>
      <c r="D5" s="35">
        <f>SUMIF(ecommerce_transactions!B:B,main_data!A5,ecommerce_transactions!E:E)</f>
        <v>271.90000000000003</v>
      </c>
      <c r="E5" s="28">
        <f t="shared" si="1"/>
        <v>1</v>
      </c>
      <c r="F5" s="28">
        <f t="shared" si="2"/>
        <v>1</v>
      </c>
      <c r="G5" s="26">
        <f t="shared" si="3"/>
        <v>1</v>
      </c>
      <c r="H5" s="18" t="str">
        <f t="shared" si="4"/>
        <v>111</v>
      </c>
      <c r="I5" s="26" t="str">
        <f t="shared" si="5"/>
        <v>About to Sleep</v>
      </c>
      <c r="J5" s="17">
        <f t="shared" si="6"/>
        <v>135.95000000000002</v>
      </c>
      <c r="K5" s="36">
        <f>_xlfn.MAXIFS(ecommerce_transactions!D:D,ecommerce_transactions!B:B,main_data!A5)</f>
        <v>45502</v>
      </c>
      <c r="L5" s="36">
        <f>_xlfn.MINIFS(ecommerce_transactions!D:D,ecommerce_transactions!B:B,main_data!A5)</f>
        <v>44973</v>
      </c>
      <c r="M5" s="19">
        <f t="shared" si="7"/>
        <v>1.4483230663928817</v>
      </c>
      <c r="N5" s="19">
        <f t="shared" si="0"/>
        <v>1.0265238011593185</v>
      </c>
      <c r="O5" s="17">
        <f t="shared" si="8"/>
        <v>202.12204461619535</v>
      </c>
      <c r="P5" s="17">
        <f t="shared" si="9"/>
        <v>60.636613384858606</v>
      </c>
    </row>
    <row r="6" spans="1:16" x14ac:dyDescent="0.3">
      <c r="A6" s="26" t="str">
        <v>C0005</v>
      </c>
      <c r="B6" s="26">
        <f>_xlfn.DAYS(DATE(2024,12,31),_xlfn.MAXIFS(ecommerce_transactions!$D$2:$D$9999, ecommerce_transactions!$B$2:$B$9999, A6))</f>
        <v>18</v>
      </c>
      <c r="C6" s="26">
        <f>COUNTIF(ecommerce_transactions!B:B,main_data!A6)</f>
        <v>14</v>
      </c>
      <c r="D6" s="35">
        <f>SUMIF(ecommerce_transactions!B:B,main_data!A6,ecommerce_transactions!E:E)</f>
        <v>3180.56</v>
      </c>
      <c r="E6" s="28">
        <f t="shared" si="1"/>
        <v>4</v>
      </c>
      <c r="F6" s="28">
        <f t="shared" si="2"/>
        <v>5</v>
      </c>
      <c r="G6" s="26">
        <f t="shared" si="3"/>
        <v>5</v>
      </c>
      <c r="H6" s="18" t="str">
        <f t="shared" si="4"/>
        <v>455</v>
      </c>
      <c r="I6" s="26" t="str">
        <f t="shared" si="5"/>
        <v>Champions</v>
      </c>
      <c r="J6" s="17">
        <f t="shared" si="6"/>
        <v>227.18285714285713</v>
      </c>
      <c r="K6" s="36">
        <f>_xlfn.MAXIFS(ecommerce_transactions!D:D,ecommerce_transactions!B:B,main_data!A6)</f>
        <v>45639</v>
      </c>
      <c r="L6" s="36">
        <f>_xlfn.MINIFS(ecommerce_transactions!D:D,ecommerce_transactions!B:B,main_data!A6)</f>
        <v>45409</v>
      </c>
      <c r="M6" s="19">
        <f t="shared" si="7"/>
        <v>0.62970568104038327</v>
      </c>
      <c r="N6" s="19">
        <f t="shared" si="0"/>
        <v>12.392608300514997</v>
      </c>
      <c r="O6" s="17">
        <f t="shared" si="8"/>
        <v>1772.8659194183581</v>
      </c>
      <c r="P6" s="17">
        <f t="shared" si="9"/>
        <v>531.85977582550743</v>
      </c>
    </row>
    <row r="7" spans="1:16" x14ac:dyDescent="0.3">
      <c r="A7" s="26" t="str">
        <v>C0006</v>
      </c>
      <c r="B7" s="26">
        <f>_xlfn.DAYS(DATE(2024,12,31),_xlfn.MAXIFS(ecommerce_transactions!$D$2:$D$9999, ecommerce_transactions!$B$2:$B$9999, A7))</f>
        <v>36</v>
      </c>
      <c r="C7" s="26">
        <f>COUNTIF(ecommerce_transactions!B:B,main_data!A7)</f>
        <v>11</v>
      </c>
      <c r="D7" s="35">
        <f>SUMIF(ecommerce_transactions!B:B,main_data!A7,ecommerce_transactions!E:E)</f>
        <v>2731.02</v>
      </c>
      <c r="E7" s="28">
        <f t="shared" si="1"/>
        <v>3</v>
      </c>
      <c r="F7" s="28">
        <f t="shared" si="2"/>
        <v>4</v>
      </c>
      <c r="G7" s="26">
        <f t="shared" si="3"/>
        <v>4</v>
      </c>
      <c r="H7" s="18" t="str">
        <f t="shared" si="4"/>
        <v>344</v>
      </c>
      <c r="I7" s="26" t="str">
        <f t="shared" si="5"/>
        <v>Loyal Customers</v>
      </c>
      <c r="J7" s="17">
        <f t="shared" si="6"/>
        <v>248.27454545454546</v>
      </c>
      <c r="K7" s="36">
        <f>_xlfn.MAXIFS(ecommerce_transactions!D:D,ecommerce_transactions!B:B,main_data!A7)</f>
        <v>45621</v>
      </c>
      <c r="L7" s="36">
        <f>_xlfn.MINIFS(ecommerce_transactions!D:D,ecommerce_transactions!B:B,main_data!A7)</f>
        <v>45512</v>
      </c>
      <c r="M7" s="19">
        <f t="shared" si="7"/>
        <v>0.29842573579739906</v>
      </c>
      <c r="N7" s="19">
        <f t="shared" si="0"/>
        <v>13.777111015859408</v>
      </c>
      <c r="O7" s="17">
        <f t="shared" si="8"/>
        <v>1020.7670124303472</v>
      </c>
      <c r="P7" s="17">
        <f t="shared" si="9"/>
        <v>306.23010372910414</v>
      </c>
    </row>
    <row r="8" spans="1:16" x14ac:dyDescent="0.3">
      <c r="A8" s="26" t="str">
        <v>C0007</v>
      </c>
      <c r="B8" s="26">
        <f>_xlfn.DAYS(DATE(2024,12,31),_xlfn.MAXIFS(ecommerce_transactions!$D$2:$D$9999, ecommerce_transactions!$B$2:$B$9999, A8))</f>
        <v>15</v>
      </c>
      <c r="C8" s="26">
        <f>COUNTIF(ecommerce_transactions!B:B,main_data!A8)</f>
        <v>9</v>
      </c>
      <c r="D8" s="35">
        <f>SUMIF(ecommerce_transactions!B:B,main_data!A8,ecommerce_transactions!E:E)</f>
        <v>3058.68</v>
      </c>
      <c r="E8" s="28">
        <f t="shared" si="1"/>
        <v>4</v>
      </c>
      <c r="F8" s="28">
        <f t="shared" si="2"/>
        <v>4</v>
      </c>
      <c r="G8" s="26">
        <f t="shared" si="3"/>
        <v>4</v>
      </c>
      <c r="H8" s="18" t="str">
        <f t="shared" si="4"/>
        <v>444</v>
      </c>
      <c r="I8" s="26" t="str">
        <f t="shared" si="5"/>
        <v>Champions</v>
      </c>
      <c r="J8" s="17">
        <f t="shared" si="6"/>
        <v>339.8533333333333</v>
      </c>
      <c r="K8" s="36">
        <f>_xlfn.MAXIFS(ecommerce_transactions!D:D,ecommerce_transactions!B:B,main_data!A8)</f>
        <v>45642</v>
      </c>
      <c r="L8" s="36">
        <f>_xlfn.MINIFS(ecommerce_transactions!D:D,ecommerce_transactions!B:B,main_data!A8)</f>
        <v>45057</v>
      </c>
      <c r="M8" s="19">
        <f t="shared" si="7"/>
        <v>1.6016427104722792</v>
      </c>
      <c r="N8" s="19">
        <f t="shared" si="0"/>
        <v>4.2823644357596482</v>
      </c>
      <c r="O8" s="17">
        <f t="shared" si="8"/>
        <v>2330.992085979482</v>
      </c>
      <c r="P8" s="17">
        <f t="shared" si="9"/>
        <v>699.29762579384453</v>
      </c>
    </row>
    <row r="9" spans="1:16" x14ac:dyDescent="0.3">
      <c r="A9" s="26" t="str">
        <v>C0008</v>
      </c>
      <c r="B9" s="26">
        <f>_xlfn.DAYS(DATE(2024,12,31),_xlfn.MAXIFS(ecommerce_transactions!$D$2:$D$9999, ecommerce_transactions!$B$2:$B$9999, A9))</f>
        <v>64</v>
      </c>
      <c r="C9" s="26">
        <f>COUNTIF(ecommerce_transactions!B:B,main_data!A9)</f>
        <v>4</v>
      </c>
      <c r="D9" s="35">
        <f>SUMIF(ecommerce_transactions!B:B,main_data!A9,ecommerce_transactions!E:E)</f>
        <v>1331.5700000000002</v>
      </c>
      <c r="E9" s="28">
        <f t="shared" si="1"/>
        <v>2</v>
      </c>
      <c r="F9" s="28">
        <f t="shared" si="2"/>
        <v>2</v>
      </c>
      <c r="G9" s="26">
        <f t="shared" si="3"/>
        <v>2</v>
      </c>
      <c r="H9" s="18" t="str">
        <f t="shared" si="4"/>
        <v>222</v>
      </c>
      <c r="I9" s="26" t="str">
        <f t="shared" si="5"/>
        <v>About to Sleep</v>
      </c>
      <c r="J9" s="17">
        <f t="shared" si="6"/>
        <v>332.89250000000004</v>
      </c>
      <c r="K9" s="36">
        <f>_xlfn.MAXIFS(ecommerce_transactions!D:D,ecommerce_transactions!B:B,main_data!A9)</f>
        <v>45593</v>
      </c>
      <c r="L9" s="36">
        <f>_xlfn.MINIFS(ecommerce_transactions!D:D,ecommerce_transactions!B:B,main_data!A9)</f>
        <v>45156</v>
      </c>
      <c r="M9" s="19">
        <f t="shared" si="7"/>
        <v>1.1964407939767283</v>
      </c>
      <c r="N9" s="19">
        <f t="shared" si="0"/>
        <v>2.3578777486382894</v>
      </c>
      <c r="O9" s="17">
        <f t="shared" si="8"/>
        <v>939.11009078071436</v>
      </c>
      <c r="P9" s="17">
        <f t="shared" si="9"/>
        <v>281.73302723421432</v>
      </c>
    </row>
    <row r="10" spans="1:16" x14ac:dyDescent="0.3">
      <c r="A10" s="26" t="str">
        <v>C0009</v>
      </c>
      <c r="B10" s="26">
        <f>_xlfn.DAYS(DATE(2024,12,31),_xlfn.MAXIFS(ecommerce_transactions!$D$2:$D$9999, ecommerce_transactions!$B$2:$B$9999, A10))</f>
        <v>9</v>
      </c>
      <c r="C10" s="26">
        <f>COUNTIF(ecommerce_transactions!B:B,main_data!A10)</f>
        <v>8</v>
      </c>
      <c r="D10" s="35">
        <f>SUMIF(ecommerce_transactions!B:B,main_data!A10,ecommerce_transactions!E:E)</f>
        <v>2407.9300000000003</v>
      </c>
      <c r="E10" s="28">
        <f t="shared" si="1"/>
        <v>4</v>
      </c>
      <c r="F10" s="28">
        <f t="shared" si="2"/>
        <v>3</v>
      </c>
      <c r="G10" s="26">
        <f t="shared" si="3"/>
        <v>4</v>
      </c>
      <c r="H10" s="18" t="str">
        <f t="shared" si="4"/>
        <v>434</v>
      </c>
      <c r="I10" s="26" t="str">
        <f t="shared" si="5"/>
        <v>Loyal Customers</v>
      </c>
      <c r="J10" s="17">
        <f t="shared" si="6"/>
        <v>300.99125000000004</v>
      </c>
      <c r="K10" s="36">
        <f>_xlfn.MAXIFS(ecommerce_transactions!D:D,ecommerce_transactions!B:B,main_data!A10)</f>
        <v>45648</v>
      </c>
      <c r="L10" s="36">
        <f>_xlfn.MINIFS(ecommerce_transactions!D:D,ecommerce_transactions!B:B,main_data!A10)</f>
        <v>45371</v>
      </c>
      <c r="M10" s="19">
        <f t="shared" si="7"/>
        <v>0.75838466803559201</v>
      </c>
      <c r="N10" s="19">
        <f t="shared" si="0"/>
        <v>6.3573565406581451</v>
      </c>
      <c r="O10" s="17">
        <f t="shared" si="8"/>
        <v>1451.1756540658146</v>
      </c>
      <c r="P10" s="17">
        <f t="shared" si="9"/>
        <v>435.35269621974436</v>
      </c>
    </row>
    <row r="11" spans="1:16" x14ac:dyDescent="0.3">
      <c r="A11" s="26" t="str">
        <v>C0010</v>
      </c>
      <c r="B11" s="26">
        <f>_xlfn.DAYS(DATE(2024,12,31),_xlfn.MAXIFS(ecommerce_transactions!$D$2:$D$9999, ecommerce_transactions!$B$2:$B$9999, A11))</f>
        <v>15</v>
      </c>
      <c r="C11" s="26">
        <f>COUNTIF(ecommerce_transactions!B:B,main_data!A11)</f>
        <v>7</v>
      </c>
      <c r="D11" s="35">
        <f>SUMIF(ecommerce_transactions!B:B,main_data!A11,ecommerce_transactions!E:E)</f>
        <v>2133.1200000000003</v>
      </c>
      <c r="E11" s="28">
        <f t="shared" si="1"/>
        <v>4</v>
      </c>
      <c r="F11" s="28">
        <f t="shared" si="2"/>
        <v>3</v>
      </c>
      <c r="G11" s="26">
        <f t="shared" si="3"/>
        <v>3</v>
      </c>
      <c r="H11" s="18" t="str">
        <f t="shared" si="4"/>
        <v>433</v>
      </c>
      <c r="I11" s="26" t="str">
        <f t="shared" si="5"/>
        <v>Loyal Customers</v>
      </c>
      <c r="J11" s="17">
        <f t="shared" si="6"/>
        <v>304.73142857142864</v>
      </c>
      <c r="K11" s="36">
        <f>_xlfn.MAXIFS(ecommerce_transactions!D:D,ecommerce_transactions!B:B,main_data!A11)</f>
        <v>45642</v>
      </c>
      <c r="L11" s="36">
        <f>_xlfn.MINIFS(ecommerce_transactions!D:D,ecommerce_transactions!B:B,main_data!A11)</f>
        <v>45483</v>
      </c>
      <c r="M11" s="19">
        <f t="shared" si="7"/>
        <v>0.43531827515400412</v>
      </c>
      <c r="N11" s="19">
        <f t="shared" si="0"/>
        <v>7.4840834248079036</v>
      </c>
      <c r="O11" s="17">
        <f t="shared" si="8"/>
        <v>992.80228320526919</v>
      </c>
      <c r="P11" s="17">
        <f t="shared" si="9"/>
        <v>297.84068496158073</v>
      </c>
    </row>
    <row r="12" spans="1:16" x14ac:dyDescent="0.3">
      <c r="A12" s="26" t="str">
        <v>C0011</v>
      </c>
      <c r="B12" s="26">
        <f>_xlfn.DAYS(DATE(2024,12,31),_xlfn.MAXIFS(ecommerce_transactions!$D$2:$D$9999, ecommerce_transactions!$B$2:$B$9999, A12))</f>
        <v>24</v>
      </c>
      <c r="C12" s="26">
        <f>COUNTIF(ecommerce_transactions!B:B,main_data!A12)</f>
        <v>13</v>
      </c>
      <c r="D12" s="35">
        <f>SUMIF(ecommerce_transactions!B:B,main_data!A12,ecommerce_transactions!E:E)</f>
        <v>3337.4300000000003</v>
      </c>
      <c r="E12" s="28">
        <f t="shared" si="1"/>
        <v>3</v>
      </c>
      <c r="F12" s="28">
        <f t="shared" si="2"/>
        <v>5</v>
      </c>
      <c r="G12" s="26">
        <f t="shared" si="3"/>
        <v>5</v>
      </c>
      <c r="H12" s="18" t="str">
        <f t="shared" si="4"/>
        <v>355</v>
      </c>
      <c r="I12" s="26" t="str">
        <f t="shared" si="5"/>
        <v>Loyal Customers</v>
      </c>
      <c r="J12" s="17">
        <f t="shared" si="6"/>
        <v>256.72538461538466</v>
      </c>
      <c r="K12" s="36">
        <f>_xlfn.MAXIFS(ecommerce_transactions!D:D,ecommerce_transactions!B:B,main_data!A12)</f>
        <v>45633</v>
      </c>
      <c r="L12" s="36">
        <f>_xlfn.MINIFS(ecommerce_transactions!D:D,ecommerce_transactions!B:B,main_data!A12)</f>
        <v>45126</v>
      </c>
      <c r="M12" s="19">
        <f t="shared" si="7"/>
        <v>1.3880903490759753</v>
      </c>
      <c r="N12" s="19">
        <f t="shared" si="0"/>
        <v>6.8852637302882007</v>
      </c>
      <c r="O12" s="17">
        <f t="shared" si="8"/>
        <v>2453.6190103317026</v>
      </c>
      <c r="P12" s="17">
        <f t="shared" si="9"/>
        <v>736.08570309951074</v>
      </c>
    </row>
    <row r="13" spans="1:16" x14ac:dyDescent="0.3">
      <c r="A13" s="26" t="str">
        <v>C0012</v>
      </c>
      <c r="B13" s="26">
        <f>_xlfn.DAYS(DATE(2024,12,31),_xlfn.MAXIFS(ecommerce_transactions!$D$2:$D$9999, ecommerce_transactions!$B$2:$B$9999, A13))</f>
        <v>104</v>
      </c>
      <c r="C13" s="26">
        <f>COUNTIF(ecommerce_transactions!B:B,main_data!A13)</f>
        <v>10</v>
      </c>
      <c r="D13" s="35">
        <f>SUMIF(ecommerce_transactions!B:B,main_data!A13,ecommerce_transactions!E:E)</f>
        <v>1939.3199999999997</v>
      </c>
      <c r="E13" s="28">
        <f t="shared" si="1"/>
        <v>1</v>
      </c>
      <c r="F13" s="28">
        <f t="shared" si="2"/>
        <v>4</v>
      </c>
      <c r="G13" s="26">
        <f t="shared" si="3"/>
        <v>3</v>
      </c>
      <c r="H13" s="18" t="str">
        <f t="shared" si="4"/>
        <v>143</v>
      </c>
      <c r="I13" s="26" t="str">
        <f>IF(AND(E13&gt;=4, F13&gt;I11=4, G13&gt;=4), "Champions",
    IF(AND(E13&gt;=3, F13&gt;=3, G13&gt;=3), "Loyal Customers",
    IF(AND(E13&gt;=4, F13&lt;=2), "New Customers",
    IF(AND(E13&gt;=4, F13&gt;=2, G13&gt;=2), "Potential Loyalists",
    IF(AND(G13&gt;=4, E13&lt;=2, F13&lt;=2), "Cannot Lose Them",
    IF(AND(F13&gt;=3, E13&lt;=2), "At Risk",
    IF(AND(E13&lt;=2, F13&lt;=2), "About to Sleep",
    IF(AND(E13&lt;=2, F13&lt;=3), "Hibernating", "Lost"))))))))</f>
        <v>At Risk</v>
      </c>
      <c r="J13" s="17">
        <f t="shared" si="6"/>
        <v>193.93199999999996</v>
      </c>
      <c r="K13" s="36">
        <f>_xlfn.MAXIFS(ecommerce_transactions!D:D,ecommerce_transactions!B:B,main_data!A13)</f>
        <v>45553</v>
      </c>
      <c r="L13" s="36">
        <f>_xlfn.MINIFS(ecommerce_transactions!D:D,ecommerce_transactions!B:B,main_data!A13)</f>
        <v>45093</v>
      </c>
      <c r="M13" s="19">
        <f t="shared" si="7"/>
        <v>1.2594113620807665</v>
      </c>
      <c r="N13" s="19">
        <f t="shared" si="0"/>
        <v>5.6837191207936204</v>
      </c>
      <c r="O13" s="17">
        <f t="shared" si="8"/>
        <v>1388.1924917331257</v>
      </c>
      <c r="P13" s="17">
        <f t="shared" si="9"/>
        <v>416.4577475199377</v>
      </c>
    </row>
    <row r="14" spans="1:16" x14ac:dyDescent="0.3">
      <c r="A14" s="26" t="str">
        <v>C0013</v>
      </c>
      <c r="B14" s="26">
        <f>_xlfn.DAYS(DATE(2024,12,31),_xlfn.MAXIFS(ecommerce_transactions!$D$2:$D$9999, ecommerce_transactions!$B$2:$B$9999, A14))</f>
        <v>88</v>
      </c>
      <c r="C14" s="26">
        <f>COUNTIF(ecommerce_transactions!B:B,main_data!A14)</f>
        <v>3</v>
      </c>
      <c r="D14" s="35">
        <f>SUMIF(ecommerce_transactions!B:B,main_data!A14,ecommerce_transactions!E:E)</f>
        <v>1063.29</v>
      </c>
      <c r="E14" s="28">
        <f t="shared" si="1"/>
        <v>2</v>
      </c>
      <c r="F14" s="28">
        <f t="shared" si="2"/>
        <v>1</v>
      </c>
      <c r="G14" s="26">
        <f t="shared" si="3"/>
        <v>2</v>
      </c>
      <c r="H14" s="18" t="str">
        <f t="shared" si="4"/>
        <v>212</v>
      </c>
      <c r="I14" s="26" t="str">
        <f t="shared" si="5"/>
        <v>About to Sleep</v>
      </c>
      <c r="J14" s="17">
        <f t="shared" si="6"/>
        <v>354.43</v>
      </c>
      <c r="K14" s="36">
        <f>_xlfn.MAXIFS(ecommerce_transactions!D:D,ecommerce_transactions!B:B,main_data!A14)</f>
        <v>45569</v>
      </c>
      <c r="L14" s="36">
        <f>_xlfn.MINIFS(ecommerce_transactions!D:D,ecommerce_transactions!B:B,main_data!A14)</f>
        <v>45189</v>
      </c>
      <c r="M14" s="19">
        <f t="shared" si="7"/>
        <v>1.0403832991101984</v>
      </c>
      <c r="N14" s="19">
        <f t="shared" si="0"/>
        <v>1.9475672072872696</v>
      </c>
      <c r="O14" s="17">
        <f t="shared" si="8"/>
        <v>718.15187736058658</v>
      </c>
      <c r="P14" s="17">
        <f t="shared" si="9"/>
        <v>215.44556320817597</v>
      </c>
    </row>
    <row r="15" spans="1:16" x14ac:dyDescent="0.3">
      <c r="A15" s="26" t="str">
        <v>C0014</v>
      </c>
      <c r="B15" s="26">
        <f>_xlfn.DAYS(DATE(2024,12,31),_xlfn.MAXIFS(ecommerce_transactions!$D$2:$D$9999, ecommerce_transactions!$B$2:$B$9999, A15))</f>
        <v>29</v>
      </c>
      <c r="C15" s="26">
        <f>COUNTIF(ecommerce_transactions!B:B,main_data!A15)</f>
        <v>12</v>
      </c>
      <c r="D15" s="35">
        <f>SUMIF(ecommerce_transactions!B:B,main_data!A15,ecommerce_transactions!E:E)</f>
        <v>3058.1199999999994</v>
      </c>
      <c r="E15" s="28">
        <f t="shared" si="1"/>
        <v>3</v>
      </c>
      <c r="F15" s="28">
        <f t="shared" si="2"/>
        <v>5</v>
      </c>
      <c r="G15" s="26">
        <f t="shared" si="3"/>
        <v>4</v>
      </c>
      <c r="H15" s="18" t="str">
        <f t="shared" si="4"/>
        <v>354</v>
      </c>
      <c r="I15" s="26" t="str">
        <f t="shared" si="5"/>
        <v>Loyal Customers</v>
      </c>
      <c r="J15" s="17">
        <f t="shared" si="6"/>
        <v>254.84333333333328</v>
      </c>
      <c r="K15" s="36">
        <f>_xlfn.MAXIFS(ecommerce_transactions!D:D,ecommerce_transactions!B:B,main_data!A15)</f>
        <v>45628</v>
      </c>
      <c r="L15" s="36">
        <f>_xlfn.MINIFS(ecommerce_transactions!D:D,ecommerce_transactions!B:B,main_data!A15)</f>
        <v>44972</v>
      </c>
      <c r="M15" s="19">
        <f t="shared" si="7"/>
        <v>1.7960301163586585</v>
      </c>
      <c r="N15" s="19">
        <f t="shared" si="0"/>
        <v>5.2264122820092407</v>
      </c>
      <c r="O15" s="17">
        <f t="shared" si="8"/>
        <v>2392.1618363392449</v>
      </c>
      <c r="P15" s="17">
        <f t="shared" si="9"/>
        <v>717.64855090177343</v>
      </c>
    </row>
    <row r="16" spans="1:16" x14ac:dyDescent="0.3">
      <c r="A16" s="26" t="str">
        <v>C0015</v>
      </c>
      <c r="B16" s="26">
        <f>_xlfn.DAYS(DATE(2024,12,31),_xlfn.MAXIFS(ecommerce_transactions!$D$2:$D$9999, ecommerce_transactions!$B$2:$B$9999, A16))</f>
        <v>13</v>
      </c>
      <c r="C16" s="26">
        <f>COUNTIF(ecommerce_transactions!B:B,main_data!A16)</f>
        <v>4</v>
      </c>
      <c r="D16" s="35">
        <f>SUMIF(ecommerce_transactions!B:B,main_data!A16,ecommerce_transactions!E:E)</f>
        <v>1388.06</v>
      </c>
      <c r="E16" s="28">
        <f t="shared" si="1"/>
        <v>4</v>
      </c>
      <c r="F16" s="28">
        <f t="shared" si="2"/>
        <v>2</v>
      </c>
      <c r="G16" s="26">
        <f t="shared" si="3"/>
        <v>2</v>
      </c>
      <c r="H16" s="18" t="str">
        <f t="shared" si="4"/>
        <v>422</v>
      </c>
      <c r="I16" s="26" t="str">
        <f t="shared" si="5"/>
        <v>New Customers</v>
      </c>
      <c r="J16" s="17">
        <f t="shared" si="6"/>
        <v>347.01499999999999</v>
      </c>
      <c r="K16" s="36">
        <f>_xlfn.MAXIFS(ecommerce_transactions!D:D,ecommerce_transactions!B:B,main_data!A16)</f>
        <v>45644</v>
      </c>
      <c r="L16" s="36">
        <f>_xlfn.MINIFS(ecommerce_transactions!D:D,ecommerce_transactions!B:B,main_data!A16)</f>
        <v>45555</v>
      </c>
      <c r="M16" s="19">
        <f t="shared" si="7"/>
        <v>0.24366872005475701</v>
      </c>
      <c r="N16" s="19">
        <f t="shared" si="0"/>
        <v>5.3787390704095719</v>
      </c>
      <c r="O16" s="17">
        <f t="shared" si="8"/>
        <v>454.80843074091115</v>
      </c>
      <c r="P16" s="17">
        <f t="shared" si="9"/>
        <v>136.44252922227335</v>
      </c>
    </row>
    <row r="17" spans="1:16" x14ac:dyDescent="0.3">
      <c r="A17" s="26" t="str">
        <v>C0016</v>
      </c>
      <c r="B17" s="26">
        <f>_xlfn.DAYS(DATE(2024,12,31),_xlfn.MAXIFS(ecommerce_transactions!$D$2:$D$9999, ecommerce_transactions!$B$2:$B$9999, A17))</f>
        <v>2</v>
      </c>
      <c r="C17" s="26">
        <f>COUNTIF(ecommerce_transactions!B:B,main_data!A17)</f>
        <v>11</v>
      </c>
      <c r="D17" s="35">
        <f>SUMIF(ecommerce_transactions!B:B,main_data!A17,ecommerce_transactions!E:E)</f>
        <v>2908.2799999999997</v>
      </c>
      <c r="E17" s="28">
        <f t="shared" si="1"/>
        <v>5</v>
      </c>
      <c r="F17" s="28">
        <f t="shared" si="2"/>
        <v>4</v>
      </c>
      <c r="G17" s="26">
        <f t="shared" si="3"/>
        <v>4</v>
      </c>
      <c r="H17" s="18" t="str">
        <f t="shared" si="4"/>
        <v>544</v>
      </c>
      <c r="I17" s="26" t="str">
        <f t="shared" si="5"/>
        <v>Champions</v>
      </c>
      <c r="J17" s="17">
        <f t="shared" si="6"/>
        <v>264.3890909090909</v>
      </c>
      <c r="K17" s="36">
        <f>_xlfn.MAXIFS(ecommerce_transactions!D:D,ecommerce_transactions!B:B,main_data!A17)</f>
        <v>45655</v>
      </c>
      <c r="L17" s="36">
        <f>_xlfn.MINIFS(ecommerce_transactions!D:D,ecommerce_transactions!B:B,main_data!A17)</f>
        <v>45620</v>
      </c>
      <c r="M17" s="19">
        <f t="shared" si="7"/>
        <v>9.5824777549623541E-2</v>
      </c>
      <c r="N17" s="19">
        <f t="shared" si="0"/>
        <v>18.461803561171742</v>
      </c>
      <c r="O17" s="17">
        <f t="shared" si="8"/>
        <v>467.73026995979319</v>
      </c>
      <c r="P17" s="17">
        <f t="shared" si="9"/>
        <v>140.31908098793795</v>
      </c>
    </row>
    <row r="18" spans="1:16" x14ac:dyDescent="0.3">
      <c r="A18" s="26" t="str">
        <v>C0017</v>
      </c>
      <c r="B18" s="26">
        <f>_xlfn.DAYS(DATE(2024,12,31),_xlfn.MAXIFS(ecommerce_transactions!$D$2:$D$9999, ecommerce_transactions!$B$2:$B$9999, A18))</f>
        <v>23</v>
      </c>
      <c r="C18" s="26">
        <f>COUNTIF(ecommerce_transactions!B:B,main_data!A18)</f>
        <v>14</v>
      </c>
      <c r="D18" s="35">
        <f>SUMIF(ecommerce_transactions!B:B,main_data!A18,ecommerce_transactions!E:E)</f>
        <v>3473.2000000000003</v>
      </c>
      <c r="E18" s="28">
        <f t="shared" si="1"/>
        <v>3</v>
      </c>
      <c r="F18" s="28">
        <f t="shared" si="2"/>
        <v>5</v>
      </c>
      <c r="G18" s="26">
        <f t="shared" si="3"/>
        <v>5</v>
      </c>
      <c r="H18" s="18" t="str">
        <f t="shared" si="4"/>
        <v>355</v>
      </c>
      <c r="I18" s="26" t="str">
        <f t="shared" si="5"/>
        <v>Loyal Customers</v>
      </c>
      <c r="J18" s="17">
        <f t="shared" si="6"/>
        <v>248.08571428571432</v>
      </c>
      <c r="K18" s="36">
        <f>_xlfn.MAXIFS(ecommerce_transactions!D:D,ecommerce_transactions!B:B,main_data!A18)</f>
        <v>45634</v>
      </c>
      <c r="L18" s="36">
        <f>_xlfn.MINIFS(ecommerce_transactions!D:D,ecommerce_transactions!B:B,main_data!A18)</f>
        <v>45106</v>
      </c>
      <c r="M18" s="19">
        <f t="shared" si="7"/>
        <v>1.4455852156057496</v>
      </c>
      <c r="N18" s="19">
        <f t="shared" si="0"/>
        <v>7.1957783641160944</v>
      </c>
      <c r="O18" s="17">
        <f t="shared" si="8"/>
        <v>2580.6150923482851</v>
      </c>
      <c r="P18" s="17">
        <f t="shared" si="9"/>
        <v>774.1845277044855</v>
      </c>
    </row>
    <row r="19" spans="1:16" x14ac:dyDescent="0.3">
      <c r="A19" s="26" t="str">
        <v>C0018</v>
      </c>
      <c r="B19" s="26">
        <f>_xlfn.DAYS(DATE(2024,12,31),_xlfn.MAXIFS(ecommerce_transactions!$D$2:$D$9999, ecommerce_transactions!$B$2:$B$9999, A19))</f>
        <v>10</v>
      </c>
      <c r="C19" s="26">
        <f>COUNTIF(ecommerce_transactions!B:B,main_data!A19)</f>
        <v>6</v>
      </c>
      <c r="D19" s="35">
        <f>SUMIF(ecommerce_transactions!B:B,main_data!A19,ecommerce_transactions!E:E)</f>
        <v>2151.5</v>
      </c>
      <c r="E19" s="28">
        <f t="shared" si="1"/>
        <v>4</v>
      </c>
      <c r="F19" s="28">
        <f t="shared" si="2"/>
        <v>3</v>
      </c>
      <c r="G19" s="26">
        <f t="shared" si="3"/>
        <v>3</v>
      </c>
      <c r="H19" s="18" t="str">
        <f t="shared" si="4"/>
        <v>433</v>
      </c>
      <c r="I19" s="26" t="str">
        <f t="shared" si="5"/>
        <v>Loyal Customers</v>
      </c>
      <c r="J19" s="17">
        <f t="shared" si="6"/>
        <v>358.58333333333331</v>
      </c>
      <c r="K19" s="36">
        <f>_xlfn.MAXIFS(ecommerce_transactions!D:D,ecommerce_transactions!B:B,main_data!A19)</f>
        <v>45647</v>
      </c>
      <c r="L19" s="36">
        <f>_xlfn.MINIFS(ecommerce_transactions!D:D,ecommerce_transactions!B:B,main_data!A19)</f>
        <v>45426</v>
      </c>
      <c r="M19" s="19">
        <f t="shared" si="7"/>
        <v>0.60506502395619444</v>
      </c>
      <c r="N19" s="19">
        <f t="shared" si="0"/>
        <v>5.4295447506968095</v>
      </c>
      <c r="O19" s="17">
        <f t="shared" si="8"/>
        <v>1178.0278724063176</v>
      </c>
      <c r="P19" s="17">
        <f t="shared" si="9"/>
        <v>353.40836172189523</v>
      </c>
    </row>
    <row r="20" spans="1:16" x14ac:dyDescent="0.3">
      <c r="A20" s="26" t="str">
        <v>C0019</v>
      </c>
      <c r="B20" s="26">
        <f>_xlfn.DAYS(DATE(2024,12,31),_xlfn.MAXIFS(ecommerce_transactions!$D$2:$D$9999, ecommerce_transactions!$B$2:$B$9999, A20))</f>
        <v>28</v>
      </c>
      <c r="C20" s="26">
        <f>COUNTIF(ecommerce_transactions!B:B,main_data!A20)</f>
        <v>4</v>
      </c>
      <c r="D20" s="35">
        <f>SUMIF(ecommerce_transactions!B:B,main_data!A20,ecommerce_transactions!E:E)</f>
        <v>933.3</v>
      </c>
      <c r="E20" s="28">
        <f t="shared" si="1"/>
        <v>3</v>
      </c>
      <c r="F20" s="28">
        <f t="shared" si="2"/>
        <v>2</v>
      </c>
      <c r="G20" s="26">
        <f t="shared" si="3"/>
        <v>1</v>
      </c>
      <c r="H20" s="18" t="str">
        <f t="shared" si="4"/>
        <v>321</v>
      </c>
      <c r="I20" s="26" t="str">
        <f t="shared" si="5"/>
        <v>Lost</v>
      </c>
      <c r="J20" s="17">
        <f t="shared" si="6"/>
        <v>233.32499999999999</v>
      </c>
      <c r="K20" s="36">
        <f>_xlfn.MAXIFS(ecommerce_transactions!D:D,ecommerce_transactions!B:B,main_data!A20)</f>
        <v>45629</v>
      </c>
      <c r="L20" s="36">
        <f>_xlfn.MINIFS(ecommerce_transactions!D:D,ecommerce_transactions!B:B,main_data!A20)</f>
        <v>45545</v>
      </c>
      <c r="M20" s="19">
        <f t="shared" si="7"/>
        <v>0.2299794661190965</v>
      </c>
      <c r="N20" s="19">
        <f t="shared" si="0"/>
        <v>5.4796061884669482</v>
      </c>
      <c r="O20" s="17">
        <f t="shared" si="8"/>
        <v>294.03544303797463</v>
      </c>
      <c r="P20" s="17">
        <f t="shared" si="9"/>
        <v>88.210632911392381</v>
      </c>
    </row>
    <row r="21" spans="1:16" x14ac:dyDescent="0.3">
      <c r="A21" s="26" t="str">
        <v>C0020</v>
      </c>
      <c r="B21" s="26">
        <f>_xlfn.DAYS(DATE(2024,12,31),_xlfn.MAXIFS(ecommerce_transactions!$D$2:$D$9999, ecommerce_transactions!$B$2:$B$9999, A21))</f>
        <v>41</v>
      </c>
      <c r="C21" s="26">
        <f>COUNTIF(ecommerce_transactions!B:B,main_data!A21)</f>
        <v>13</v>
      </c>
      <c r="D21" s="35">
        <f>SUMIF(ecommerce_transactions!B:B,main_data!A21,ecommerce_transactions!E:E)</f>
        <v>2896.0099999999998</v>
      </c>
      <c r="E21" s="28">
        <f t="shared" si="1"/>
        <v>3</v>
      </c>
      <c r="F21" s="28">
        <f t="shared" si="2"/>
        <v>5</v>
      </c>
      <c r="G21" s="26">
        <f t="shared" si="3"/>
        <v>4</v>
      </c>
      <c r="H21" s="18" t="str">
        <f t="shared" si="4"/>
        <v>354</v>
      </c>
      <c r="I21" s="26" t="str">
        <f t="shared" si="5"/>
        <v>Loyal Customers</v>
      </c>
      <c r="J21" s="17">
        <f t="shared" si="6"/>
        <v>222.76999999999998</v>
      </c>
      <c r="K21" s="36">
        <f>_xlfn.MAXIFS(ecommerce_transactions!D:D,ecommerce_transactions!B:B,main_data!A21)</f>
        <v>45616</v>
      </c>
      <c r="L21" s="36">
        <f>_xlfn.MINIFS(ecommerce_transactions!D:D,ecommerce_transactions!B:B,main_data!A21)</f>
        <v>45074</v>
      </c>
      <c r="M21" s="19">
        <f t="shared" si="7"/>
        <v>1.483915126625599</v>
      </c>
      <c r="N21" s="19">
        <f t="shared" si="0"/>
        <v>6.5526996722442643</v>
      </c>
      <c r="O21" s="17">
        <f t="shared" si="8"/>
        <v>2166.1375470070725</v>
      </c>
      <c r="P21" s="17">
        <f t="shared" si="9"/>
        <v>649.84126410212173</v>
      </c>
    </row>
    <row r="22" spans="1:16" x14ac:dyDescent="0.3">
      <c r="A22" s="26" t="str">
        <v>C0021</v>
      </c>
      <c r="B22" s="26">
        <f>_xlfn.DAYS(DATE(2024,12,31),_xlfn.MAXIFS(ecommerce_transactions!$D$2:$D$9999, ecommerce_transactions!$B$2:$B$9999, A22))</f>
        <v>19</v>
      </c>
      <c r="C22" s="26">
        <f>COUNTIF(ecommerce_transactions!B:B,main_data!A22)</f>
        <v>2</v>
      </c>
      <c r="D22" s="35">
        <f>SUMIF(ecommerce_transactions!B:B,main_data!A22,ecommerce_transactions!E:E)</f>
        <v>697.8</v>
      </c>
      <c r="E22" s="28">
        <f t="shared" si="1"/>
        <v>4</v>
      </c>
      <c r="F22" s="28">
        <f t="shared" si="2"/>
        <v>1</v>
      </c>
      <c r="G22" s="26">
        <f t="shared" si="3"/>
        <v>1</v>
      </c>
      <c r="H22" s="18" t="str">
        <f t="shared" si="4"/>
        <v>411</v>
      </c>
      <c r="I22" s="26" t="str">
        <f t="shared" si="5"/>
        <v>New Customers</v>
      </c>
      <c r="J22" s="17">
        <f t="shared" si="6"/>
        <v>348.9</v>
      </c>
      <c r="K22" s="36">
        <f>_xlfn.MAXIFS(ecommerce_transactions!D:D,ecommerce_transactions!B:B,main_data!A22)</f>
        <v>45638</v>
      </c>
      <c r="L22" s="36">
        <f>_xlfn.MINIFS(ecommerce_transactions!D:D,ecommerce_transactions!B:B,main_data!A22)</f>
        <v>45307</v>
      </c>
      <c r="M22" s="19">
        <f t="shared" si="7"/>
        <v>0.90622861054072557</v>
      </c>
      <c r="N22" s="19">
        <f t="shared" si="0"/>
        <v>1.4222438549525431</v>
      </c>
      <c r="O22" s="17">
        <f t="shared" si="8"/>
        <v>449.68955950352881</v>
      </c>
      <c r="P22" s="17">
        <f t="shared" si="9"/>
        <v>134.90686785105865</v>
      </c>
    </row>
    <row r="23" spans="1:16" x14ac:dyDescent="0.3">
      <c r="A23" s="26" t="str">
        <v>C0022</v>
      </c>
      <c r="B23" s="26">
        <f>_xlfn.DAYS(DATE(2024,12,31),_xlfn.MAXIFS(ecommerce_transactions!$D$2:$D$9999, ecommerce_transactions!$B$2:$B$9999, A23))</f>
        <v>9</v>
      </c>
      <c r="C23" s="26">
        <f>COUNTIF(ecommerce_transactions!B:B,main_data!A23)</f>
        <v>14</v>
      </c>
      <c r="D23" s="35">
        <f>SUMIF(ecommerce_transactions!B:B,main_data!A23,ecommerce_transactions!E:E)</f>
        <v>3405.3799999999997</v>
      </c>
      <c r="E23" s="28">
        <f t="shared" si="1"/>
        <v>4</v>
      </c>
      <c r="F23" s="28">
        <f t="shared" si="2"/>
        <v>5</v>
      </c>
      <c r="G23" s="26">
        <f t="shared" si="3"/>
        <v>5</v>
      </c>
      <c r="H23" s="18" t="str">
        <f t="shared" si="4"/>
        <v>455</v>
      </c>
      <c r="I23" s="26" t="str">
        <f t="shared" si="5"/>
        <v>Champions</v>
      </c>
      <c r="J23" s="17">
        <f t="shared" si="6"/>
        <v>243.24142857142854</v>
      </c>
      <c r="K23" s="36">
        <f>_xlfn.MAXIFS(ecommerce_transactions!D:D,ecommerce_transactions!B:B,main_data!A23)</f>
        <v>45648</v>
      </c>
      <c r="L23" s="36">
        <f>_xlfn.MINIFS(ecommerce_transactions!D:D,ecommerce_transactions!B:B,main_data!A23)</f>
        <v>45337</v>
      </c>
      <c r="M23" s="19">
        <f t="shared" si="7"/>
        <v>0.85147159479808354</v>
      </c>
      <c r="N23" s="19">
        <f t="shared" si="0"/>
        <v>10.359078247657635</v>
      </c>
      <c r="O23" s="17">
        <f t="shared" si="8"/>
        <v>2145.5015041782726</v>
      </c>
      <c r="P23" s="17">
        <f t="shared" si="9"/>
        <v>643.65045125348172</v>
      </c>
    </row>
    <row r="24" spans="1:16" x14ac:dyDescent="0.3">
      <c r="A24" s="26" t="str">
        <v>C0023</v>
      </c>
      <c r="B24" s="26">
        <f>_xlfn.DAYS(DATE(2024,12,31),_xlfn.MAXIFS(ecommerce_transactions!$D$2:$D$9999, ecommerce_transactions!$B$2:$B$9999, A24))</f>
        <v>168</v>
      </c>
      <c r="C24" s="26">
        <f>COUNTIF(ecommerce_transactions!B:B,main_data!A24)</f>
        <v>13</v>
      </c>
      <c r="D24" s="35">
        <f>SUMIF(ecommerce_transactions!B:B,main_data!A24,ecommerce_transactions!E:E)</f>
        <v>3410.1200000000008</v>
      </c>
      <c r="E24" s="28">
        <f t="shared" si="1"/>
        <v>1</v>
      </c>
      <c r="F24" s="28">
        <f t="shared" si="2"/>
        <v>5</v>
      </c>
      <c r="G24" s="26">
        <f t="shared" si="3"/>
        <v>5</v>
      </c>
      <c r="H24" s="18" t="str">
        <f t="shared" si="4"/>
        <v>155</v>
      </c>
      <c r="I24" s="26" t="str">
        <f t="shared" si="5"/>
        <v>At Risk</v>
      </c>
      <c r="J24" s="17">
        <f t="shared" si="6"/>
        <v>262.31692307692316</v>
      </c>
      <c r="K24" s="36">
        <f>_xlfn.MAXIFS(ecommerce_transactions!D:D,ecommerce_transactions!B:B,main_data!A24)</f>
        <v>45489</v>
      </c>
      <c r="L24" s="36">
        <f>_xlfn.MINIFS(ecommerce_transactions!D:D,ecommerce_transactions!B:B,main_data!A24)</f>
        <v>44960</v>
      </c>
      <c r="M24" s="19">
        <f t="shared" si="7"/>
        <v>1.4483230663928817</v>
      </c>
      <c r="N24" s="19">
        <f t="shared" si="0"/>
        <v>6.6724047075355699</v>
      </c>
      <c r="O24" s="17">
        <f t="shared" si="8"/>
        <v>2534.977663797647</v>
      </c>
      <c r="P24" s="17">
        <f t="shared" si="9"/>
        <v>760.49329913929409</v>
      </c>
    </row>
    <row r="25" spans="1:16" x14ac:dyDescent="0.3">
      <c r="A25" s="26" t="str">
        <v>C0024</v>
      </c>
      <c r="B25" s="26">
        <f>_xlfn.DAYS(DATE(2024,12,31),_xlfn.MAXIFS(ecommerce_transactions!$D$2:$D$9999, ecommerce_transactions!$B$2:$B$9999, A25))</f>
        <v>1</v>
      </c>
      <c r="C25" s="26">
        <f>COUNTIF(ecommerce_transactions!B:B,main_data!A25)</f>
        <v>10</v>
      </c>
      <c r="D25" s="35">
        <f>SUMIF(ecommerce_transactions!B:B,main_data!A25,ecommerce_transactions!E:E)</f>
        <v>2240.1699999999996</v>
      </c>
      <c r="E25" s="28">
        <f t="shared" si="1"/>
        <v>5</v>
      </c>
      <c r="F25" s="28">
        <f t="shared" si="2"/>
        <v>4</v>
      </c>
      <c r="G25" s="26">
        <f t="shared" si="3"/>
        <v>3</v>
      </c>
      <c r="H25" s="18" t="str">
        <f t="shared" si="4"/>
        <v>543</v>
      </c>
      <c r="I25" s="26" t="str">
        <f t="shared" si="5"/>
        <v>Loyal Customers</v>
      </c>
      <c r="J25" s="17">
        <f t="shared" si="6"/>
        <v>224.01699999999997</v>
      </c>
      <c r="K25" s="36">
        <f>_xlfn.MAXIFS(ecommerce_transactions!D:D,ecommerce_transactions!B:B,main_data!A25)</f>
        <v>45656</v>
      </c>
      <c r="L25" s="36">
        <f>_xlfn.MINIFS(ecommerce_transactions!D:D,ecommerce_transactions!B:B,main_data!A25)</f>
        <v>45618</v>
      </c>
      <c r="M25" s="19">
        <f t="shared" si="7"/>
        <v>0.10403832991101986</v>
      </c>
      <c r="N25" s="19">
        <f t="shared" si="0"/>
        <v>16.555240793201133</v>
      </c>
      <c r="O25" s="17">
        <f t="shared" si="8"/>
        <v>385.84231161473082</v>
      </c>
      <c r="P25" s="17">
        <f t="shared" si="9"/>
        <v>115.75269348441924</v>
      </c>
    </row>
    <row r="26" spans="1:16" x14ac:dyDescent="0.3">
      <c r="A26" s="26" t="str">
        <v>C0025</v>
      </c>
      <c r="B26" s="26">
        <f>_xlfn.DAYS(DATE(2024,12,31),_xlfn.MAXIFS(ecommerce_transactions!$D$2:$D$9999, ecommerce_transactions!$B$2:$B$9999, A26))</f>
        <v>49</v>
      </c>
      <c r="C26" s="26">
        <f>COUNTIF(ecommerce_transactions!B:B,main_data!A26)</f>
        <v>4</v>
      </c>
      <c r="D26" s="35">
        <f>SUMIF(ecommerce_transactions!B:B,main_data!A26,ecommerce_transactions!E:E)</f>
        <v>1162.9100000000001</v>
      </c>
      <c r="E26" s="28">
        <f t="shared" si="1"/>
        <v>2</v>
      </c>
      <c r="F26" s="28">
        <f t="shared" si="2"/>
        <v>2</v>
      </c>
      <c r="G26" s="26">
        <f t="shared" si="3"/>
        <v>2</v>
      </c>
      <c r="H26" s="18" t="str">
        <f t="shared" si="4"/>
        <v>222</v>
      </c>
      <c r="I26" s="26" t="str">
        <f t="shared" si="5"/>
        <v>About to Sleep</v>
      </c>
      <c r="J26" s="17">
        <f t="shared" si="6"/>
        <v>290.72750000000002</v>
      </c>
      <c r="K26" s="36">
        <f>_xlfn.MAXIFS(ecommerce_transactions!D:D,ecommerce_transactions!B:B,main_data!A26)</f>
        <v>45608</v>
      </c>
      <c r="L26" s="36">
        <f>_xlfn.MINIFS(ecommerce_transactions!D:D,ecommerce_transactions!B:B,main_data!A26)</f>
        <v>45308</v>
      </c>
      <c r="M26" s="19">
        <f t="shared" si="7"/>
        <v>0.82135523613963035</v>
      </c>
      <c r="N26" s="19">
        <f t="shared" si="0"/>
        <v>3.0271950271950274</v>
      </c>
      <c r="O26" s="17">
        <f t="shared" si="8"/>
        <v>722.86557886557898</v>
      </c>
      <c r="P26" s="17">
        <f t="shared" si="9"/>
        <v>216.85967365967369</v>
      </c>
    </row>
    <row r="27" spans="1:16" x14ac:dyDescent="0.3">
      <c r="A27" s="26" t="str">
        <v>C0026</v>
      </c>
      <c r="B27" s="26">
        <f>_xlfn.DAYS(DATE(2024,12,31),_xlfn.MAXIFS(ecommerce_transactions!$D$2:$D$9999, ecommerce_transactions!$B$2:$B$9999, A27))</f>
        <v>15</v>
      </c>
      <c r="C27" s="26">
        <f>COUNTIF(ecommerce_transactions!B:B,main_data!A27)</f>
        <v>11</v>
      </c>
      <c r="D27" s="35">
        <f>SUMIF(ecommerce_transactions!B:B,main_data!A27,ecommerce_transactions!E:E)</f>
        <v>2297.59</v>
      </c>
      <c r="E27" s="28">
        <f t="shared" si="1"/>
        <v>4</v>
      </c>
      <c r="F27" s="28">
        <f t="shared" si="2"/>
        <v>4</v>
      </c>
      <c r="G27" s="26">
        <f t="shared" si="3"/>
        <v>4</v>
      </c>
      <c r="H27" s="18" t="str">
        <f t="shared" si="4"/>
        <v>444</v>
      </c>
      <c r="I27" s="26" t="str">
        <f t="shared" si="5"/>
        <v>Champions</v>
      </c>
      <c r="J27" s="17">
        <f t="shared" si="6"/>
        <v>208.87181818181818</v>
      </c>
      <c r="K27" s="36">
        <f>_xlfn.MAXIFS(ecommerce_transactions!D:D,ecommerce_transactions!B:B,main_data!A27)</f>
        <v>45642</v>
      </c>
      <c r="L27" s="36">
        <f>_xlfn.MINIFS(ecommerce_transactions!D:D,ecommerce_transactions!B:B,main_data!A27)</f>
        <v>45624</v>
      </c>
      <c r="M27" s="19">
        <f t="shared" si="7"/>
        <v>4.9281314168377825E-2</v>
      </c>
      <c r="N27" s="19">
        <f t="shared" si="0"/>
        <v>20.026168224299067</v>
      </c>
      <c r="O27" s="17">
        <f t="shared" si="8"/>
        <v>206.13891588785049</v>
      </c>
      <c r="P27" s="17">
        <f t="shared" si="9"/>
        <v>61.84167476635514</v>
      </c>
    </row>
    <row r="28" spans="1:16" x14ac:dyDescent="0.3">
      <c r="A28" s="26" t="str">
        <v>C0027</v>
      </c>
      <c r="B28" s="26">
        <f>_xlfn.DAYS(DATE(2024,12,31),_xlfn.MAXIFS(ecommerce_transactions!$D$2:$D$9999, ecommerce_transactions!$B$2:$B$9999, A28))</f>
        <v>177</v>
      </c>
      <c r="C28" s="26">
        <f>COUNTIF(ecommerce_transactions!B:B,main_data!A28)</f>
        <v>3</v>
      </c>
      <c r="D28" s="35">
        <f>SUMIF(ecommerce_transactions!B:B,main_data!A28,ecommerce_transactions!E:E)</f>
        <v>1145.43</v>
      </c>
      <c r="E28" s="28">
        <f t="shared" si="1"/>
        <v>1</v>
      </c>
      <c r="F28" s="28">
        <f t="shared" si="2"/>
        <v>1</v>
      </c>
      <c r="G28" s="26">
        <f t="shared" si="3"/>
        <v>2</v>
      </c>
      <c r="H28" s="18" t="str">
        <f t="shared" si="4"/>
        <v>112</v>
      </c>
      <c r="I28" s="26" t="str">
        <f t="shared" si="5"/>
        <v>About to Sleep</v>
      </c>
      <c r="J28" s="17">
        <f t="shared" si="6"/>
        <v>381.81</v>
      </c>
      <c r="K28" s="36">
        <f>_xlfn.MAXIFS(ecommerce_transactions!D:D,ecommerce_transactions!B:B,main_data!A28)</f>
        <v>45480</v>
      </c>
      <c r="L28" s="36">
        <f>_xlfn.MINIFS(ecommerce_transactions!D:D,ecommerce_transactions!B:B,main_data!A28)</f>
        <v>45116</v>
      </c>
      <c r="M28" s="19">
        <f t="shared" si="7"/>
        <v>0.99657768651608492</v>
      </c>
      <c r="N28" s="19">
        <f t="shared" si="0"/>
        <v>2.0045735193231189</v>
      </c>
      <c r="O28" s="17">
        <f t="shared" si="8"/>
        <v>762.74689229361991</v>
      </c>
      <c r="P28" s="17">
        <f t="shared" si="9"/>
        <v>228.82406768808596</v>
      </c>
    </row>
    <row r="29" spans="1:16" x14ac:dyDescent="0.3">
      <c r="A29" s="26" t="str">
        <v>C0028</v>
      </c>
      <c r="B29" s="26">
        <f>_xlfn.DAYS(DATE(2024,12,31),_xlfn.MAXIFS(ecommerce_transactions!$D$2:$D$9999, ecommerce_transactions!$B$2:$B$9999, A29))</f>
        <v>194</v>
      </c>
      <c r="C29" s="26">
        <f>COUNTIF(ecommerce_transactions!B:B,main_data!A29)</f>
        <v>3</v>
      </c>
      <c r="D29" s="35">
        <f>SUMIF(ecommerce_transactions!B:B,main_data!A29,ecommerce_transactions!E:E)</f>
        <v>843.83999999999992</v>
      </c>
      <c r="E29" s="28">
        <f t="shared" si="1"/>
        <v>1</v>
      </c>
      <c r="F29" s="28">
        <f t="shared" si="2"/>
        <v>1</v>
      </c>
      <c r="G29" s="26">
        <f t="shared" si="3"/>
        <v>1</v>
      </c>
      <c r="H29" s="18" t="str">
        <f t="shared" si="4"/>
        <v>111</v>
      </c>
      <c r="I29" s="26" t="str">
        <f t="shared" si="5"/>
        <v>About to Sleep</v>
      </c>
      <c r="J29" s="17">
        <f t="shared" si="6"/>
        <v>281.27999999999997</v>
      </c>
      <c r="K29" s="36">
        <f>_xlfn.MAXIFS(ecommerce_transactions!D:D,ecommerce_transactions!B:B,main_data!A29)</f>
        <v>45463</v>
      </c>
      <c r="L29" s="36">
        <f>_xlfn.MINIFS(ecommerce_transactions!D:D,ecommerce_transactions!B:B,main_data!A29)</f>
        <v>45384</v>
      </c>
      <c r="M29" s="19">
        <f t="shared" si="7"/>
        <v>0.216290212183436</v>
      </c>
      <c r="N29" s="19">
        <f t="shared" si="0"/>
        <v>4.1882465360726231</v>
      </c>
      <c r="O29" s="17">
        <f t="shared" si="8"/>
        <v>254.80500716674629</v>
      </c>
      <c r="P29" s="17">
        <f t="shared" si="9"/>
        <v>76.441502150023879</v>
      </c>
    </row>
    <row r="30" spans="1:16" x14ac:dyDescent="0.3">
      <c r="A30" s="26" t="str">
        <v>C0029</v>
      </c>
      <c r="B30" s="26">
        <f>_xlfn.DAYS(DATE(2024,12,31),_xlfn.MAXIFS(ecommerce_transactions!$D$2:$D$9999, ecommerce_transactions!$B$2:$B$9999, A30))</f>
        <v>2</v>
      </c>
      <c r="C30" s="26">
        <f>COUNTIF(ecommerce_transactions!B:B,main_data!A30)</f>
        <v>5</v>
      </c>
      <c r="D30" s="35">
        <f>SUMIF(ecommerce_transactions!B:B,main_data!A30,ecommerce_transactions!E:E)</f>
        <v>1738.1399999999999</v>
      </c>
      <c r="E30" s="28">
        <f t="shared" si="1"/>
        <v>5</v>
      </c>
      <c r="F30" s="28">
        <f t="shared" si="2"/>
        <v>2</v>
      </c>
      <c r="G30" s="26">
        <f t="shared" si="3"/>
        <v>3</v>
      </c>
      <c r="H30" s="18" t="str">
        <f t="shared" si="4"/>
        <v>523</v>
      </c>
      <c r="I30" s="26" t="str">
        <f t="shared" si="5"/>
        <v>New Customers</v>
      </c>
      <c r="J30" s="17">
        <f t="shared" si="6"/>
        <v>347.62799999999999</v>
      </c>
      <c r="K30" s="36">
        <f>_xlfn.MAXIFS(ecommerce_transactions!D:D,ecommerce_transactions!B:B,main_data!A30)</f>
        <v>45655</v>
      </c>
      <c r="L30" s="36">
        <f>_xlfn.MINIFS(ecommerce_transactions!D:D,ecommerce_transactions!B:B,main_data!A30)</f>
        <v>45626</v>
      </c>
      <c r="M30" s="19">
        <f t="shared" si="7"/>
        <v>7.939767282683094E-2</v>
      </c>
      <c r="N30" s="19">
        <f t="shared" si="0"/>
        <v>8.6296515062020074</v>
      </c>
      <c r="O30" s="17">
        <f t="shared" si="8"/>
        <v>238.18575310100411</v>
      </c>
      <c r="P30" s="17">
        <f t="shared" si="9"/>
        <v>71.455725930301227</v>
      </c>
    </row>
    <row r="31" spans="1:16" x14ac:dyDescent="0.3">
      <c r="A31" s="26" t="str">
        <v>C0030</v>
      </c>
      <c r="B31" s="26">
        <f>_xlfn.DAYS(DATE(2024,12,31),_xlfn.MAXIFS(ecommerce_transactions!$D$2:$D$9999, ecommerce_transactions!$B$2:$B$9999, A31))</f>
        <v>67</v>
      </c>
      <c r="C31" s="26">
        <f>COUNTIF(ecommerce_transactions!B:B,main_data!A31)</f>
        <v>5</v>
      </c>
      <c r="D31" s="35">
        <f>SUMIF(ecommerce_transactions!B:B,main_data!A31,ecommerce_transactions!E:E)</f>
        <v>1859.22</v>
      </c>
      <c r="E31" s="28">
        <f t="shared" si="1"/>
        <v>2</v>
      </c>
      <c r="F31" s="28">
        <f t="shared" si="2"/>
        <v>2</v>
      </c>
      <c r="G31" s="26">
        <f t="shared" si="3"/>
        <v>3</v>
      </c>
      <c r="H31" s="18" t="str">
        <f t="shared" si="4"/>
        <v>223</v>
      </c>
      <c r="I31" s="26" t="str">
        <f t="shared" si="5"/>
        <v>About to Sleep</v>
      </c>
      <c r="J31" s="17">
        <f t="shared" si="6"/>
        <v>371.84399999999999</v>
      </c>
      <c r="K31" s="36">
        <f>_xlfn.MAXIFS(ecommerce_transactions!D:D,ecommerce_transactions!B:B,main_data!A31)</f>
        <v>45590</v>
      </c>
      <c r="L31" s="36">
        <f>_xlfn.MINIFS(ecommerce_transactions!D:D,ecommerce_transactions!B:B,main_data!A31)</f>
        <v>45115</v>
      </c>
      <c r="M31" s="19">
        <f t="shared" si="7"/>
        <v>1.3004791238877482</v>
      </c>
      <c r="N31" s="19">
        <f t="shared" si="0"/>
        <v>2.7770385858201863</v>
      </c>
      <c r="O31" s="17">
        <f t="shared" si="8"/>
        <v>1342.9074320471393</v>
      </c>
      <c r="P31" s="17">
        <f t="shared" si="9"/>
        <v>402.87222961414176</v>
      </c>
    </row>
    <row r="32" spans="1:16" x14ac:dyDescent="0.3">
      <c r="A32" s="26" t="str">
        <v>C0031</v>
      </c>
      <c r="B32" s="26">
        <f>_xlfn.DAYS(DATE(2024,12,31),_xlfn.MAXIFS(ecommerce_transactions!$D$2:$D$9999, ecommerce_transactions!$B$2:$B$9999, A32))</f>
        <v>25</v>
      </c>
      <c r="C32" s="26">
        <f>COUNTIF(ecommerce_transactions!B:B,main_data!A32)</f>
        <v>11</v>
      </c>
      <c r="D32" s="35">
        <f>SUMIF(ecommerce_transactions!B:B,main_data!A32,ecommerce_transactions!E:E)</f>
        <v>2984.16</v>
      </c>
      <c r="E32" s="28">
        <f t="shared" si="1"/>
        <v>3</v>
      </c>
      <c r="F32" s="28">
        <f t="shared" si="2"/>
        <v>4</v>
      </c>
      <c r="G32" s="26">
        <f t="shared" si="3"/>
        <v>4</v>
      </c>
      <c r="H32" s="18" t="str">
        <f t="shared" si="4"/>
        <v>344</v>
      </c>
      <c r="I32" s="26" t="str">
        <f t="shared" si="5"/>
        <v>Loyal Customers</v>
      </c>
      <c r="J32" s="17">
        <f t="shared" si="6"/>
        <v>271.28727272727269</v>
      </c>
      <c r="K32" s="36">
        <f>_xlfn.MAXIFS(ecommerce_transactions!D:D,ecommerce_transactions!B:B,main_data!A32)</f>
        <v>45632</v>
      </c>
      <c r="L32" s="36">
        <f>_xlfn.MINIFS(ecommerce_transactions!D:D,ecommerce_transactions!B:B,main_data!A32)</f>
        <v>45343</v>
      </c>
      <c r="M32" s="19">
        <f t="shared" si="7"/>
        <v>0.79123887748117727</v>
      </c>
      <c r="N32" s="19">
        <f t="shared" si="0"/>
        <v>8.518950437317784</v>
      </c>
      <c r="O32" s="17">
        <f t="shared" si="8"/>
        <v>1828.6185846806254</v>
      </c>
      <c r="P32" s="17">
        <f t="shared" si="9"/>
        <v>548.58557540418758</v>
      </c>
    </row>
    <row r="33" spans="1:16" x14ac:dyDescent="0.3">
      <c r="A33" s="26" t="str">
        <v>C0032</v>
      </c>
      <c r="B33" s="26">
        <f>_xlfn.DAYS(DATE(2024,12,31),_xlfn.MAXIFS(ecommerce_transactions!$D$2:$D$9999, ecommerce_transactions!$B$2:$B$9999, A33))</f>
        <v>8</v>
      </c>
      <c r="C33" s="26">
        <f>COUNTIF(ecommerce_transactions!B:B,main_data!A33)</f>
        <v>12</v>
      </c>
      <c r="D33" s="35">
        <f>SUMIF(ecommerce_transactions!B:B,main_data!A33,ecommerce_transactions!E:E)</f>
        <v>2775.07</v>
      </c>
      <c r="E33" s="28">
        <f t="shared" si="1"/>
        <v>4</v>
      </c>
      <c r="F33" s="28">
        <f t="shared" si="2"/>
        <v>5</v>
      </c>
      <c r="G33" s="26">
        <f t="shared" si="3"/>
        <v>4</v>
      </c>
      <c r="H33" s="18" t="str">
        <f t="shared" si="4"/>
        <v>454</v>
      </c>
      <c r="I33" s="26" t="str">
        <f t="shared" si="5"/>
        <v>Champions</v>
      </c>
      <c r="J33" s="17">
        <f t="shared" si="6"/>
        <v>231.25583333333336</v>
      </c>
      <c r="K33" s="36">
        <f>_xlfn.MAXIFS(ecommerce_transactions!D:D,ecommerce_transactions!B:B,main_data!A33)</f>
        <v>45649</v>
      </c>
      <c r="L33" s="36">
        <f>_xlfn.MINIFS(ecommerce_transactions!D:D,ecommerce_transactions!B:B,main_data!A33)</f>
        <v>45346</v>
      </c>
      <c r="M33" s="19">
        <f t="shared" si="7"/>
        <v>0.82956878850102667</v>
      </c>
      <c r="N33" s="19">
        <f t="shared" si="0"/>
        <v>9.0254826254826241</v>
      </c>
      <c r="O33" s="17">
        <f t="shared" si="8"/>
        <v>1731.4722471042469</v>
      </c>
      <c r="P33" s="17">
        <f t="shared" si="9"/>
        <v>519.441674131274</v>
      </c>
    </row>
    <row r="34" spans="1:16" x14ac:dyDescent="0.3">
      <c r="A34" s="26" t="str">
        <v>C0033</v>
      </c>
      <c r="B34" s="26">
        <f>_xlfn.DAYS(DATE(2024,12,31),_xlfn.MAXIFS(ecommerce_transactions!$D$2:$D$9999, ecommerce_transactions!$B$2:$B$9999, A34))</f>
        <v>27</v>
      </c>
      <c r="C34" s="26">
        <f>COUNTIF(ecommerce_transactions!B:B,main_data!A34)</f>
        <v>12</v>
      </c>
      <c r="D34" s="35">
        <f>SUMIF(ecommerce_transactions!B:B,main_data!A34,ecommerce_transactions!E:E)</f>
        <v>2786.1399999999994</v>
      </c>
      <c r="E34" s="28">
        <f t="shared" si="1"/>
        <v>3</v>
      </c>
      <c r="F34" s="28">
        <f t="shared" si="2"/>
        <v>5</v>
      </c>
      <c r="G34" s="26">
        <f t="shared" si="3"/>
        <v>4</v>
      </c>
      <c r="H34" s="18" t="str">
        <f t="shared" si="4"/>
        <v>354</v>
      </c>
      <c r="I34" s="26" t="str">
        <f t="shared" si="5"/>
        <v>Loyal Customers</v>
      </c>
      <c r="J34" s="17">
        <f t="shared" si="6"/>
        <v>232.17833333333328</v>
      </c>
      <c r="K34" s="36">
        <f>_xlfn.MAXIFS(ecommerce_transactions!D:D,ecommerce_transactions!B:B,main_data!A34)</f>
        <v>45630</v>
      </c>
      <c r="L34" s="36">
        <f>_xlfn.MINIFS(ecommerce_transactions!D:D,ecommerce_transactions!B:B,main_data!A34)</f>
        <v>45449</v>
      </c>
      <c r="M34" s="19">
        <f t="shared" si="7"/>
        <v>0.49555099247091033</v>
      </c>
      <c r="N34" s="19">
        <f t="shared" si="0"/>
        <v>12.05362667583362</v>
      </c>
      <c r="O34" s="17">
        <f t="shared" si="8"/>
        <v>1386.8445238913712</v>
      </c>
      <c r="P34" s="17">
        <f t="shared" si="9"/>
        <v>416.05335716741132</v>
      </c>
    </row>
    <row r="35" spans="1:16" x14ac:dyDescent="0.3">
      <c r="A35" s="26" t="str">
        <v>C0034</v>
      </c>
      <c r="B35" s="26">
        <f>_xlfn.DAYS(DATE(2024,12,31),_xlfn.MAXIFS(ecommerce_transactions!$D$2:$D$9999, ecommerce_transactions!$B$2:$B$9999, A35))</f>
        <v>70</v>
      </c>
      <c r="C35" s="26">
        <f>COUNTIF(ecommerce_transactions!B:B,main_data!A35)</f>
        <v>15</v>
      </c>
      <c r="D35" s="35">
        <f>SUMIF(ecommerce_transactions!B:B,main_data!A35,ecommerce_transactions!E:E)</f>
        <v>4334.99</v>
      </c>
      <c r="E35" s="28">
        <f t="shared" si="1"/>
        <v>2</v>
      </c>
      <c r="F35" s="28">
        <f t="shared" si="2"/>
        <v>5</v>
      </c>
      <c r="G35" s="26">
        <f t="shared" si="3"/>
        <v>5</v>
      </c>
      <c r="H35" s="18" t="str">
        <f t="shared" si="4"/>
        <v>255</v>
      </c>
      <c r="I35" s="26" t="str">
        <f t="shared" si="5"/>
        <v>At Risk</v>
      </c>
      <c r="J35" s="17">
        <f t="shared" si="6"/>
        <v>288.99933333333331</v>
      </c>
      <c r="K35" s="36">
        <f>_xlfn.MAXIFS(ecommerce_transactions!D:D,ecommerce_transactions!B:B,main_data!A35)</f>
        <v>45587</v>
      </c>
      <c r="L35" s="36">
        <f>_xlfn.MINIFS(ecommerce_transactions!D:D,ecommerce_transactions!B:B,main_data!A35)</f>
        <v>44990</v>
      </c>
      <c r="M35" s="19">
        <f t="shared" si="7"/>
        <v>1.6344969199178645</v>
      </c>
      <c r="N35" s="19">
        <f t="shared" si="0"/>
        <v>7.0274170274170276</v>
      </c>
      <c r="O35" s="17">
        <f t="shared" si="8"/>
        <v>3319.5305820105818</v>
      </c>
      <c r="P35" s="17">
        <f t="shared" si="9"/>
        <v>995.85917460317455</v>
      </c>
    </row>
    <row r="36" spans="1:16" x14ac:dyDescent="0.3">
      <c r="A36" s="26" t="str">
        <v>C0035</v>
      </c>
      <c r="B36" s="26">
        <f>_xlfn.DAYS(DATE(2024,12,31),_xlfn.MAXIFS(ecommerce_transactions!$D$2:$D$9999, ecommerce_transactions!$B$2:$B$9999, A36))</f>
        <v>24</v>
      </c>
      <c r="C36" s="26">
        <f>COUNTIF(ecommerce_transactions!B:B,main_data!A36)</f>
        <v>12</v>
      </c>
      <c r="D36" s="35">
        <f>SUMIF(ecommerce_transactions!B:B,main_data!A36,ecommerce_transactions!E:E)</f>
        <v>2198.5100000000002</v>
      </c>
      <c r="E36" s="28">
        <f t="shared" si="1"/>
        <v>3</v>
      </c>
      <c r="F36" s="28">
        <f t="shared" si="2"/>
        <v>5</v>
      </c>
      <c r="G36" s="26">
        <f t="shared" si="3"/>
        <v>3</v>
      </c>
      <c r="H36" s="18" t="str">
        <f t="shared" si="4"/>
        <v>353</v>
      </c>
      <c r="I36" s="26" t="str">
        <f t="shared" si="5"/>
        <v>Loyal Customers</v>
      </c>
      <c r="J36" s="17">
        <f t="shared" si="6"/>
        <v>183.20916666666668</v>
      </c>
      <c r="K36" s="36">
        <f>_xlfn.MAXIFS(ecommerce_transactions!D:D,ecommerce_transactions!B:B,main_data!A36)</f>
        <v>45633</v>
      </c>
      <c r="L36" s="36">
        <f>_xlfn.MINIFS(ecommerce_transactions!D:D,ecommerce_transactions!B:B,main_data!A36)</f>
        <v>45156</v>
      </c>
      <c r="M36" s="19">
        <f t="shared" si="7"/>
        <v>1.3059548254620124</v>
      </c>
      <c r="N36" s="19">
        <f t="shared" si="0"/>
        <v>6.6446844798180784</v>
      </c>
      <c r="O36" s="17">
        <f t="shared" si="8"/>
        <v>1589.8264468447983</v>
      </c>
      <c r="P36" s="17">
        <f t="shared" si="9"/>
        <v>476.94793405343944</v>
      </c>
    </row>
    <row r="37" spans="1:16" x14ac:dyDescent="0.3">
      <c r="A37" s="26" t="str">
        <v>C0036</v>
      </c>
      <c r="B37" s="26">
        <f>_xlfn.DAYS(DATE(2024,12,31),_xlfn.MAXIFS(ecommerce_transactions!$D$2:$D$9999, ecommerce_transactions!$B$2:$B$9999, A37))</f>
        <v>9</v>
      </c>
      <c r="C37" s="26">
        <f>COUNTIF(ecommerce_transactions!B:B,main_data!A37)</f>
        <v>5</v>
      </c>
      <c r="D37" s="35">
        <f>SUMIF(ecommerce_transactions!B:B,main_data!A37,ecommerce_transactions!E:E)</f>
        <v>1192.31</v>
      </c>
      <c r="E37" s="28">
        <f t="shared" si="1"/>
        <v>4</v>
      </c>
      <c r="F37" s="28">
        <f t="shared" si="2"/>
        <v>2</v>
      </c>
      <c r="G37" s="26">
        <f t="shared" si="3"/>
        <v>2</v>
      </c>
      <c r="H37" s="18" t="str">
        <f t="shared" si="4"/>
        <v>422</v>
      </c>
      <c r="I37" s="26" t="str">
        <f t="shared" si="5"/>
        <v>New Customers</v>
      </c>
      <c r="J37" s="17">
        <f t="shared" si="6"/>
        <v>238.46199999999999</v>
      </c>
      <c r="K37" s="36">
        <f>_xlfn.MAXIFS(ecommerce_transactions!D:D,ecommerce_transactions!B:B,main_data!A37)</f>
        <v>45648</v>
      </c>
      <c r="L37" s="36">
        <f>_xlfn.MINIFS(ecommerce_transactions!D:D,ecommerce_transactions!B:B,main_data!A37)</f>
        <v>45201</v>
      </c>
      <c r="M37" s="19">
        <f t="shared" si="7"/>
        <v>1.2238193018480492</v>
      </c>
      <c r="N37" s="19">
        <f t="shared" si="0"/>
        <v>2.9005360333531867</v>
      </c>
      <c r="O37" s="17">
        <f t="shared" si="8"/>
        <v>846.4761882072662</v>
      </c>
      <c r="P37" s="17">
        <f t="shared" si="9"/>
        <v>253.94285646217986</v>
      </c>
    </row>
    <row r="38" spans="1:16" x14ac:dyDescent="0.3">
      <c r="A38" s="26" t="str">
        <v>C0037</v>
      </c>
      <c r="B38" s="26">
        <f>_xlfn.DAYS(DATE(2024,12,31),_xlfn.MAXIFS(ecommerce_transactions!$D$2:$D$9999, ecommerce_transactions!$B$2:$B$9999, A38))</f>
        <v>62</v>
      </c>
      <c r="C38" s="26">
        <f>COUNTIF(ecommerce_transactions!B:B,main_data!A38)</f>
        <v>4</v>
      </c>
      <c r="D38" s="35">
        <f>SUMIF(ecommerce_transactions!B:B,main_data!A38,ecommerce_transactions!E:E)</f>
        <v>1144.56</v>
      </c>
      <c r="E38" s="28">
        <f t="shared" si="1"/>
        <v>2</v>
      </c>
      <c r="F38" s="28">
        <f t="shared" si="2"/>
        <v>2</v>
      </c>
      <c r="G38" s="26">
        <f t="shared" si="3"/>
        <v>2</v>
      </c>
      <c r="H38" s="18" t="str">
        <f t="shared" si="4"/>
        <v>222</v>
      </c>
      <c r="I38" s="26" t="str">
        <f t="shared" si="5"/>
        <v>About to Sleep</v>
      </c>
      <c r="J38" s="17">
        <f t="shared" si="6"/>
        <v>286.14</v>
      </c>
      <c r="K38" s="36">
        <f>_xlfn.MAXIFS(ecommerce_transactions!D:D,ecommerce_transactions!B:B,main_data!A38)</f>
        <v>45595</v>
      </c>
      <c r="L38" s="36">
        <f>_xlfn.MINIFS(ecommerce_transactions!D:D,ecommerce_transactions!B:B,main_data!A38)</f>
        <v>45553</v>
      </c>
      <c r="M38" s="19">
        <f t="shared" si="7"/>
        <v>0.11498973305954825</v>
      </c>
      <c r="N38" s="19">
        <f t="shared" si="0"/>
        <v>6.5041736227045073</v>
      </c>
      <c r="O38" s="17">
        <f t="shared" si="8"/>
        <v>214.00787979966609</v>
      </c>
      <c r="P38" s="17">
        <f t="shared" si="9"/>
        <v>64.202363939899826</v>
      </c>
    </row>
    <row r="39" spans="1:16" x14ac:dyDescent="0.3">
      <c r="A39" s="26" t="str">
        <v>C0038</v>
      </c>
      <c r="B39" s="26">
        <f>_xlfn.DAYS(DATE(2024,12,31),_xlfn.MAXIFS(ecommerce_transactions!$D$2:$D$9999, ecommerce_transactions!$B$2:$B$9999, A39))</f>
        <v>77</v>
      </c>
      <c r="C39" s="26">
        <f>COUNTIF(ecommerce_transactions!B:B,main_data!A39)</f>
        <v>2</v>
      </c>
      <c r="D39" s="35">
        <f>SUMIF(ecommerce_transactions!B:B,main_data!A39,ecommerce_transactions!E:E)</f>
        <v>609.19000000000005</v>
      </c>
      <c r="E39" s="28">
        <f t="shared" si="1"/>
        <v>2</v>
      </c>
      <c r="F39" s="28">
        <f t="shared" si="2"/>
        <v>1</v>
      </c>
      <c r="G39" s="26">
        <f t="shared" si="3"/>
        <v>1</v>
      </c>
      <c r="H39" s="18" t="str">
        <f t="shared" si="4"/>
        <v>211</v>
      </c>
      <c r="I39" s="26" t="str">
        <f t="shared" si="5"/>
        <v>About to Sleep</v>
      </c>
      <c r="J39" s="17">
        <f t="shared" si="6"/>
        <v>304.59500000000003</v>
      </c>
      <c r="K39" s="36">
        <f>_xlfn.MAXIFS(ecommerce_transactions!D:D,ecommerce_transactions!B:B,main_data!A39)</f>
        <v>45580</v>
      </c>
      <c r="L39" s="36">
        <f>_xlfn.MINIFS(ecommerce_transactions!D:D,ecommerce_transactions!B:B,main_data!A39)</f>
        <v>45466</v>
      </c>
      <c r="M39" s="19">
        <f t="shared" si="7"/>
        <v>0.31211498973305957</v>
      </c>
      <c r="N39" s="19">
        <f t="shared" si="0"/>
        <v>2.4627054361567637</v>
      </c>
      <c r="O39" s="17">
        <f t="shared" si="8"/>
        <v>234.12611883691537</v>
      </c>
      <c r="P39" s="17">
        <f t="shared" si="9"/>
        <v>70.237835651074604</v>
      </c>
    </row>
    <row r="40" spans="1:16" x14ac:dyDescent="0.3">
      <c r="A40" s="26" t="str">
        <v>C0039</v>
      </c>
      <c r="B40" s="26">
        <f>_xlfn.DAYS(DATE(2024,12,31),_xlfn.MAXIFS(ecommerce_transactions!$D$2:$D$9999, ecommerce_transactions!$B$2:$B$9999, A40))</f>
        <v>33</v>
      </c>
      <c r="C40" s="26">
        <f>COUNTIF(ecommerce_transactions!B:B,main_data!A40)</f>
        <v>11</v>
      </c>
      <c r="D40" s="35">
        <f>SUMIF(ecommerce_transactions!B:B,main_data!A40,ecommerce_transactions!E:E)</f>
        <v>2904.8799999999997</v>
      </c>
      <c r="E40" s="28">
        <f t="shared" si="1"/>
        <v>3</v>
      </c>
      <c r="F40" s="28">
        <f t="shared" si="2"/>
        <v>4</v>
      </c>
      <c r="G40" s="26">
        <f t="shared" si="3"/>
        <v>4</v>
      </c>
      <c r="H40" s="18" t="str">
        <f t="shared" si="4"/>
        <v>344</v>
      </c>
      <c r="I40" s="26" t="str">
        <f t="shared" si="5"/>
        <v>Loyal Customers</v>
      </c>
      <c r="J40" s="17">
        <f t="shared" si="6"/>
        <v>264.08</v>
      </c>
      <c r="K40" s="36">
        <f>_xlfn.MAXIFS(ecommerce_transactions!D:D,ecommerce_transactions!B:B,main_data!A40)</f>
        <v>45624</v>
      </c>
      <c r="L40" s="36">
        <f>_xlfn.MINIFS(ecommerce_transactions!D:D,ecommerce_transactions!B:B,main_data!A40)</f>
        <v>45023</v>
      </c>
      <c r="M40" s="19">
        <f t="shared" si="7"/>
        <v>1.6454483230663928</v>
      </c>
      <c r="N40" s="19">
        <f t="shared" si="0"/>
        <v>5.1271335141170846</v>
      </c>
      <c r="O40" s="17">
        <f t="shared" si="8"/>
        <v>2227.8932907959802</v>
      </c>
      <c r="P40" s="17">
        <f t="shared" si="9"/>
        <v>668.36798723879406</v>
      </c>
    </row>
    <row r="41" spans="1:16" x14ac:dyDescent="0.3">
      <c r="A41" s="26" t="str">
        <v>C0040</v>
      </c>
      <c r="B41" s="26">
        <f>_xlfn.DAYS(DATE(2024,12,31),_xlfn.MAXIFS(ecommerce_transactions!$D$2:$D$9999, ecommerce_transactions!$B$2:$B$9999, A41))</f>
        <v>72</v>
      </c>
      <c r="C41" s="26">
        <f>COUNTIF(ecommerce_transactions!B:B,main_data!A41)</f>
        <v>5</v>
      </c>
      <c r="D41" s="35">
        <f>SUMIF(ecommerce_transactions!B:B,main_data!A41,ecommerce_transactions!E:E)</f>
        <v>1245.0700000000002</v>
      </c>
      <c r="E41" s="28">
        <f t="shared" si="1"/>
        <v>2</v>
      </c>
      <c r="F41" s="28">
        <f t="shared" si="2"/>
        <v>2</v>
      </c>
      <c r="G41" s="26">
        <f t="shared" si="3"/>
        <v>2</v>
      </c>
      <c r="H41" s="18" t="str">
        <f t="shared" si="4"/>
        <v>222</v>
      </c>
      <c r="I41" s="26" t="str">
        <f t="shared" si="5"/>
        <v>About to Sleep</v>
      </c>
      <c r="J41" s="17">
        <f t="shared" si="6"/>
        <v>249.01400000000004</v>
      </c>
      <c r="K41" s="36">
        <f>_xlfn.MAXIFS(ecommerce_transactions!D:D,ecommerce_transactions!B:B,main_data!A41)</f>
        <v>45585</v>
      </c>
      <c r="L41" s="36">
        <f>_xlfn.MINIFS(ecommerce_transactions!D:D,ecommerce_transactions!B:B,main_data!A41)</f>
        <v>45206</v>
      </c>
      <c r="M41" s="19">
        <f t="shared" si="7"/>
        <v>1.0376454483230664</v>
      </c>
      <c r="N41" s="19">
        <f t="shared" si="0"/>
        <v>3.251724905408413</v>
      </c>
      <c r="O41" s="17">
        <f t="shared" si="8"/>
        <v>840.20748720231472</v>
      </c>
      <c r="P41" s="17">
        <f t="shared" si="9"/>
        <v>252.0622461606944</v>
      </c>
    </row>
    <row r="42" spans="1:16" x14ac:dyDescent="0.3">
      <c r="A42" s="26" t="str">
        <v>C0041</v>
      </c>
      <c r="B42" s="26">
        <f>_xlfn.DAYS(DATE(2024,12,31),_xlfn.MAXIFS(ecommerce_transactions!$D$2:$D$9999, ecommerce_transactions!$B$2:$B$9999, A42))</f>
        <v>29</v>
      </c>
      <c r="C42" s="26">
        <f>COUNTIF(ecommerce_transactions!B:B,main_data!A42)</f>
        <v>10</v>
      </c>
      <c r="D42" s="35">
        <f>SUMIF(ecommerce_transactions!B:B,main_data!A42,ecommerce_transactions!E:E)</f>
        <v>2391.6</v>
      </c>
      <c r="E42" s="28">
        <f t="shared" si="1"/>
        <v>3</v>
      </c>
      <c r="F42" s="28">
        <f t="shared" si="2"/>
        <v>4</v>
      </c>
      <c r="G42" s="26">
        <f t="shared" si="3"/>
        <v>4</v>
      </c>
      <c r="H42" s="18" t="str">
        <f t="shared" si="4"/>
        <v>344</v>
      </c>
      <c r="I42" s="26" t="str">
        <f t="shared" si="5"/>
        <v>Loyal Customers</v>
      </c>
      <c r="J42" s="17">
        <f t="shared" si="6"/>
        <v>239.16</v>
      </c>
      <c r="K42" s="36">
        <f>_xlfn.MAXIFS(ecommerce_transactions!D:D,ecommerce_transactions!B:B,main_data!A42)</f>
        <v>45628</v>
      </c>
      <c r="L42" s="36">
        <f>_xlfn.MINIFS(ecommerce_transactions!D:D,ecommerce_transactions!B:B,main_data!A42)</f>
        <v>45462</v>
      </c>
      <c r="M42" s="19">
        <f t="shared" si="7"/>
        <v>0.45448323066392882</v>
      </c>
      <c r="N42" s="19">
        <f t="shared" si="0"/>
        <v>10.476873431337397</v>
      </c>
      <c r="O42" s="17">
        <f t="shared" si="8"/>
        <v>1138.7754750806741</v>
      </c>
      <c r="P42" s="17">
        <f t="shared" si="9"/>
        <v>341.63264252420225</v>
      </c>
    </row>
    <row r="43" spans="1:16" x14ac:dyDescent="0.3">
      <c r="A43" s="26" t="str">
        <v>C0042</v>
      </c>
      <c r="B43" s="26">
        <f>_xlfn.DAYS(DATE(2024,12,31),_xlfn.MAXIFS(ecommerce_transactions!$D$2:$D$9999, ecommerce_transactions!$B$2:$B$9999, A43))</f>
        <v>716</v>
      </c>
      <c r="C43" s="26">
        <f>COUNTIF(ecommerce_transactions!B:B,main_data!A43)</f>
        <v>1</v>
      </c>
      <c r="D43" s="35">
        <f>SUMIF(ecommerce_transactions!B:B,main_data!A43,ecommerce_transactions!E:E)</f>
        <v>238.98</v>
      </c>
      <c r="E43" s="28">
        <f t="shared" si="1"/>
        <v>1</v>
      </c>
      <c r="F43" s="28">
        <f t="shared" si="2"/>
        <v>1</v>
      </c>
      <c r="G43" s="26">
        <f t="shared" si="3"/>
        <v>1</v>
      </c>
      <c r="H43" s="18" t="str">
        <f t="shared" si="4"/>
        <v>111</v>
      </c>
      <c r="I43" s="26" t="str">
        <f t="shared" si="5"/>
        <v>About to Sleep</v>
      </c>
      <c r="J43" s="17">
        <f t="shared" si="6"/>
        <v>238.98</v>
      </c>
      <c r="K43" s="36">
        <f>_xlfn.MAXIFS(ecommerce_transactions!D:D,ecommerce_transactions!B:B,main_data!A43)</f>
        <v>44941</v>
      </c>
      <c r="L43" s="36">
        <f>_xlfn.MINIFS(ecommerce_transactions!D:D,ecommerce_transactions!B:B,main_data!A43)</f>
        <v>44941</v>
      </c>
      <c r="M43" s="19">
        <f t="shared" si="7"/>
        <v>0</v>
      </c>
      <c r="N43" s="19">
        <f t="shared" si="0"/>
        <v>2</v>
      </c>
      <c r="O43" s="17">
        <f t="shared" si="8"/>
        <v>0</v>
      </c>
      <c r="P43" s="17">
        <f t="shared" si="9"/>
        <v>0</v>
      </c>
    </row>
    <row r="44" spans="1:16" x14ac:dyDescent="0.3">
      <c r="A44" s="26" t="str">
        <v>C0043</v>
      </c>
      <c r="B44" s="26">
        <f>_xlfn.DAYS(DATE(2024,12,31),_xlfn.MAXIFS(ecommerce_transactions!$D$2:$D$9999, ecommerce_transactions!$B$2:$B$9999, A44))</f>
        <v>5</v>
      </c>
      <c r="C44" s="26">
        <f>COUNTIF(ecommerce_transactions!B:B,main_data!A44)</f>
        <v>4</v>
      </c>
      <c r="D44" s="35">
        <f>SUMIF(ecommerce_transactions!B:B,main_data!A44,ecommerce_transactions!E:E)</f>
        <v>871.3</v>
      </c>
      <c r="E44" s="28">
        <f t="shared" si="1"/>
        <v>5</v>
      </c>
      <c r="F44" s="28">
        <f t="shared" si="2"/>
        <v>2</v>
      </c>
      <c r="G44" s="26">
        <f t="shared" si="3"/>
        <v>1</v>
      </c>
      <c r="H44" s="18" t="str">
        <f t="shared" si="4"/>
        <v>521</v>
      </c>
      <c r="I44" s="26" t="str">
        <f t="shared" si="5"/>
        <v>New Customers</v>
      </c>
      <c r="J44" s="17">
        <f t="shared" si="6"/>
        <v>217.82499999999999</v>
      </c>
      <c r="K44" s="36">
        <f>_xlfn.MAXIFS(ecommerce_transactions!D:D,ecommerce_transactions!B:B,main_data!A44)</f>
        <v>45652</v>
      </c>
      <c r="L44" s="36">
        <f>_xlfn.MINIFS(ecommerce_transactions!D:D,ecommerce_transactions!B:B,main_data!A44)</f>
        <v>45518</v>
      </c>
      <c r="M44" s="19">
        <f t="shared" si="7"/>
        <v>0.36687200547570159</v>
      </c>
      <c r="N44" s="19">
        <f t="shared" si="0"/>
        <v>4.6142913541255428</v>
      </c>
      <c r="O44" s="17">
        <f t="shared" si="8"/>
        <v>368.74599289380177</v>
      </c>
      <c r="P44" s="17">
        <f t="shared" si="9"/>
        <v>110.62379786814053</v>
      </c>
    </row>
    <row r="45" spans="1:16" x14ac:dyDescent="0.3">
      <c r="A45" s="26" t="str">
        <v>C0044</v>
      </c>
      <c r="B45" s="26">
        <f>_xlfn.DAYS(DATE(2024,12,31),_xlfn.MAXIFS(ecommerce_transactions!$D$2:$D$9999, ecommerce_transactions!$B$2:$B$9999, A45))</f>
        <v>5</v>
      </c>
      <c r="C45" s="26">
        <f>COUNTIF(ecommerce_transactions!B:B,main_data!A45)</f>
        <v>11</v>
      </c>
      <c r="D45" s="35">
        <f>SUMIF(ecommerce_transactions!B:B,main_data!A45,ecommerce_transactions!E:E)</f>
        <v>2891.5199999999995</v>
      </c>
      <c r="E45" s="28">
        <f t="shared" si="1"/>
        <v>5</v>
      </c>
      <c r="F45" s="28">
        <f t="shared" si="2"/>
        <v>4</v>
      </c>
      <c r="G45" s="26">
        <f t="shared" si="3"/>
        <v>4</v>
      </c>
      <c r="H45" s="18" t="str">
        <f t="shared" si="4"/>
        <v>544</v>
      </c>
      <c r="I45" s="26" t="str">
        <f t="shared" si="5"/>
        <v>Champions</v>
      </c>
      <c r="J45" s="17">
        <f t="shared" si="6"/>
        <v>262.8654545454545</v>
      </c>
      <c r="K45" s="36">
        <f>_xlfn.MAXIFS(ecommerce_transactions!D:D,ecommerce_transactions!B:B,main_data!A45)</f>
        <v>45652</v>
      </c>
      <c r="L45" s="36">
        <f>_xlfn.MINIFS(ecommerce_transactions!D:D,ecommerce_transactions!B:B,main_data!A45)</f>
        <v>45571</v>
      </c>
      <c r="M45" s="19">
        <f t="shared" si="7"/>
        <v>0.22176591375770022</v>
      </c>
      <c r="N45" s="19">
        <f t="shared" si="0"/>
        <v>15.240398293029873</v>
      </c>
      <c r="O45" s="17">
        <f t="shared" si="8"/>
        <v>888.4328876244665</v>
      </c>
      <c r="P45" s="17">
        <f t="shared" si="9"/>
        <v>266.52986628733993</v>
      </c>
    </row>
    <row r="46" spans="1:16" x14ac:dyDescent="0.3">
      <c r="A46" s="26" t="str">
        <v>C0045</v>
      </c>
      <c r="B46" s="26">
        <f>_xlfn.DAYS(DATE(2024,12,31),_xlfn.MAXIFS(ecommerce_transactions!$D$2:$D$9999, ecommerce_transactions!$B$2:$B$9999, A46))</f>
        <v>35</v>
      </c>
      <c r="C46" s="26">
        <f>COUNTIF(ecommerce_transactions!B:B,main_data!A46)</f>
        <v>9</v>
      </c>
      <c r="D46" s="35">
        <f>SUMIF(ecommerce_transactions!B:B,main_data!A46,ecommerce_transactions!E:E)</f>
        <v>2339.7400000000002</v>
      </c>
      <c r="E46" s="28">
        <f t="shared" si="1"/>
        <v>3</v>
      </c>
      <c r="F46" s="28">
        <f t="shared" si="2"/>
        <v>4</v>
      </c>
      <c r="G46" s="26">
        <f t="shared" si="3"/>
        <v>4</v>
      </c>
      <c r="H46" s="18" t="str">
        <f t="shared" si="4"/>
        <v>344</v>
      </c>
      <c r="I46" s="26" t="str">
        <f t="shared" si="5"/>
        <v>Loyal Customers</v>
      </c>
      <c r="J46" s="17">
        <f t="shared" si="6"/>
        <v>259.97111111111116</v>
      </c>
      <c r="K46" s="36">
        <f>_xlfn.MAXIFS(ecommerce_transactions!D:D,ecommerce_transactions!B:B,main_data!A46)</f>
        <v>45622</v>
      </c>
      <c r="L46" s="36">
        <f>_xlfn.MINIFS(ecommerce_transactions!D:D,ecommerce_transactions!B:B,main_data!A46)</f>
        <v>45341</v>
      </c>
      <c r="M46" s="19">
        <f t="shared" si="7"/>
        <v>0.76933607118412051</v>
      </c>
      <c r="N46" s="19">
        <f t="shared" si="0"/>
        <v>7.0903208411970882</v>
      </c>
      <c r="O46" s="17">
        <f t="shared" si="8"/>
        <v>1418.1007063898628</v>
      </c>
      <c r="P46" s="17">
        <f t="shared" si="9"/>
        <v>425.43021191695885</v>
      </c>
    </row>
    <row r="47" spans="1:16" x14ac:dyDescent="0.3">
      <c r="A47" s="26" t="str">
        <v>C0046</v>
      </c>
      <c r="B47" s="26">
        <f>_xlfn.DAYS(DATE(2024,12,31),_xlfn.MAXIFS(ecommerce_transactions!$D$2:$D$9999, ecommerce_transactions!$B$2:$B$9999, A47))</f>
        <v>24</v>
      </c>
      <c r="C47" s="26">
        <f>COUNTIF(ecommerce_transactions!B:B,main_data!A47)</f>
        <v>13</v>
      </c>
      <c r="D47" s="35">
        <f>SUMIF(ecommerce_transactions!B:B,main_data!A47,ecommerce_transactions!E:E)</f>
        <v>4243.7</v>
      </c>
      <c r="E47" s="28">
        <f t="shared" si="1"/>
        <v>3</v>
      </c>
      <c r="F47" s="28">
        <f t="shared" si="2"/>
        <v>5</v>
      </c>
      <c r="G47" s="26">
        <f t="shared" si="3"/>
        <v>5</v>
      </c>
      <c r="H47" s="18" t="str">
        <f t="shared" si="4"/>
        <v>355</v>
      </c>
      <c r="I47" s="26" t="str">
        <f t="shared" si="5"/>
        <v>Loyal Customers</v>
      </c>
      <c r="J47" s="17">
        <f t="shared" si="6"/>
        <v>326.43846153846152</v>
      </c>
      <c r="K47" s="36">
        <f>_xlfn.MAXIFS(ecommerce_transactions!D:D,ecommerce_transactions!B:B,main_data!A47)</f>
        <v>45633</v>
      </c>
      <c r="L47" s="36">
        <f>_xlfn.MINIFS(ecommerce_transactions!D:D,ecommerce_transactions!B:B,main_data!A47)</f>
        <v>45369</v>
      </c>
      <c r="M47" s="19">
        <f t="shared" si="7"/>
        <v>0.7227926078028748</v>
      </c>
      <c r="N47" s="19">
        <f t="shared" si="0"/>
        <v>10.631402183039462</v>
      </c>
      <c r="O47" s="17">
        <f t="shared" si="8"/>
        <v>2508.4507136859779</v>
      </c>
      <c r="P47" s="17">
        <f t="shared" si="9"/>
        <v>752.53521410579333</v>
      </c>
    </row>
    <row r="48" spans="1:16" x14ac:dyDescent="0.3">
      <c r="A48" s="26" t="str">
        <v>C0047</v>
      </c>
      <c r="B48" s="26">
        <f>_xlfn.DAYS(DATE(2024,12,31),_xlfn.MAXIFS(ecommerce_transactions!$D$2:$D$9999, ecommerce_transactions!$B$2:$B$9999, A48))</f>
        <v>7</v>
      </c>
      <c r="C48" s="26">
        <f>COUNTIF(ecommerce_transactions!B:B,main_data!A48)</f>
        <v>6</v>
      </c>
      <c r="D48" s="35">
        <f>SUMIF(ecommerce_transactions!B:B,main_data!A48,ecommerce_transactions!E:E)</f>
        <v>1594.77</v>
      </c>
      <c r="E48" s="28">
        <f t="shared" si="1"/>
        <v>5</v>
      </c>
      <c r="F48" s="28">
        <f t="shared" si="2"/>
        <v>3</v>
      </c>
      <c r="G48" s="26">
        <f t="shared" si="3"/>
        <v>3</v>
      </c>
      <c r="H48" s="18" t="str">
        <f t="shared" si="4"/>
        <v>533</v>
      </c>
      <c r="I48" s="26" t="str">
        <f t="shared" si="5"/>
        <v>Loyal Customers</v>
      </c>
      <c r="J48" s="17">
        <f t="shared" si="6"/>
        <v>265.79500000000002</v>
      </c>
      <c r="K48" s="36">
        <f>_xlfn.MAXIFS(ecommerce_transactions!D:D,ecommerce_transactions!B:B,main_data!A48)</f>
        <v>45650</v>
      </c>
      <c r="L48" s="36">
        <f>_xlfn.MINIFS(ecommerce_transactions!D:D,ecommerce_transactions!B:B,main_data!A48)</f>
        <v>45445</v>
      </c>
      <c r="M48" s="19">
        <f t="shared" si="7"/>
        <v>0.5612594113620808</v>
      </c>
      <c r="N48" s="19">
        <f t="shared" si="0"/>
        <v>5.6536601096420505</v>
      </c>
      <c r="O48" s="17">
        <f t="shared" si="8"/>
        <v>843.41270557884548</v>
      </c>
      <c r="P48" s="17">
        <f t="shared" si="9"/>
        <v>253.02381167365363</v>
      </c>
    </row>
    <row r="49" spans="1:16" x14ac:dyDescent="0.3">
      <c r="A49" s="26" t="str">
        <v>C0048</v>
      </c>
      <c r="B49" s="26">
        <f>_xlfn.DAYS(DATE(2024,12,31),_xlfn.MAXIFS(ecommerce_transactions!$D$2:$D$9999, ecommerce_transactions!$B$2:$B$9999, A49))</f>
        <v>5</v>
      </c>
      <c r="C49" s="26">
        <f>COUNTIF(ecommerce_transactions!B:B,main_data!A49)</f>
        <v>12</v>
      </c>
      <c r="D49" s="35">
        <f>SUMIF(ecommerce_transactions!B:B,main_data!A49,ecommerce_transactions!E:E)</f>
        <v>3129.19</v>
      </c>
      <c r="E49" s="28">
        <f t="shared" si="1"/>
        <v>5</v>
      </c>
      <c r="F49" s="28">
        <f t="shared" si="2"/>
        <v>5</v>
      </c>
      <c r="G49" s="26">
        <f t="shared" si="3"/>
        <v>5</v>
      </c>
      <c r="H49" s="18" t="str">
        <f t="shared" si="4"/>
        <v>555</v>
      </c>
      <c r="I49" s="26" t="str">
        <f t="shared" si="5"/>
        <v>Champions</v>
      </c>
      <c r="J49" s="17">
        <f t="shared" si="6"/>
        <v>260.76583333333332</v>
      </c>
      <c r="K49" s="36">
        <f>_xlfn.MAXIFS(ecommerce_transactions!D:D,ecommerce_transactions!B:B,main_data!A49)</f>
        <v>45652</v>
      </c>
      <c r="L49" s="36">
        <f>_xlfn.MINIFS(ecommerce_transactions!D:D,ecommerce_transactions!B:B,main_data!A49)</f>
        <v>45623</v>
      </c>
      <c r="M49" s="19">
        <f t="shared" si="7"/>
        <v>7.939767282683094E-2</v>
      </c>
      <c r="N49" s="19">
        <f t="shared" si="0"/>
        <v>20.711163614884818</v>
      </c>
      <c r="O49" s="17">
        <f t="shared" si="8"/>
        <v>428.80808033077369</v>
      </c>
      <c r="P49" s="17">
        <f t="shared" si="9"/>
        <v>128.6424240992321</v>
      </c>
    </row>
    <row r="50" spans="1:16" x14ac:dyDescent="0.3">
      <c r="A50" s="26" t="str">
        <v>C0049</v>
      </c>
      <c r="B50" s="26">
        <f>_xlfn.DAYS(DATE(2024,12,31),_xlfn.MAXIFS(ecommerce_transactions!$D$2:$D$9999, ecommerce_transactions!$B$2:$B$9999, A50))</f>
        <v>16</v>
      </c>
      <c r="C50" s="26">
        <f>COUNTIF(ecommerce_transactions!B:B,main_data!A50)</f>
        <v>12</v>
      </c>
      <c r="D50" s="35">
        <f>SUMIF(ecommerce_transactions!B:B,main_data!A50,ecommerce_transactions!E:E)</f>
        <v>2691.04</v>
      </c>
      <c r="E50" s="28">
        <f t="shared" si="1"/>
        <v>4</v>
      </c>
      <c r="F50" s="28">
        <f t="shared" si="2"/>
        <v>5</v>
      </c>
      <c r="G50" s="26">
        <f t="shared" si="3"/>
        <v>4</v>
      </c>
      <c r="H50" s="18" t="str">
        <f t="shared" si="4"/>
        <v>454</v>
      </c>
      <c r="I50" s="26" t="str">
        <f t="shared" si="5"/>
        <v>Champions</v>
      </c>
      <c r="J50" s="17">
        <f t="shared" si="6"/>
        <v>224.25333333333333</v>
      </c>
      <c r="K50" s="36">
        <f>_xlfn.MAXIFS(ecommerce_transactions!D:D,ecommerce_transactions!B:B,main_data!A50)</f>
        <v>45641</v>
      </c>
      <c r="L50" s="36">
        <f>_xlfn.MINIFS(ecommerce_transactions!D:D,ecommerce_transactions!B:B,main_data!A50)</f>
        <v>45446</v>
      </c>
      <c r="M50" s="19">
        <f t="shared" si="7"/>
        <v>0.53388090349075978</v>
      </c>
      <c r="N50" s="19">
        <f t="shared" si="0"/>
        <v>11.606752730883812</v>
      </c>
      <c r="O50" s="17">
        <f t="shared" si="8"/>
        <v>1389.6135054617675</v>
      </c>
      <c r="P50" s="17">
        <f t="shared" si="9"/>
        <v>416.88405163853025</v>
      </c>
    </row>
    <row r="51" spans="1:16" x14ac:dyDescent="0.3">
      <c r="A51" s="26" t="str">
        <v>C0050</v>
      </c>
      <c r="B51" s="26">
        <f>_xlfn.DAYS(DATE(2024,12,31),_xlfn.MAXIFS(ecommerce_transactions!$D$2:$D$9999, ecommerce_transactions!$B$2:$B$9999, A51))</f>
        <v>26</v>
      </c>
      <c r="C51" s="26">
        <f>COUNTIF(ecommerce_transactions!B:B,main_data!A51)</f>
        <v>9</v>
      </c>
      <c r="D51" s="35">
        <f>SUMIF(ecommerce_transactions!B:B,main_data!A51,ecommerce_transactions!E:E)</f>
        <v>2274.1</v>
      </c>
      <c r="E51" s="28">
        <f t="shared" si="1"/>
        <v>3</v>
      </c>
      <c r="F51" s="28">
        <f t="shared" si="2"/>
        <v>4</v>
      </c>
      <c r="G51" s="26">
        <f t="shared" si="3"/>
        <v>3</v>
      </c>
      <c r="H51" s="18" t="str">
        <f t="shared" si="4"/>
        <v>343</v>
      </c>
      <c r="I51" s="26" t="str">
        <f t="shared" si="5"/>
        <v>Loyal Customers</v>
      </c>
      <c r="J51" s="17">
        <f t="shared" si="6"/>
        <v>252.67777777777778</v>
      </c>
      <c r="K51" s="36">
        <f>_xlfn.MAXIFS(ecommerce_transactions!D:D,ecommerce_transactions!B:B,main_data!A51)</f>
        <v>45631</v>
      </c>
      <c r="L51" s="36">
        <f>_xlfn.MINIFS(ecommerce_transactions!D:D,ecommerce_transactions!B:B,main_data!A51)</f>
        <v>45531</v>
      </c>
      <c r="M51" s="19">
        <f t="shared" si="7"/>
        <v>0.27378507871321012</v>
      </c>
      <c r="N51" s="19">
        <f t="shared" si="0"/>
        <v>11.631136665192393</v>
      </c>
      <c r="O51" s="17">
        <f t="shared" si="8"/>
        <v>804.63511720477675</v>
      </c>
      <c r="P51" s="17">
        <f t="shared" si="9"/>
        <v>241.39053516143301</v>
      </c>
    </row>
    <row r="52" spans="1:16" x14ac:dyDescent="0.3">
      <c r="A52" s="26" t="str">
        <v>C0051</v>
      </c>
      <c r="B52" s="26">
        <f>_xlfn.DAYS(DATE(2024,12,31),_xlfn.MAXIFS(ecommerce_transactions!$D$2:$D$9999, ecommerce_transactions!$B$2:$B$9999, A52))</f>
        <v>6</v>
      </c>
      <c r="C52" s="26">
        <f>COUNTIF(ecommerce_transactions!B:B,main_data!A52)</f>
        <v>12</v>
      </c>
      <c r="D52" s="35">
        <f>SUMIF(ecommerce_transactions!B:B,main_data!A52,ecommerce_transactions!E:E)</f>
        <v>2270.27</v>
      </c>
      <c r="E52" s="28">
        <f t="shared" si="1"/>
        <v>5</v>
      </c>
      <c r="F52" s="28">
        <f t="shared" si="2"/>
        <v>5</v>
      </c>
      <c r="G52" s="26">
        <f t="shared" si="3"/>
        <v>3</v>
      </c>
      <c r="H52" s="18" t="str">
        <f t="shared" si="4"/>
        <v>553</v>
      </c>
      <c r="I52" s="26" t="str">
        <f t="shared" si="5"/>
        <v>Loyal Customers</v>
      </c>
      <c r="J52" s="17">
        <f t="shared" si="6"/>
        <v>189.18916666666667</v>
      </c>
      <c r="K52" s="36">
        <f>_xlfn.MAXIFS(ecommerce_transactions!D:D,ecommerce_transactions!B:B,main_data!A52)</f>
        <v>45651</v>
      </c>
      <c r="L52" s="36">
        <f>_xlfn.MINIFS(ecommerce_transactions!D:D,ecommerce_transactions!B:B,main_data!A52)</f>
        <v>45366</v>
      </c>
      <c r="M52" s="19">
        <f t="shared" si="7"/>
        <v>0.78028747433264889</v>
      </c>
      <c r="N52" s="19">
        <f t="shared" si="0"/>
        <v>9.3728949478748991</v>
      </c>
      <c r="O52" s="17">
        <f t="shared" si="8"/>
        <v>1383.6449077786688</v>
      </c>
      <c r="P52" s="17">
        <f t="shared" si="9"/>
        <v>415.09347233360063</v>
      </c>
    </row>
    <row r="53" spans="1:16" x14ac:dyDescent="0.3">
      <c r="A53" s="26" t="str">
        <v>C0052</v>
      </c>
      <c r="B53" s="26">
        <f>_xlfn.DAYS(DATE(2024,12,31),_xlfn.MAXIFS(ecommerce_transactions!$D$2:$D$9999, ecommerce_transactions!$B$2:$B$9999, A53))</f>
        <v>1</v>
      </c>
      <c r="C53" s="26">
        <f>COUNTIF(ecommerce_transactions!B:B,main_data!A53)</f>
        <v>12</v>
      </c>
      <c r="D53" s="35">
        <f>SUMIF(ecommerce_transactions!B:B,main_data!A53,ecommerce_transactions!E:E)</f>
        <v>3123.4099999999994</v>
      </c>
      <c r="E53" s="28">
        <f t="shared" si="1"/>
        <v>5</v>
      </c>
      <c r="F53" s="28">
        <f t="shared" si="2"/>
        <v>5</v>
      </c>
      <c r="G53" s="26">
        <f t="shared" si="3"/>
        <v>5</v>
      </c>
      <c r="H53" s="18" t="str">
        <f t="shared" si="4"/>
        <v>555</v>
      </c>
      <c r="I53" s="26" t="str">
        <f t="shared" si="5"/>
        <v>Champions</v>
      </c>
      <c r="J53" s="17">
        <f t="shared" si="6"/>
        <v>260.28416666666664</v>
      </c>
      <c r="K53" s="36">
        <f>_xlfn.MAXIFS(ecommerce_transactions!D:D,ecommerce_transactions!B:B,main_data!A53)</f>
        <v>45656</v>
      </c>
      <c r="L53" s="36">
        <f>_xlfn.MINIFS(ecommerce_transactions!D:D,ecommerce_transactions!B:B,main_data!A53)</f>
        <v>45470</v>
      </c>
      <c r="M53" s="19">
        <f t="shared" si="7"/>
        <v>0.50924024640657084</v>
      </c>
      <c r="N53" s="19">
        <f t="shared" si="0"/>
        <v>11.890132248219736</v>
      </c>
      <c r="O53" s="17">
        <f t="shared" si="8"/>
        <v>1576.0034181078331</v>
      </c>
      <c r="P53" s="17">
        <f t="shared" si="9"/>
        <v>472.80102543234989</v>
      </c>
    </row>
    <row r="54" spans="1:16" x14ac:dyDescent="0.3">
      <c r="A54" s="26" t="str">
        <v>C0053</v>
      </c>
      <c r="B54" s="26">
        <f>_xlfn.DAYS(DATE(2024,12,31),_xlfn.MAXIFS(ecommerce_transactions!$D$2:$D$9999, ecommerce_transactions!$B$2:$B$9999, A54))</f>
        <v>5</v>
      </c>
      <c r="C54" s="26">
        <f>COUNTIF(ecommerce_transactions!B:B,main_data!A54)</f>
        <v>15</v>
      </c>
      <c r="D54" s="35">
        <f>SUMIF(ecommerce_transactions!B:B,main_data!A54,ecommerce_transactions!E:E)</f>
        <v>3679.17</v>
      </c>
      <c r="E54" s="28">
        <f t="shared" si="1"/>
        <v>5</v>
      </c>
      <c r="F54" s="28">
        <f t="shared" si="2"/>
        <v>5</v>
      </c>
      <c r="G54" s="26">
        <f t="shared" si="3"/>
        <v>5</v>
      </c>
      <c r="H54" s="18" t="str">
        <f t="shared" si="4"/>
        <v>555</v>
      </c>
      <c r="I54" s="26" t="str">
        <f t="shared" si="5"/>
        <v>Champions</v>
      </c>
      <c r="J54" s="17">
        <f t="shared" si="6"/>
        <v>245.27799999999999</v>
      </c>
      <c r="K54" s="36">
        <f>_xlfn.MAXIFS(ecommerce_transactions!D:D,ecommerce_transactions!B:B,main_data!A54)</f>
        <v>45652</v>
      </c>
      <c r="L54" s="36">
        <f>_xlfn.MINIFS(ecommerce_transactions!D:D,ecommerce_transactions!B:B,main_data!A54)</f>
        <v>45614</v>
      </c>
      <c r="M54" s="19">
        <f t="shared" si="7"/>
        <v>0.10403832991101986</v>
      </c>
      <c r="N54" s="19">
        <f t="shared" si="0"/>
        <v>24.832861189801697</v>
      </c>
      <c r="O54" s="17">
        <f t="shared" si="8"/>
        <v>633.69273654390929</v>
      </c>
      <c r="P54" s="17">
        <f t="shared" si="9"/>
        <v>190.10782096317277</v>
      </c>
    </row>
    <row r="55" spans="1:16" x14ac:dyDescent="0.3">
      <c r="A55" s="26" t="str">
        <v>C0054</v>
      </c>
      <c r="B55" s="26">
        <f>_xlfn.DAYS(DATE(2024,12,31),_xlfn.MAXIFS(ecommerce_transactions!$D$2:$D$9999, ecommerce_transactions!$B$2:$B$9999, A55))</f>
        <v>6</v>
      </c>
      <c r="C55" s="26">
        <f>COUNTIF(ecommerce_transactions!B:B,main_data!A55)</f>
        <v>5</v>
      </c>
      <c r="D55" s="35">
        <f>SUMIF(ecommerce_transactions!B:B,main_data!A55,ecommerce_transactions!E:E)</f>
        <v>1382.9199999999998</v>
      </c>
      <c r="E55" s="28">
        <f t="shared" si="1"/>
        <v>5</v>
      </c>
      <c r="F55" s="28">
        <f t="shared" si="2"/>
        <v>2</v>
      </c>
      <c r="G55" s="26">
        <f t="shared" si="3"/>
        <v>2</v>
      </c>
      <c r="H55" s="18" t="str">
        <f t="shared" si="4"/>
        <v>522</v>
      </c>
      <c r="I55" s="26" t="str">
        <f t="shared" si="5"/>
        <v>New Customers</v>
      </c>
      <c r="J55" s="17">
        <f t="shared" si="6"/>
        <v>276.58399999999995</v>
      </c>
      <c r="K55" s="36">
        <f>_xlfn.MAXIFS(ecommerce_transactions!D:D,ecommerce_transactions!B:B,main_data!A55)</f>
        <v>45651</v>
      </c>
      <c r="L55" s="36">
        <f>_xlfn.MINIFS(ecommerce_transactions!D:D,ecommerce_transactions!B:B,main_data!A55)</f>
        <v>45592</v>
      </c>
      <c r="M55" s="19">
        <f t="shared" si="7"/>
        <v>0.16153319644079397</v>
      </c>
      <c r="N55" s="19">
        <f t="shared" si="0"/>
        <v>7.558199689601655</v>
      </c>
      <c r="O55" s="17">
        <f t="shared" si="8"/>
        <v>337.68144852560778</v>
      </c>
      <c r="P55" s="17">
        <f t="shared" si="9"/>
        <v>101.30443455768233</v>
      </c>
    </row>
    <row r="56" spans="1:16" x14ac:dyDescent="0.3">
      <c r="A56" s="26" t="str">
        <v>C0055</v>
      </c>
      <c r="B56" s="26">
        <f>_xlfn.DAYS(DATE(2024,12,31),_xlfn.MAXIFS(ecommerce_transactions!$D$2:$D$9999, ecommerce_transactions!$B$2:$B$9999, A56))</f>
        <v>2</v>
      </c>
      <c r="C56" s="26">
        <f>COUNTIF(ecommerce_transactions!B:B,main_data!A56)</f>
        <v>14</v>
      </c>
      <c r="D56" s="35">
        <f>SUMIF(ecommerce_transactions!B:B,main_data!A56,ecommerce_transactions!E:E)</f>
        <v>4158.7800000000007</v>
      </c>
      <c r="E56" s="28">
        <f t="shared" si="1"/>
        <v>5</v>
      </c>
      <c r="F56" s="28">
        <f t="shared" si="2"/>
        <v>5</v>
      </c>
      <c r="G56" s="26">
        <f t="shared" si="3"/>
        <v>5</v>
      </c>
      <c r="H56" s="18" t="str">
        <f t="shared" si="4"/>
        <v>555</v>
      </c>
      <c r="I56" s="26" t="str">
        <f t="shared" si="5"/>
        <v>Champions</v>
      </c>
      <c r="J56" s="17">
        <f t="shared" si="6"/>
        <v>297.05571428571432</v>
      </c>
      <c r="K56" s="36">
        <f>_xlfn.MAXIFS(ecommerce_transactions!D:D,ecommerce_transactions!B:B,main_data!A56)</f>
        <v>45655</v>
      </c>
      <c r="L56" s="36">
        <f>_xlfn.MINIFS(ecommerce_transactions!D:D,ecommerce_transactions!B:B,main_data!A56)</f>
        <v>45320</v>
      </c>
      <c r="M56" s="19">
        <f t="shared" si="7"/>
        <v>0.91718001368925395</v>
      </c>
      <c r="N56" s="19">
        <f t="shared" si="0"/>
        <v>9.8787732431779762</v>
      </c>
      <c r="O56" s="17">
        <f t="shared" si="8"/>
        <v>2691.5069789905824</v>
      </c>
      <c r="P56" s="17">
        <f t="shared" si="9"/>
        <v>807.45209369717475</v>
      </c>
    </row>
    <row r="57" spans="1:16" x14ac:dyDescent="0.3">
      <c r="A57" s="26" t="str">
        <v>C0056</v>
      </c>
      <c r="B57" s="26">
        <f>_xlfn.DAYS(DATE(2024,12,31),_xlfn.MAXIFS(ecommerce_transactions!$D$2:$D$9999, ecommerce_transactions!$B$2:$B$9999, A57))</f>
        <v>300</v>
      </c>
      <c r="C57" s="26">
        <f>COUNTIF(ecommerce_transactions!B:B,main_data!A57)</f>
        <v>4</v>
      </c>
      <c r="D57" s="35">
        <f>SUMIF(ecommerce_transactions!B:B,main_data!A57,ecommerce_transactions!E:E)</f>
        <v>974.31999999999994</v>
      </c>
      <c r="E57" s="28">
        <f t="shared" si="1"/>
        <v>1</v>
      </c>
      <c r="F57" s="28">
        <f t="shared" si="2"/>
        <v>2</v>
      </c>
      <c r="G57" s="26">
        <f t="shared" si="3"/>
        <v>2</v>
      </c>
      <c r="H57" s="18" t="str">
        <f t="shared" si="4"/>
        <v>122</v>
      </c>
      <c r="I57" s="26" t="str">
        <f t="shared" si="5"/>
        <v>About to Sleep</v>
      </c>
      <c r="J57" s="17">
        <f t="shared" si="6"/>
        <v>243.57999999999998</v>
      </c>
      <c r="K57" s="36">
        <f>_xlfn.MAXIFS(ecommerce_transactions!D:D,ecommerce_transactions!B:B,main_data!A57)</f>
        <v>45357</v>
      </c>
      <c r="L57" s="36">
        <f>_xlfn.MINIFS(ecommerce_transactions!D:D,ecommerce_transactions!B:B,main_data!A57)</f>
        <v>45032</v>
      </c>
      <c r="M57" s="19">
        <f t="shared" si="7"/>
        <v>0.88980150581793294</v>
      </c>
      <c r="N57" s="19">
        <f t="shared" si="0"/>
        <v>2.8781088401871462</v>
      </c>
      <c r="O57" s="17">
        <f t="shared" si="8"/>
        <v>623.79512435360743</v>
      </c>
      <c r="P57" s="17">
        <f t="shared" si="9"/>
        <v>187.13853730608221</v>
      </c>
    </row>
    <row r="58" spans="1:16" x14ac:dyDescent="0.3">
      <c r="A58" s="26" t="str">
        <v>C0057</v>
      </c>
      <c r="B58" s="26">
        <f>_xlfn.DAYS(DATE(2024,12,31),_xlfn.MAXIFS(ecommerce_transactions!$D$2:$D$9999, ecommerce_transactions!$B$2:$B$9999, A58))</f>
        <v>6</v>
      </c>
      <c r="C58" s="26">
        <f>COUNTIF(ecommerce_transactions!B:B,main_data!A58)</f>
        <v>12</v>
      </c>
      <c r="D58" s="35">
        <f>SUMIF(ecommerce_transactions!B:B,main_data!A58,ecommerce_transactions!E:E)</f>
        <v>2705.93</v>
      </c>
      <c r="E58" s="28">
        <f t="shared" si="1"/>
        <v>5</v>
      </c>
      <c r="F58" s="28">
        <f t="shared" si="2"/>
        <v>5</v>
      </c>
      <c r="G58" s="26">
        <f t="shared" si="3"/>
        <v>4</v>
      </c>
      <c r="H58" s="18" t="str">
        <f t="shared" si="4"/>
        <v>554</v>
      </c>
      <c r="I58" s="26" t="str">
        <f t="shared" si="5"/>
        <v>Champions</v>
      </c>
      <c r="J58" s="17">
        <f t="shared" si="6"/>
        <v>225.49416666666664</v>
      </c>
      <c r="K58" s="36">
        <f>_xlfn.MAXIFS(ecommerce_transactions!D:D,ecommerce_transactions!B:B,main_data!A58)</f>
        <v>45651</v>
      </c>
      <c r="L58" s="36">
        <f>_xlfn.MINIFS(ecommerce_transactions!D:D,ecommerce_transactions!B:B,main_data!A58)</f>
        <v>45025</v>
      </c>
      <c r="M58" s="19">
        <f t="shared" si="7"/>
        <v>1.7138945927446954</v>
      </c>
      <c r="N58" s="19">
        <f t="shared" si="0"/>
        <v>5.4203122584634409</v>
      </c>
      <c r="O58" s="17">
        <f t="shared" si="8"/>
        <v>2094.805602102334</v>
      </c>
      <c r="P58" s="17">
        <f t="shared" si="9"/>
        <v>628.44168063070015</v>
      </c>
    </row>
    <row r="59" spans="1:16" x14ac:dyDescent="0.3">
      <c r="A59" s="26" t="str">
        <v>C0058</v>
      </c>
      <c r="B59" s="26">
        <f>_xlfn.DAYS(DATE(2024,12,31),_xlfn.MAXIFS(ecommerce_transactions!$D$2:$D$9999, ecommerce_transactions!$B$2:$B$9999, A59))</f>
        <v>245</v>
      </c>
      <c r="C59" s="26">
        <f>COUNTIF(ecommerce_transactions!B:B,main_data!A59)</f>
        <v>4</v>
      </c>
      <c r="D59" s="35">
        <f>SUMIF(ecommerce_transactions!B:B,main_data!A59,ecommerce_transactions!E:E)</f>
        <v>1386.81</v>
      </c>
      <c r="E59" s="28">
        <f t="shared" si="1"/>
        <v>1</v>
      </c>
      <c r="F59" s="28">
        <f t="shared" si="2"/>
        <v>2</v>
      </c>
      <c r="G59" s="26">
        <f t="shared" si="3"/>
        <v>2</v>
      </c>
      <c r="H59" s="18" t="str">
        <f t="shared" si="4"/>
        <v>122</v>
      </c>
      <c r="I59" s="26" t="str">
        <f t="shared" si="5"/>
        <v>About to Sleep</v>
      </c>
      <c r="J59" s="17">
        <f t="shared" si="6"/>
        <v>346.70249999999999</v>
      </c>
      <c r="K59" s="36">
        <f>_xlfn.MAXIFS(ecommerce_transactions!D:D,ecommerce_transactions!B:B,main_data!A59)</f>
        <v>45412</v>
      </c>
      <c r="L59" s="36">
        <f>_xlfn.MINIFS(ecommerce_transactions!D:D,ecommerce_transactions!B:B,main_data!A59)</f>
        <v>45306</v>
      </c>
      <c r="M59" s="19">
        <f t="shared" si="7"/>
        <v>0.29021218343600275</v>
      </c>
      <c r="N59" s="19">
        <f t="shared" si="0"/>
        <v>5.0619315721091382</v>
      </c>
      <c r="O59" s="17">
        <f t="shared" si="8"/>
        <v>509.3178345604158</v>
      </c>
      <c r="P59" s="17">
        <f t="shared" si="9"/>
        <v>152.79535036812473</v>
      </c>
    </row>
    <row r="60" spans="1:16" x14ac:dyDescent="0.3">
      <c r="A60" s="26" t="str">
        <v>C0059</v>
      </c>
      <c r="B60" s="26">
        <f>_xlfn.DAYS(DATE(2024,12,31),_xlfn.MAXIFS(ecommerce_transactions!$D$2:$D$9999, ecommerce_transactions!$B$2:$B$9999, A60))</f>
        <v>5</v>
      </c>
      <c r="C60" s="26">
        <f>COUNTIF(ecommerce_transactions!B:B,main_data!A60)</f>
        <v>7</v>
      </c>
      <c r="D60" s="35">
        <f>SUMIF(ecommerce_transactions!B:B,main_data!A60,ecommerce_transactions!E:E)</f>
        <v>1830.5800000000002</v>
      </c>
      <c r="E60" s="28">
        <f t="shared" si="1"/>
        <v>5</v>
      </c>
      <c r="F60" s="28">
        <f t="shared" si="2"/>
        <v>3</v>
      </c>
      <c r="G60" s="26">
        <f t="shared" si="3"/>
        <v>3</v>
      </c>
      <c r="H60" s="18" t="str">
        <f t="shared" si="4"/>
        <v>533</v>
      </c>
      <c r="I60" s="26" t="str">
        <f t="shared" si="5"/>
        <v>Loyal Customers</v>
      </c>
      <c r="J60" s="17">
        <f t="shared" si="6"/>
        <v>261.51142857142861</v>
      </c>
      <c r="K60" s="36">
        <f>_xlfn.MAXIFS(ecommerce_transactions!D:D,ecommerce_transactions!B:B,main_data!A60)</f>
        <v>45652</v>
      </c>
      <c r="L60" s="36">
        <f>_xlfn.MINIFS(ecommerce_transactions!D:D,ecommerce_transactions!B:B,main_data!A60)</f>
        <v>45347</v>
      </c>
      <c r="M60" s="19">
        <f t="shared" si="7"/>
        <v>0.83504449007529091</v>
      </c>
      <c r="N60" s="19">
        <f t="shared" si="0"/>
        <v>5.2432709561650857</v>
      </c>
      <c r="O60" s="17">
        <f t="shared" si="8"/>
        <v>1144.9923609330942</v>
      </c>
      <c r="P60" s="17">
        <f t="shared" si="9"/>
        <v>343.49770827992825</v>
      </c>
    </row>
    <row r="61" spans="1:16" x14ac:dyDescent="0.3">
      <c r="A61" s="26" t="str">
        <v>C0060</v>
      </c>
      <c r="B61" s="26">
        <f>_xlfn.DAYS(DATE(2024,12,31),_xlfn.MAXIFS(ecommerce_transactions!$D$2:$D$9999, ecommerce_transactions!$B$2:$B$9999, A61))</f>
        <v>61</v>
      </c>
      <c r="C61" s="26">
        <f>COUNTIF(ecommerce_transactions!B:B,main_data!A61)</f>
        <v>10</v>
      </c>
      <c r="D61" s="35">
        <f>SUMIF(ecommerce_transactions!B:B,main_data!A61,ecommerce_transactions!E:E)</f>
        <v>2934.45</v>
      </c>
      <c r="E61" s="28">
        <f t="shared" si="1"/>
        <v>2</v>
      </c>
      <c r="F61" s="28">
        <f t="shared" si="2"/>
        <v>4</v>
      </c>
      <c r="G61" s="26">
        <f t="shared" si="3"/>
        <v>4</v>
      </c>
      <c r="H61" s="18" t="str">
        <f t="shared" si="4"/>
        <v>244</v>
      </c>
      <c r="I61" s="26" t="str">
        <f t="shared" si="5"/>
        <v>At Risk</v>
      </c>
      <c r="J61" s="17">
        <f t="shared" si="6"/>
        <v>293.44499999999999</v>
      </c>
      <c r="K61" s="36">
        <f>_xlfn.MAXIFS(ecommerce_transactions!D:D,ecommerce_transactions!B:B,main_data!A61)</f>
        <v>45596</v>
      </c>
      <c r="L61" s="36">
        <f>_xlfn.MINIFS(ecommerce_transactions!D:D,ecommerce_transactions!B:B,main_data!A61)</f>
        <v>45268</v>
      </c>
      <c r="M61" s="19">
        <f t="shared" si="7"/>
        <v>0.89801505817932925</v>
      </c>
      <c r="N61" s="19">
        <f t="shared" si="0"/>
        <v>7.1529987760097908</v>
      </c>
      <c r="O61" s="17">
        <f t="shared" si="8"/>
        <v>1884.9441370869031</v>
      </c>
      <c r="P61" s="17">
        <f t="shared" si="9"/>
        <v>565.48324112607088</v>
      </c>
    </row>
    <row r="62" spans="1:16" x14ac:dyDescent="0.3">
      <c r="A62" s="26" t="str">
        <v>C0061</v>
      </c>
      <c r="B62" s="26">
        <f>_xlfn.DAYS(DATE(2024,12,31),_xlfn.MAXIFS(ecommerce_transactions!$D$2:$D$9999, ecommerce_transactions!$B$2:$B$9999, A62))</f>
        <v>53</v>
      </c>
      <c r="C62" s="26">
        <f>COUNTIF(ecommerce_transactions!B:B,main_data!A62)</f>
        <v>3</v>
      </c>
      <c r="D62" s="35">
        <f>SUMIF(ecommerce_transactions!B:B,main_data!A62,ecommerce_transactions!E:E)</f>
        <v>1029.74</v>
      </c>
      <c r="E62" s="28">
        <f t="shared" si="1"/>
        <v>2</v>
      </c>
      <c r="F62" s="28">
        <f t="shared" si="2"/>
        <v>1</v>
      </c>
      <c r="G62" s="26">
        <f t="shared" si="3"/>
        <v>2</v>
      </c>
      <c r="H62" s="18" t="str">
        <f t="shared" si="4"/>
        <v>212</v>
      </c>
      <c r="I62" s="26" t="str">
        <f t="shared" si="5"/>
        <v>About to Sleep</v>
      </c>
      <c r="J62" s="17">
        <f t="shared" si="6"/>
        <v>343.24666666666667</v>
      </c>
      <c r="K62" s="36">
        <f>_xlfn.MAXIFS(ecommerce_transactions!D:D,ecommerce_transactions!B:B,main_data!A62)</f>
        <v>45604</v>
      </c>
      <c r="L62" s="36">
        <f>_xlfn.MINIFS(ecommerce_transactions!D:D,ecommerce_transactions!B:B,main_data!A62)</f>
        <v>45447</v>
      </c>
      <c r="M62" s="19">
        <f t="shared" si="7"/>
        <v>0.42984257357973993</v>
      </c>
      <c r="N62" s="19">
        <f t="shared" si="0"/>
        <v>3.2263525947736471</v>
      </c>
      <c r="O62" s="17">
        <f t="shared" si="8"/>
        <v>476.02261317629734</v>
      </c>
      <c r="P62" s="17">
        <f t="shared" si="9"/>
        <v>142.80678395288919</v>
      </c>
    </row>
    <row r="63" spans="1:16" x14ac:dyDescent="0.3">
      <c r="A63" s="26" t="str">
        <v>C0062</v>
      </c>
      <c r="B63" s="26">
        <f>_xlfn.DAYS(DATE(2024,12,31),_xlfn.MAXIFS(ecommerce_transactions!$D$2:$D$9999, ecommerce_transactions!$B$2:$B$9999, A63))</f>
        <v>9</v>
      </c>
      <c r="C63" s="26">
        <f>COUNTIF(ecommerce_transactions!B:B,main_data!A63)</f>
        <v>7</v>
      </c>
      <c r="D63" s="35">
        <f>SUMIF(ecommerce_transactions!B:B,main_data!A63,ecommerce_transactions!E:E)</f>
        <v>1661.9800000000002</v>
      </c>
      <c r="E63" s="28">
        <f t="shared" si="1"/>
        <v>4</v>
      </c>
      <c r="F63" s="28">
        <f t="shared" si="2"/>
        <v>3</v>
      </c>
      <c r="G63" s="26">
        <f t="shared" si="3"/>
        <v>3</v>
      </c>
      <c r="H63" s="18" t="str">
        <f t="shared" si="4"/>
        <v>433</v>
      </c>
      <c r="I63" s="26" t="str">
        <f t="shared" si="5"/>
        <v>Loyal Customers</v>
      </c>
      <c r="J63" s="17">
        <f t="shared" si="6"/>
        <v>237.42571428571432</v>
      </c>
      <c r="K63" s="36">
        <f>_xlfn.MAXIFS(ecommerce_transactions!D:D,ecommerce_transactions!B:B,main_data!A63)</f>
        <v>45648</v>
      </c>
      <c r="L63" s="36">
        <f>_xlfn.MINIFS(ecommerce_transactions!D:D,ecommerce_transactions!B:B,main_data!A63)</f>
        <v>45042</v>
      </c>
      <c r="M63" s="19">
        <f t="shared" si="7"/>
        <v>1.6591375770020533</v>
      </c>
      <c r="N63" s="19">
        <f t="shared" si="0"/>
        <v>3.2420351878269136</v>
      </c>
      <c r="O63" s="17">
        <f t="shared" si="8"/>
        <v>1277.1087398953875</v>
      </c>
      <c r="P63" s="17">
        <f t="shared" si="9"/>
        <v>383.13262196861626</v>
      </c>
    </row>
    <row r="64" spans="1:16" x14ac:dyDescent="0.3">
      <c r="A64" s="26" t="str">
        <v>C0063</v>
      </c>
      <c r="B64" s="26">
        <f>_xlfn.DAYS(DATE(2024,12,31),_xlfn.MAXIFS(ecommerce_transactions!$D$2:$D$9999, ecommerce_transactions!$B$2:$B$9999, A64))</f>
        <v>16</v>
      </c>
      <c r="C64" s="26">
        <f>COUNTIF(ecommerce_transactions!B:B,main_data!A64)</f>
        <v>7</v>
      </c>
      <c r="D64" s="35">
        <f>SUMIF(ecommerce_transactions!B:B,main_data!A64,ecommerce_transactions!E:E)</f>
        <v>1984.3300000000002</v>
      </c>
      <c r="E64" s="28">
        <f t="shared" si="1"/>
        <v>4</v>
      </c>
      <c r="F64" s="28">
        <f t="shared" si="2"/>
        <v>3</v>
      </c>
      <c r="G64" s="26">
        <f t="shared" si="3"/>
        <v>3</v>
      </c>
      <c r="H64" s="18" t="str">
        <f t="shared" si="4"/>
        <v>433</v>
      </c>
      <c r="I64" s="26" t="str">
        <f t="shared" si="5"/>
        <v>Loyal Customers</v>
      </c>
      <c r="J64" s="17">
        <f t="shared" si="6"/>
        <v>283.47571428571433</v>
      </c>
      <c r="K64" s="36">
        <f>_xlfn.MAXIFS(ecommerce_transactions!D:D,ecommerce_transactions!B:B,main_data!A64)</f>
        <v>45641</v>
      </c>
      <c r="L64" s="36">
        <f>_xlfn.MINIFS(ecommerce_transactions!D:D,ecommerce_transactions!B:B,main_data!A64)</f>
        <v>45457</v>
      </c>
      <c r="M64" s="19">
        <f t="shared" si="7"/>
        <v>0.50376454483230659</v>
      </c>
      <c r="N64" s="19">
        <f t="shared" si="0"/>
        <v>6.9737470167064437</v>
      </c>
      <c r="O64" s="17">
        <f t="shared" si="8"/>
        <v>995.8860415956359</v>
      </c>
      <c r="P64" s="17">
        <f t="shared" si="9"/>
        <v>298.76581247869075</v>
      </c>
    </row>
    <row r="65" spans="1:16" x14ac:dyDescent="0.3">
      <c r="A65" s="26" t="str">
        <v>C0064</v>
      </c>
      <c r="B65" s="26">
        <f>_xlfn.DAYS(DATE(2024,12,31),_xlfn.MAXIFS(ecommerce_transactions!$D$2:$D$9999, ecommerce_transactions!$B$2:$B$9999, A65))</f>
        <v>6</v>
      </c>
      <c r="C65" s="26">
        <f>COUNTIF(ecommerce_transactions!B:B,main_data!A65)</f>
        <v>8</v>
      </c>
      <c r="D65" s="35">
        <f>SUMIF(ecommerce_transactions!B:B,main_data!A65,ecommerce_transactions!E:E)</f>
        <v>2052.92</v>
      </c>
      <c r="E65" s="28">
        <f t="shared" si="1"/>
        <v>5</v>
      </c>
      <c r="F65" s="28">
        <f t="shared" si="2"/>
        <v>3</v>
      </c>
      <c r="G65" s="26">
        <f t="shared" si="3"/>
        <v>3</v>
      </c>
      <c r="H65" s="18" t="str">
        <f t="shared" si="4"/>
        <v>533</v>
      </c>
      <c r="I65" s="26" t="str">
        <f t="shared" si="5"/>
        <v>Loyal Customers</v>
      </c>
      <c r="J65" s="17">
        <f t="shared" si="6"/>
        <v>256.61500000000001</v>
      </c>
      <c r="K65" s="36">
        <f>_xlfn.MAXIFS(ecommerce_transactions!D:D,ecommerce_transactions!B:B,main_data!A65)</f>
        <v>45651</v>
      </c>
      <c r="L65" s="36">
        <f>_xlfn.MINIFS(ecommerce_transactions!D:D,ecommerce_transactions!B:B,main_data!A65)</f>
        <v>45403</v>
      </c>
      <c r="M65" s="19">
        <f t="shared" si="7"/>
        <v>0.67898699520876116</v>
      </c>
      <c r="N65" s="19">
        <f t="shared" si="0"/>
        <v>6.7854862119013051</v>
      </c>
      <c r="O65" s="17">
        <f t="shared" si="8"/>
        <v>1182.291227866473</v>
      </c>
      <c r="P65" s="17">
        <f t="shared" si="9"/>
        <v>354.6873683599419</v>
      </c>
    </row>
    <row r="66" spans="1:16" x14ac:dyDescent="0.3">
      <c r="A66" s="26" t="str">
        <v>C0065</v>
      </c>
      <c r="B66" s="26">
        <f>_xlfn.DAYS(DATE(2024,12,31),_xlfn.MAXIFS(ecommerce_transactions!$D$2:$D$9999, ecommerce_transactions!$B$2:$B$9999, A66))</f>
        <v>43</v>
      </c>
      <c r="C66" s="26">
        <f>COUNTIF(ecommerce_transactions!B:B,main_data!A66)</f>
        <v>6</v>
      </c>
      <c r="D66" s="35">
        <f>SUMIF(ecommerce_transactions!B:B,main_data!A66,ecommerce_transactions!E:E)</f>
        <v>1109.82</v>
      </c>
      <c r="E66" s="28">
        <f t="shared" si="1"/>
        <v>3</v>
      </c>
      <c r="F66" s="28">
        <f t="shared" si="2"/>
        <v>3</v>
      </c>
      <c r="G66" s="26">
        <f t="shared" si="3"/>
        <v>2</v>
      </c>
      <c r="H66" s="18" t="str">
        <f t="shared" si="4"/>
        <v>332</v>
      </c>
      <c r="I66" s="26" t="str">
        <f t="shared" si="5"/>
        <v>Lost</v>
      </c>
      <c r="J66" s="17">
        <f t="shared" si="6"/>
        <v>184.97</v>
      </c>
      <c r="K66" s="36">
        <f>_xlfn.MAXIFS(ecommerce_transactions!D:D,ecommerce_transactions!B:B,main_data!A66)</f>
        <v>45614</v>
      </c>
      <c r="L66" s="36">
        <f>_xlfn.MINIFS(ecommerce_transactions!D:D,ecommerce_transactions!B:B,main_data!A66)</f>
        <v>45257</v>
      </c>
      <c r="M66" s="19">
        <f t="shared" si="7"/>
        <v>0.97741273100616022</v>
      </c>
      <c r="N66" s="19">
        <f t="shared" ref="N66:N129" si="10">C66/(M66+0.5)</f>
        <v>4.0611535788742179</v>
      </c>
      <c r="O66" s="17">
        <f t="shared" si="8"/>
        <v>734.22421125781796</v>
      </c>
      <c r="P66" s="17">
        <f t="shared" si="9"/>
        <v>220.26726337734539</v>
      </c>
    </row>
    <row r="67" spans="1:16" x14ac:dyDescent="0.3">
      <c r="A67" s="26" t="str">
        <v>C0066</v>
      </c>
      <c r="B67" s="26">
        <f>_xlfn.DAYS(DATE(2024,12,31),_xlfn.MAXIFS(ecommerce_transactions!$D$2:$D$9999, ecommerce_transactions!$B$2:$B$9999, A67))</f>
        <v>24</v>
      </c>
      <c r="C67" s="26">
        <f>COUNTIF(ecommerce_transactions!B:B,main_data!A67)</f>
        <v>11</v>
      </c>
      <c r="D67" s="35">
        <f>SUMIF(ecommerce_transactions!B:B,main_data!A67,ecommerce_transactions!E:E)</f>
        <v>3092.2999999999997</v>
      </c>
      <c r="E67" s="28">
        <f t="shared" ref="E67:E130" si="11">IF(B67&lt;=PERCENTILE($B$2:$B$501,0.2),5,IF(B67&lt;=PERCENTILE($B$2:$B$501,0.4),4,IF(B67&lt;=PERCENTILE($B$2:$B$501,0.6),3,IF(B67&lt;=PERCENTILE($B$2:$B$501,0.8),2,1))))</f>
        <v>3</v>
      </c>
      <c r="F67" s="28">
        <f t="shared" ref="F67:F130" si="12">IF(C67&gt;=PERCENTILE($C$2:$C$501, 0.8), 5,IF(C67&gt;=PERCENTILE($C$2:$C$501, 0.6), 4, IF(C67&gt;=PERCENTILE($C$2:$C$501, 0.4), 3, IF(C67&gt;=PERCENTILE($C$2:$C$501, 0.2), 2, 1))))</f>
        <v>4</v>
      </c>
      <c r="G67" s="26">
        <f t="shared" ref="G67:G130" si="13">IF(D67&gt;=PERCENTILE($D$2:$D$501,0.8),5,IF(D67&gt;=PERCENTILE($D$2:$D$501,0.6),4,IF(D67&gt;=PERCENTILE($D$2:$D$501,0.4),3,IF(D67&gt;=PERCENTILE($D$2:$D$501,0.2),2,1))))</f>
        <v>4</v>
      </c>
      <c r="H67" s="18" t="str">
        <f t="shared" ref="H67:H130" si="14">CONCATENATE(E67,F67,G67)</f>
        <v>344</v>
      </c>
      <c r="I67" s="26" t="str">
        <f t="shared" ref="I67:I130" si="15">IF(AND(E67&gt;=4, F67&gt;=4, G67&gt;=4), "Champions",
    IF(AND(E67&gt;=3, F67&gt;=3, G67&gt;=3), "Loyal Customers",
    IF(AND(E67&gt;=4, F67&lt;=2), "New Customers",
    IF(AND(E67&gt;=4, F67&gt;=2, G67&gt;=2), "Potential Loyalists",
    IF(AND(G67&gt;=4, E67&lt;=2, F67&lt;=2), "Cannot Lose Them",
    IF(AND(F67&gt;=3, E67&lt;=2), "At Risk",
    IF(AND(E67&lt;=2, F67&lt;=2), "About to Sleep",
    IF(AND(E67&lt;=2, F67&lt;=3), "Hibernating", "Lost"))))))))</f>
        <v>Loyal Customers</v>
      </c>
      <c r="J67" s="17">
        <f t="shared" ref="J67:J130" si="16">D67/C67</f>
        <v>281.11818181818177</v>
      </c>
      <c r="K67" s="36">
        <f>_xlfn.MAXIFS(ecommerce_transactions!D:D,ecommerce_transactions!B:B,main_data!A67)</f>
        <v>45633</v>
      </c>
      <c r="L67" s="36">
        <f>_xlfn.MINIFS(ecommerce_transactions!D:D,ecommerce_transactions!B:B,main_data!A67)</f>
        <v>45517</v>
      </c>
      <c r="M67" s="19">
        <f t="shared" ref="M67:M130" si="17">(K67-L67)/365.25</f>
        <v>0.31759069130732376</v>
      </c>
      <c r="N67" s="19">
        <f t="shared" si="10"/>
        <v>13.454164922561741</v>
      </c>
      <c r="O67" s="17">
        <f t="shared" ref="O67:O130" si="18">J67*N67*M67</f>
        <v>1201.1948095437419</v>
      </c>
      <c r="P67" s="17">
        <f t="shared" ref="P67:P130" si="19">O67*0.3</f>
        <v>360.35844286312255</v>
      </c>
    </row>
    <row r="68" spans="1:16" x14ac:dyDescent="0.3">
      <c r="A68" s="26" t="str">
        <v>C0067</v>
      </c>
      <c r="B68" s="26">
        <f>_xlfn.DAYS(DATE(2024,12,31),_xlfn.MAXIFS(ecommerce_transactions!$D$2:$D$9999, ecommerce_transactions!$B$2:$B$9999, A68))</f>
        <v>80</v>
      </c>
      <c r="C68" s="26">
        <f>COUNTIF(ecommerce_transactions!B:B,main_data!A68)</f>
        <v>3</v>
      </c>
      <c r="D68" s="35">
        <f>SUMIF(ecommerce_transactions!B:B,main_data!A68,ecommerce_transactions!E:E)</f>
        <v>757.15000000000009</v>
      </c>
      <c r="E68" s="28">
        <f t="shared" si="11"/>
        <v>2</v>
      </c>
      <c r="F68" s="28">
        <f t="shared" si="12"/>
        <v>1</v>
      </c>
      <c r="G68" s="26">
        <f t="shared" si="13"/>
        <v>1</v>
      </c>
      <c r="H68" s="18" t="str">
        <f t="shared" si="14"/>
        <v>211</v>
      </c>
      <c r="I68" s="26" t="str">
        <f t="shared" si="15"/>
        <v>About to Sleep</v>
      </c>
      <c r="J68" s="17">
        <f t="shared" si="16"/>
        <v>252.38333333333335</v>
      </c>
      <c r="K68" s="36">
        <f>_xlfn.MAXIFS(ecommerce_transactions!D:D,ecommerce_transactions!B:B,main_data!A68)</f>
        <v>45577</v>
      </c>
      <c r="L68" s="36">
        <f>_xlfn.MINIFS(ecommerce_transactions!D:D,ecommerce_transactions!B:B,main_data!A68)</f>
        <v>45166</v>
      </c>
      <c r="M68" s="19">
        <f t="shared" si="17"/>
        <v>1.1252566735112937</v>
      </c>
      <c r="N68" s="19">
        <f t="shared" si="10"/>
        <v>1.8458622867972205</v>
      </c>
      <c r="O68" s="17">
        <f t="shared" si="18"/>
        <v>524.2175615919142</v>
      </c>
      <c r="P68" s="17">
        <f t="shared" si="19"/>
        <v>157.26526847757427</v>
      </c>
    </row>
    <row r="69" spans="1:16" x14ac:dyDescent="0.3">
      <c r="A69" s="26" t="str">
        <v>C0068</v>
      </c>
      <c r="B69" s="26">
        <f>_xlfn.DAYS(DATE(2024,12,31),_xlfn.MAXIFS(ecommerce_transactions!$D$2:$D$9999, ecommerce_transactions!$B$2:$B$9999, A69))</f>
        <v>106</v>
      </c>
      <c r="C69" s="26">
        <f>COUNTIF(ecommerce_transactions!B:B,main_data!A69)</f>
        <v>3</v>
      </c>
      <c r="D69" s="35">
        <f>SUMIF(ecommerce_transactions!B:B,main_data!A69,ecommerce_transactions!E:E)</f>
        <v>1062.94</v>
      </c>
      <c r="E69" s="28">
        <f t="shared" si="11"/>
        <v>1</v>
      </c>
      <c r="F69" s="28">
        <f t="shared" si="12"/>
        <v>1</v>
      </c>
      <c r="G69" s="26">
        <f t="shared" si="13"/>
        <v>2</v>
      </c>
      <c r="H69" s="18" t="str">
        <f t="shared" si="14"/>
        <v>112</v>
      </c>
      <c r="I69" s="26" t="str">
        <f t="shared" si="15"/>
        <v>About to Sleep</v>
      </c>
      <c r="J69" s="17">
        <f t="shared" si="16"/>
        <v>354.31333333333333</v>
      </c>
      <c r="K69" s="36">
        <f>_xlfn.MAXIFS(ecommerce_transactions!D:D,ecommerce_transactions!B:B,main_data!A69)</f>
        <v>45551</v>
      </c>
      <c r="L69" s="36">
        <f>_xlfn.MINIFS(ecommerce_transactions!D:D,ecommerce_transactions!B:B,main_data!A69)</f>
        <v>45482</v>
      </c>
      <c r="M69" s="19">
        <f t="shared" si="17"/>
        <v>0.18891170431211499</v>
      </c>
      <c r="N69" s="19">
        <f t="shared" si="10"/>
        <v>4.3546944858420265</v>
      </c>
      <c r="O69" s="17">
        <f t="shared" si="18"/>
        <v>291.47684053651267</v>
      </c>
      <c r="P69" s="17">
        <f t="shared" si="19"/>
        <v>87.443052160953798</v>
      </c>
    </row>
    <row r="70" spans="1:16" x14ac:dyDescent="0.3">
      <c r="A70" s="26" t="str">
        <v>C0069</v>
      </c>
      <c r="B70" s="26">
        <f>_xlfn.DAYS(DATE(2024,12,31),_xlfn.MAXIFS(ecommerce_transactions!$D$2:$D$9999, ecommerce_transactions!$B$2:$B$9999, A70))</f>
        <v>102</v>
      </c>
      <c r="C70" s="26">
        <f>COUNTIF(ecommerce_transactions!B:B,main_data!A70)</f>
        <v>7</v>
      </c>
      <c r="D70" s="35">
        <f>SUMIF(ecommerce_transactions!B:B,main_data!A70,ecommerce_transactions!E:E)</f>
        <v>1768.8100000000002</v>
      </c>
      <c r="E70" s="28">
        <f t="shared" si="11"/>
        <v>1</v>
      </c>
      <c r="F70" s="28">
        <f t="shared" si="12"/>
        <v>3</v>
      </c>
      <c r="G70" s="26">
        <f t="shared" si="13"/>
        <v>3</v>
      </c>
      <c r="H70" s="18" t="str">
        <f t="shared" si="14"/>
        <v>133</v>
      </c>
      <c r="I70" s="26" t="str">
        <f t="shared" si="15"/>
        <v>At Risk</v>
      </c>
      <c r="J70" s="17">
        <f t="shared" si="16"/>
        <v>252.68714285714287</v>
      </c>
      <c r="K70" s="36">
        <f>_xlfn.MAXIFS(ecommerce_transactions!D:D,ecommerce_transactions!B:B,main_data!A70)</f>
        <v>45555</v>
      </c>
      <c r="L70" s="36">
        <f>_xlfn.MINIFS(ecommerce_transactions!D:D,ecommerce_transactions!B:B,main_data!A70)</f>
        <v>45254</v>
      </c>
      <c r="M70" s="19">
        <f t="shared" si="17"/>
        <v>0.82409308692676253</v>
      </c>
      <c r="N70" s="19">
        <f t="shared" si="10"/>
        <v>5.2866373739984489</v>
      </c>
      <c r="O70" s="17">
        <f t="shared" si="18"/>
        <v>1100.8773533212718</v>
      </c>
      <c r="P70" s="17">
        <f t="shared" si="19"/>
        <v>330.26320599638154</v>
      </c>
    </row>
    <row r="71" spans="1:16" x14ac:dyDescent="0.3">
      <c r="A71" s="26" t="str">
        <v>C0070</v>
      </c>
      <c r="B71" s="26">
        <f>_xlfn.DAYS(DATE(2024,12,31),_xlfn.MAXIFS(ecommerce_transactions!$D$2:$D$9999, ecommerce_transactions!$B$2:$B$9999, A71))</f>
        <v>64</v>
      </c>
      <c r="C71" s="26">
        <f>COUNTIF(ecommerce_transactions!B:B,main_data!A71)</f>
        <v>7</v>
      </c>
      <c r="D71" s="35">
        <f>SUMIF(ecommerce_transactions!B:B,main_data!A71,ecommerce_transactions!E:E)</f>
        <v>1690.26</v>
      </c>
      <c r="E71" s="28">
        <f t="shared" si="11"/>
        <v>2</v>
      </c>
      <c r="F71" s="28">
        <f t="shared" si="12"/>
        <v>3</v>
      </c>
      <c r="G71" s="26">
        <f t="shared" si="13"/>
        <v>3</v>
      </c>
      <c r="H71" s="18" t="str">
        <f t="shared" si="14"/>
        <v>233</v>
      </c>
      <c r="I71" s="26" t="str">
        <f t="shared" si="15"/>
        <v>At Risk</v>
      </c>
      <c r="J71" s="17">
        <f t="shared" si="16"/>
        <v>241.46571428571428</v>
      </c>
      <c r="K71" s="36">
        <f>_xlfn.MAXIFS(ecommerce_transactions!D:D,ecommerce_transactions!B:B,main_data!A71)</f>
        <v>45593</v>
      </c>
      <c r="L71" s="36">
        <f>_xlfn.MINIFS(ecommerce_transactions!D:D,ecommerce_transactions!B:B,main_data!A71)</f>
        <v>45377</v>
      </c>
      <c r="M71" s="19">
        <f t="shared" si="17"/>
        <v>0.59137577002053388</v>
      </c>
      <c r="N71" s="19">
        <f t="shared" si="10"/>
        <v>6.4139228598306683</v>
      </c>
      <c r="O71" s="17">
        <f t="shared" si="18"/>
        <v>915.88876763875828</v>
      </c>
      <c r="P71" s="17">
        <f t="shared" si="19"/>
        <v>274.76663029162745</v>
      </c>
    </row>
    <row r="72" spans="1:16" x14ac:dyDescent="0.3">
      <c r="A72" s="26" t="str">
        <v>C0071</v>
      </c>
      <c r="B72" s="26">
        <f>_xlfn.DAYS(DATE(2024,12,31),_xlfn.MAXIFS(ecommerce_transactions!$D$2:$D$9999, ecommerce_transactions!$B$2:$B$9999, A72))</f>
        <v>9</v>
      </c>
      <c r="C72" s="26">
        <f>COUNTIF(ecommerce_transactions!B:B,main_data!A72)</f>
        <v>13</v>
      </c>
      <c r="D72" s="35">
        <f>SUMIF(ecommerce_transactions!B:B,main_data!A72,ecommerce_transactions!E:E)</f>
        <v>3448.35</v>
      </c>
      <c r="E72" s="28">
        <f t="shared" si="11"/>
        <v>4</v>
      </c>
      <c r="F72" s="28">
        <f t="shared" si="12"/>
        <v>5</v>
      </c>
      <c r="G72" s="26">
        <f t="shared" si="13"/>
        <v>5</v>
      </c>
      <c r="H72" s="18" t="str">
        <f t="shared" si="14"/>
        <v>455</v>
      </c>
      <c r="I72" s="26" t="str">
        <f t="shared" si="15"/>
        <v>Champions</v>
      </c>
      <c r="J72" s="17">
        <f t="shared" si="16"/>
        <v>265.25769230769231</v>
      </c>
      <c r="K72" s="36">
        <f>_xlfn.MAXIFS(ecommerce_transactions!D:D,ecommerce_transactions!B:B,main_data!A72)</f>
        <v>45648</v>
      </c>
      <c r="L72" s="36">
        <f>_xlfn.MINIFS(ecommerce_transactions!D:D,ecommerce_transactions!B:B,main_data!A72)</f>
        <v>45215</v>
      </c>
      <c r="M72" s="19">
        <f t="shared" si="17"/>
        <v>1.1854893908281998</v>
      </c>
      <c r="N72" s="19">
        <f t="shared" si="10"/>
        <v>7.7128934010152284</v>
      </c>
      <c r="O72" s="17">
        <f t="shared" si="18"/>
        <v>2425.3978477157361</v>
      </c>
      <c r="P72" s="17">
        <f t="shared" si="19"/>
        <v>727.61935431472079</v>
      </c>
    </row>
    <row r="73" spans="1:16" x14ac:dyDescent="0.3">
      <c r="A73" s="26" t="str">
        <v>C0072</v>
      </c>
      <c r="B73" s="26">
        <f>_xlfn.DAYS(DATE(2024,12,31),_xlfn.MAXIFS(ecommerce_transactions!$D$2:$D$9999, ecommerce_transactions!$B$2:$B$9999, A73))</f>
        <v>7</v>
      </c>
      <c r="C73" s="26">
        <f>COUNTIF(ecommerce_transactions!B:B,main_data!A73)</f>
        <v>3</v>
      </c>
      <c r="D73" s="35">
        <f>SUMIF(ecommerce_transactions!B:B,main_data!A73,ecommerce_transactions!E:E)</f>
        <v>996.52</v>
      </c>
      <c r="E73" s="28">
        <f t="shared" si="11"/>
        <v>5</v>
      </c>
      <c r="F73" s="28">
        <f t="shared" si="12"/>
        <v>1</v>
      </c>
      <c r="G73" s="26">
        <f t="shared" si="13"/>
        <v>2</v>
      </c>
      <c r="H73" s="18" t="str">
        <f t="shared" si="14"/>
        <v>512</v>
      </c>
      <c r="I73" s="26" t="str">
        <f t="shared" si="15"/>
        <v>New Customers</v>
      </c>
      <c r="J73" s="17">
        <f t="shared" si="16"/>
        <v>332.17333333333335</v>
      </c>
      <c r="K73" s="36">
        <f>_xlfn.MAXIFS(ecommerce_transactions!D:D,ecommerce_transactions!B:B,main_data!A73)</f>
        <v>45650</v>
      </c>
      <c r="L73" s="36">
        <f>_xlfn.MINIFS(ecommerce_transactions!D:D,ecommerce_transactions!B:B,main_data!A73)</f>
        <v>45437</v>
      </c>
      <c r="M73" s="19">
        <f t="shared" si="17"/>
        <v>0.58316221765913756</v>
      </c>
      <c r="N73" s="19">
        <f t="shared" si="10"/>
        <v>2.7696682464454976</v>
      </c>
      <c r="O73" s="17">
        <f t="shared" si="18"/>
        <v>536.51503317535548</v>
      </c>
      <c r="P73" s="17">
        <f t="shared" si="19"/>
        <v>160.95450995260663</v>
      </c>
    </row>
    <row r="74" spans="1:16" x14ac:dyDescent="0.3">
      <c r="A74" s="26" t="str">
        <v>C0073</v>
      </c>
      <c r="B74" s="26">
        <f>_xlfn.DAYS(DATE(2024,12,31),_xlfn.MAXIFS(ecommerce_transactions!$D$2:$D$9999, ecommerce_transactions!$B$2:$B$9999, A74))</f>
        <v>59</v>
      </c>
      <c r="C74" s="26">
        <f>COUNTIF(ecommerce_transactions!B:B,main_data!A74)</f>
        <v>2</v>
      </c>
      <c r="D74" s="35">
        <f>SUMIF(ecommerce_transactions!B:B,main_data!A74,ecommerce_transactions!E:E)</f>
        <v>404.68</v>
      </c>
      <c r="E74" s="28">
        <f t="shared" si="11"/>
        <v>2</v>
      </c>
      <c r="F74" s="28">
        <f t="shared" si="12"/>
        <v>1</v>
      </c>
      <c r="G74" s="26">
        <f t="shared" si="13"/>
        <v>1</v>
      </c>
      <c r="H74" s="18" t="str">
        <f t="shared" si="14"/>
        <v>211</v>
      </c>
      <c r="I74" s="26" t="str">
        <f t="shared" si="15"/>
        <v>About to Sleep</v>
      </c>
      <c r="J74" s="17">
        <f t="shared" si="16"/>
        <v>202.34</v>
      </c>
      <c r="K74" s="36">
        <f>_xlfn.MAXIFS(ecommerce_transactions!D:D,ecommerce_transactions!B:B,main_data!A74)</f>
        <v>45598</v>
      </c>
      <c r="L74" s="36">
        <f>_xlfn.MINIFS(ecommerce_transactions!D:D,ecommerce_transactions!B:B,main_data!A74)</f>
        <v>45488</v>
      </c>
      <c r="M74" s="19">
        <f t="shared" si="17"/>
        <v>0.30116358658453113</v>
      </c>
      <c r="N74" s="19">
        <f t="shared" si="10"/>
        <v>2.4963690730457069</v>
      </c>
      <c r="O74" s="17">
        <f t="shared" si="18"/>
        <v>152.12234087996583</v>
      </c>
      <c r="P74" s="17">
        <f t="shared" si="19"/>
        <v>45.636702263989747</v>
      </c>
    </row>
    <row r="75" spans="1:16" x14ac:dyDescent="0.3">
      <c r="A75" s="26" t="str">
        <v>C0074</v>
      </c>
      <c r="B75" s="26">
        <f>_xlfn.DAYS(DATE(2024,12,31),_xlfn.MAXIFS(ecommerce_transactions!$D$2:$D$9999, ecommerce_transactions!$B$2:$B$9999, A75))</f>
        <v>3</v>
      </c>
      <c r="C75" s="26">
        <f>COUNTIF(ecommerce_transactions!B:B,main_data!A75)</f>
        <v>10</v>
      </c>
      <c r="D75" s="35">
        <f>SUMIF(ecommerce_transactions!B:B,main_data!A75,ecommerce_transactions!E:E)</f>
        <v>2810.95</v>
      </c>
      <c r="E75" s="28">
        <f t="shared" si="11"/>
        <v>5</v>
      </c>
      <c r="F75" s="28">
        <f t="shared" si="12"/>
        <v>4</v>
      </c>
      <c r="G75" s="26">
        <f t="shared" si="13"/>
        <v>4</v>
      </c>
      <c r="H75" s="18" t="str">
        <f t="shared" si="14"/>
        <v>544</v>
      </c>
      <c r="I75" s="26" t="str">
        <f t="shared" si="15"/>
        <v>Champions</v>
      </c>
      <c r="J75" s="17">
        <f t="shared" si="16"/>
        <v>281.09499999999997</v>
      </c>
      <c r="K75" s="36">
        <f>_xlfn.MAXIFS(ecommerce_transactions!D:D,ecommerce_transactions!B:B,main_data!A75)</f>
        <v>45654</v>
      </c>
      <c r="L75" s="36">
        <f>_xlfn.MINIFS(ecommerce_transactions!D:D,ecommerce_transactions!B:B,main_data!A75)</f>
        <v>45519</v>
      </c>
      <c r="M75" s="19">
        <f t="shared" si="17"/>
        <v>0.36960985626283366</v>
      </c>
      <c r="N75" s="19">
        <f t="shared" si="10"/>
        <v>11.499409681227863</v>
      </c>
      <c r="O75" s="17">
        <f t="shared" si="18"/>
        <v>1194.7367178276268</v>
      </c>
      <c r="P75" s="17">
        <f t="shared" si="19"/>
        <v>358.42101534828799</v>
      </c>
    </row>
    <row r="76" spans="1:16" x14ac:dyDescent="0.3">
      <c r="A76" s="26" t="str">
        <v>C0075</v>
      </c>
      <c r="B76" s="26">
        <f>_xlfn.DAYS(DATE(2024,12,31),_xlfn.MAXIFS(ecommerce_transactions!$D$2:$D$9999, ecommerce_transactions!$B$2:$B$9999, A76))</f>
        <v>12</v>
      </c>
      <c r="C76" s="26">
        <f>COUNTIF(ecommerce_transactions!B:B,main_data!A76)</f>
        <v>14</v>
      </c>
      <c r="D76" s="35">
        <f>SUMIF(ecommerce_transactions!B:B,main_data!A76,ecommerce_transactions!E:E)</f>
        <v>3920.5299999999997</v>
      </c>
      <c r="E76" s="28">
        <f t="shared" si="11"/>
        <v>4</v>
      </c>
      <c r="F76" s="28">
        <f t="shared" si="12"/>
        <v>5</v>
      </c>
      <c r="G76" s="26">
        <f t="shared" si="13"/>
        <v>5</v>
      </c>
      <c r="H76" s="18" t="str">
        <f t="shared" si="14"/>
        <v>455</v>
      </c>
      <c r="I76" s="26" t="str">
        <f t="shared" si="15"/>
        <v>Champions</v>
      </c>
      <c r="J76" s="17">
        <f t="shared" si="16"/>
        <v>280.03785714285715</v>
      </c>
      <c r="K76" s="36">
        <f>_xlfn.MAXIFS(ecommerce_transactions!D:D,ecommerce_transactions!B:B,main_data!A76)</f>
        <v>45645</v>
      </c>
      <c r="L76" s="36">
        <f>_xlfn.MINIFS(ecommerce_transactions!D:D,ecommerce_transactions!B:B,main_data!A76)</f>
        <v>45328</v>
      </c>
      <c r="M76" s="19">
        <f t="shared" si="17"/>
        <v>0.86789869952087606</v>
      </c>
      <c r="N76" s="19">
        <f t="shared" si="10"/>
        <v>10.234676007005254</v>
      </c>
      <c r="O76" s="17">
        <f t="shared" si="18"/>
        <v>2487.4816312234175</v>
      </c>
      <c r="P76" s="17">
        <f t="shared" si="19"/>
        <v>746.24448936702527</v>
      </c>
    </row>
    <row r="77" spans="1:16" x14ac:dyDescent="0.3">
      <c r="A77" s="26" t="str">
        <v>C0076</v>
      </c>
      <c r="B77" s="26">
        <f>_xlfn.DAYS(DATE(2024,12,31),_xlfn.MAXIFS(ecommerce_transactions!$D$2:$D$9999, ecommerce_transactions!$B$2:$B$9999, A77))</f>
        <v>13</v>
      </c>
      <c r="C77" s="26">
        <f>COUNTIF(ecommerce_transactions!B:B,main_data!A77)</f>
        <v>11</v>
      </c>
      <c r="D77" s="35">
        <f>SUMIF(ecommerce_transactions!B:B,main_data!A77,ecommerce_transactions!E:E)</f>
        <v>2822.0999999999995</v>
      </c>
      <c r="E77" s="28">
        <f t="shared" si="11"/>
        <v>4</v>
      </c>
      <c r="F77" s="28">
        <f t="shared" si="12"/>
        <v>4</v>
      </c>
      <c r="G77" s="26">
        <f t="shared" si="13"/>
        <v>4</v>
      </c>
      <c r="H77" s="18" t="str">
        <f t="shared" si="14"/>
        <v>444</v>
      </c>
      <c r="I77" s="26" t="str">
        <f t="shared" si="15"/>
        <v>Champions</v>
      </c>
      <c r="J77" s="17">
        <f t="shared" si="16"/>
        <v>256.5545454545454</v>
      </c>
      <c r="K77" s="36">
        <f>_xlfn.MAXIFS(ecommerce_transactions!D:D,ecommerce_transactions!B:B,main_data!A77)</f>
        <v>45644</v>
      </c>
      <c r="L77" s="36">
        <f>_xlfn.MINIFS(ecommerce_transactions!D:D,ecommerce_transactions!B:B,main_data!A77)</f>
        <v>45565</v>
      </c>
      <c r="M77" s="19">
        <f t="shared" si="17"/>
        <v>0.216290212183436</v>
      </c>
      <c r="N77" s="19">
        <f t="shared" si="10"/>
        <v>15.356903965599617</v>
      </c>
      <c r="O77" s="17">
        <f t="shared" si="18"/>
        <v>852.1582417582415</v>
      </c>
      <c r="P77" s="17">
        <f t="shared" si="19"/>
        <v>255.64747252747244</v>
      </c>
    </row>
    <row r="78" spans="1:16" x14ac:dyDescent="0.3">
      <c r="A78" s="26" t="str">
        <v>C0077</v>
      </c>
      <c r="B78" s="26">
        <f>_xlfn.DAYS(DATE(2024,12,31),_xlfn.MAXIFS(ecommerce_transactions!$D$2:$D$9999, ecommerce_transactions!$B$2:$B$9999, A78))</f>
        <v>47</v>
      </c>
      <c r="C78" s="26">
        <f>COUNTIF(ecommerce_transactions!B:B,main_data!A78)</f>
        <v>8</v>
      </c>
      <c r="D78" s="35">
        <f>SUMIF(ecommerce_transactions!B:B,main_data!A78,ecommerce_transactions!E:E)</f>
        <v>1648.73</v>
      </c>
      <c r="E78" s="28">
        <f t="shared" si="11"/>
        <v>2</v>
      </c>
      <c r="F78" s="28">
        <f t="shared" si="12"/>
        <v>3</v>
      </c>
      <c r="G78" s="26">
        <f t="shared" si="13"/>
        <v>3</v>
      </c>
      <c r="H78" s="18" t="str">
        <f t="shared" si="14"/>
        <v>233</v>
      </c>
      <c r="I78" s="26" t="str">
        <f t="shared" si="15"/>
        <v>At Risk</v>
      </c>
      <c r="J78" s="17">
        <f t="shared" si="16"/>
        <v>206.09125</v>
      </c>
      <c r="K78" s="36">
        <f>_xlfn.MAXIFS(ecommerce_transactions!D:D,ecommerce_transactions!B:B,main_data!A78)</f>
        <v>45610</v>
      </c>
      <c r="L78" s="36">
        <f>_xlfn.MINIFS(ecommerce_transactions!D:D,ecommerce_transactions!B:B,main_data!A78)</f>
        <v>45400</v>
      </c>
      <c r="M78" s="19">
        <f t="shared" si="17"/>
        <v>0.57494866529774125</v>
      </c>
      <c r="N78" s="19">
        <f t="shared" si="10"/>
        <v>7.4422158548233037</v>
      </c>
      <c r="O78" s="17">
        <f t="shared" si="18"/>
        <v>881.84221585482317</v>
      </c>
      <c r="P78" s="17">
        <f t="shared" si="19"/>
        <v>264.55266475644692</v>
      </c>
    </row>
    <row r="79" spans="1:16" x14ac:dyDescent="0.3">
      <c r="A79" s="26" t="str">
        <v>C0078</v>
      </c>
      <c r="B79" s="26">
        <f>_xlfn.DAYS(DATE(2024,12,31),_xlfn.MAXIFS(ecommerce_transactions!$D$2:$D$9999, ecommerce_transactions!$B$2:$B$9999, A79))</f>
        <v>20</v>
      </c>
      <c r="C79" s="26">
        <f>COUNTIF(ecommerce_transactions!B:B,main_data!A79)</f>
        <v>12</v>
      </c>
      <c r="D79" s="35">
        <f>SUMIF(ecommerce_transactions!B:B,main_data!A79,ecommerce_transactions!E:E)</f>
        <v>3791.84</v>
      </c>
      <c r="E79" s="28">
        <f t="shared" si="11"/>
        <v>4</v>
      </c>
      <c r="F79" s="28">
        <f t="shared" si="12"/>
        <v>5</v>
      </c>
      <c r="G79" s="26">
        <f t="shared" si="13"/>
        <v>5</v>
      </c>
      <c r="H79" s="18" t="str">
        <f t="shared" si="14"/>
        <v>455</v>
      </c>
      <c r="I79" s="26" t="str">
        <f t="shared" si="15"/>
        <v>Champions</v>
      </c>
      <c r="J79" s="17">
        <f t="shared" si="16"/>
        <v>315.98666666666668</v>
      </c>
      <c r="K79" s="36">
        <f>_xlfn.MAXIFS(ecommerce_transactions!D:D,ecommerce_transactions!B:B,main_data!A79)</f>
        <v>45637</v>
      </c>
      <c r="L79" s="36">
        <f>_xlfn.MINIFS(ecommerce_transactions!D:D,ecommerce_transactions!B:B,main_data!A79)</f>
        <v>45373</v>
      </c>
      <c r="M79" s="19">
        <f t="shared" si="17"/>
        <v>0.7227926078028748</v>
      </c>
      <c r="N79" s="19">
        <f t="shared" si="10"/>
        <v>9.8136020151133501</v>
      </c>
      <c r="O79" s="17">
        <f t="shared" si="18"/>
        <v>2241.3563056255252</v>
      </c>
      <c r="P79" s="17">
        <f t="shared" si="19"/>
        <v>672.40689168765755</v>
      </c>
    </row>
    <row r="80" spans="1:16" x14ac:dyDescent="0.3">
      <c r="A80" s="26" t="str">
        <v>C0079</v>
      </c>
      <c r="B80" s="26">
        <f>_xlfn.DAYS(DATE(2024,12,31),_xlfn.MAXIFS(ecommerce_transactions!$D$2:$D$9999, ecommerce_transactions!$B$2:$B$9999, A80))</f>
        <v>10</v>
      </c>
      <c r="C80" s="26">
        <f>COUNTIF(ecommerce_transactions!B:B,main_data!A80)</f>
        <v>9</v>
      </c>
      <c r="D80" s="35">
        <f>SUMIF(ecommerce_transactions!B:B,main_data!A80,ecommerce_transactions!E:E)</f>
        <v>1957.4099999999999</v>
      </c>
      <c r="E80" s="28">
        <f t="shared" si="11"/>
        <v>4</v>
      </c>
      <c r="F80" s="28">
        <f t="shared" si="12"/>
        <v>4</v>
      </c>
      <c r="G80" s="26">
        <f t="shared" si="13"/>
        <v>3</v>
      </c>
      <c r="H80" s="18" t="str">
        <f t="shared" si="14"/>
        <v>443</v>
      </c>
      <c r="I80" s="26" t="str">
        <f t="shared" si="15"/>
        <v>Loyal Customers</v>
      </c>
      <c r="J80" s="17">
        <f t="shared" si="16"/>
        <v>217.48999999999998</v>
      </c>
      <c r="K80" s="36">
        <f>_xlfn.MAXIFS(ecommerce_transactions!D:D,ecommerce_transactions!B:B,main_data!A80)</f>
        <v>45647</v>
      </c>
      <c r="L80" s="36">
        <f>_xlfn.MINIFS(ecommerce_transactions!D:D,ecommerce_transactions!B:B,main_data!A80)</f>
        <v>45197</v>
      </c>
      <c r="M80" s="19">
        <f t="shared" si="17"/>
        <v>1.2320328542094456</v>
      </c>
      <c r="N80" s="19">
        <f t="shared" si="10"/>
        <v>5.196206283343213</v>
      </c>
      <c r="O80" s="17">
        <f t="shared" si="18"/>
        <v>1392.3485477178424</v>
      </c>
      <c r="P80" s="17">
        <f t="shared" si="19"/>
        <v>417.70456431535268</v>
      </c>
    </row>
    <row r="81" spans="1:16" x14ac:dyDescent="0.3">
      <c r="A81" s="26" t="str">
        <v>C0080</v>
      </c>
      <c r="B81" s="26">
        <f>_xlfn.DAYS(DATE(2024,12,31),_xlfn.MAXIFS(ecommerce_transactions!$D$2:$D$9999, ecommerce_transactions!$B$2:$B$9999, A81))</f>
        <v>68</v>
      </c>
      <c r="C81" s="26">
        <f>COUNTIF(ecommerce_transactions!B:B,main_data!A81)</f>
        <v>8</v>
      </c>
      <c r="D81" s="35">
        <f>SUMIF(ecommerce_transactions!B:B,main_data!A81,ecommerce_transactions!E:E)</f>
        <v>2294.5699999999997</v>
      </c>
      <c r="E81" s="28">
        <f t="shared" si="11"/>
        <v>2</v>
      </c>
      <c r="F81" s="28">
        <f t="shared" si="12"/>
        <v>3</v>
      </c>
      <c r="G81" s="26">
        <f t="shared" si="13"/>
        <v>4</v>
      </c>
      <c r="H81" s="18" t="str">
        <f t="shared" si="14"/>
        <v>234</v>
      </c>
      <c r="I81" s="26" t="str">
        <f t="shared" si="15"/>
        <v>At Risk</v>
      </c>
      <c r="J81" s="17">
        <f t="shared" si="16"/>
        <v>286.82124999999996</v>
      </c>
      <c r="K81" s="36">
        <f>_xlfn.MAXIFS(ecommerce_transactions!D:D,ecommerce_transactions!B:B,main_data!A81)</f>
        <v>45589</v>
      </c>
      <c r="L81" s="36">
        <f>_xlfn.MINIFS(ecommerce_transactions!D:D,ecommerce_transactions!B:B,main_data!A81)</f>
        <v>45473</v>
      </c>
      <c r="M81" s="19">
        <f t="shared" si="17"/>
        <v>0.31759069130732376</v>
      </c>
      <c r="N81" s="19">
        <f t="shared" si="10"/>
        <v>9.7848472164085383</v>
      </c>
      <c r="O81" s="17">
        <f t="shared" si="18"/>
        <v>891.31894516534101</v>
      </c>
      <c r="P81" s="17">
        <f t="shared" si="19"/>
        <v>267.39568354960227</v>
      </c>
    </row>
    <row r="82" spans="1:16" x14ac:dyDescent="0.3">
      <c r="A82" s="26" t="str">
        <v>C0081</v>
      </c>
      <c r="B82" s="26">
        <f>_xlfn.DAYS(DATE(2024,12,31),_xlfn.MAXIFS(ecommerce_transactions!$D$2:$D$9999, ecommerce_transactions!$B$2:$B$9999, A82))</f>
        <v>30</v>
      </c>
      <c r="C82" s="26">
        <f>COUNTIF(ecommerce_transactions!B:B,main_data!A82)</f>
        <v>8</v>
      </c>
      <c r="D82" s="35">
        <f>SUMIF(ecommerce_transactions!B:B,main_data!A82,ecommerce_transactions!E:E)</f>
        <v>2424.73</v>
      </c>
      <c r="E82" s="28">
        <f t="shared" si="11"/>
        <v>3</v>
      </c>
      <c r="F82" s="28">
        <f t="shared" si="12"/>
        <v>3</v>
      </c>
      <c r="G82" s="26">
        <f t="shared" si="13"/>
        <v>4</v>
      </c>
      <c r="H82" s="18" t="str">
        <f t="shared" si="14"/>
        <v>334</v>
      </c>
      <c r="I82" s="26" t="str">
        <f t="shared" si="15"/>
        <v>Loyal Customers</v>
      </c>
      <c r="J82" s="17">
        <f t="shared" si="16"/>
        <v>303.09125</v>
      </c>
      <c r="K82" s="36">
        <f>_xlfn.MAXIFS(ecommerce_transactions!D:D,ecommerce_transactions!B:B,main_data!A82)</f>
        <v>45627</v>
      </c>
      <c r="L82" s="36">
        <f>_xlfn.MINIFS(ecommerce_transactions!D:D,ecommerce_transactions!B:B,main_data!A82)</f>
        <v>45140</v>
      </c>
      <c r="M82" s="19">
        <f t="shared" si="17"/>
        <v>1.3333333333333333</v>
      </c>
      <c r="N82" s="19">
        <f t="shared" si="10"/>
        <v>4.3636363636363642</v>
      </c>
      <c r="O82" s="17">
        <f t="shared" si="18"/>
        <v>1763.44</v>
      </c>
      <c r="P82" s="17">
        <f t="shared" si="19"/>
        <v>529.03200000000004</v>
      </c>
    </row>
    <row r="83" spans="1:16" x14ac:dyDescent="0.3">
      <c r="A83" s="26" t="str">
        <v>C0082</v>
      </c>
      <c r="B83" s="26">
        <f>_xlfn.DAYS(DATE(2024,12,31),_xlfn.MAXIFS(ecommerce_transactions!$D$2:$D$9999, ecommerce_transactions!$B$2:$B$9999, A83))</f>
        <v>5</v>
      </c>
      <c r="C83" s="26">
        <f>COUNTIF(ecommerce_transactions!B:B,main_data!A83)</f>
        <v>10</v>
      </c>
      <c r="D83" s="35">
        <f>SUMIF(ecommerce_transactions!B:B,main_data!A83,ecommerce_transactions!E:E)</f>
        <v>1939.05</v>
      </c>
      <c r="E83" s="28">
        <f t="shared" si="11"/>
        <v>5</v>
      </c>
      <c r="F83" s="28">
        <f t="shared" si="12"/>
        <v>4</v>
      </c>
      <c r="G83" s="26">
        <f t="shared" si="13"/>
        <v>3</v>
      </c>
      <c r="H83" s="18" t="str">
        <f t="shared" si="14"/>
        <v>543</v>
      </c>
      <c r="I83" s="26" t="str">
        <f t="shared" si="15"/>
        <v>Loyal Customers</v>
      </c>
      <c r="J83" s="17">
        <f t="shared" si="16"/>
        <v>193.905</v>
      </c>
      <c r="K83" s="36">
        <f>_xlfn.MAXIFS(ecommerce_transactions!D:D,ecommerce_transactions!B:B,main_data!A83)</f>
        <v>45652</v>
      </c>
      <c r="L83" s="36">
        <f>_xlfn.MINIFS(ecommerce_transactions!D:D,ecommerce_transactions!B:B,main_data!A83)</f>
        <v>45288</v>
      </c>
      <c r="M83" s="19">
        <f t="shared" si="17"/>
        <v>0.99657768651608492</v>
      </c>
      <c r="N83" s="19">
        <f t="shared" si="10"/>
        <v>6.6819117310770633</v>
      </c>
      <c r="O83" s="17">
        <f t="shared" si="18"/>
        <v>1291.2219528927508</v>
      </c>
      <c r="P83" s="17">
        <f t="shared" si="19"/>
        <v>387.36658586782522</v>
      </c>
    </row>
    <row r="84" spans="1:16" x14ac:dyDescent="0.3">
      <c r="A84" s="26" t="str">
        <v>C0083</v>
      </c>
      <c r="B84" s="26">
        <f>_xlfn.DAYS(DATE(2024,12,31),_xlfn.MAXIFS(ecommerce_transactions!$D$2:$D$9999, ecommerce_transactions!$B$2:$B$9999, A84))</f>
        <v>141</v>
      </c>
      <c r="C84" s="26">
        <f>COUNTIF(ecommerce_transactions!B:B,main_data!A84)</f>
        <v>5</v>
      </c>
      <c r="D84" s="35">
        <f>SUMIF(ecommerce_transactions!B:B,main_data!A84,ecommerce_transactions!E:E)</f>
        <v>1108.3100000000002</v>
      </c>
      <c r="E84" s="28">
        <f t="shared" si="11"/>
        <v>1</v>
      </c>
      <c r="F84" s="28">
        <f t="shared" si="12"/>
        <v>2</v>
      </c>
      <c r="G84" s="26">
        <f t="shared" si="13"/>
        <v>2</v>
      </c>
      <c r="H84" s="18" t="str">
        <f t="shared" si="14"/>
        <v>122</v>
      </c>
      <c r="I84" s="26" t="str">
        <f t="shared" si="15"/>
        <v>About to Sleep</v>
      </c>
      <c r="J84" s="17">
        <f t="shared" si="16"/>
        <v>221.66200000000003</v>
      </c>
      <c r="K84" s="36">
        <f>_xlfn.MAXIFS(ecommerce_transactions!D:D,ecommerce_transactions!B:B,main_data!A84)</f>
        <v>45516</v>
      </c>
      <c r="L84" s="36">
        <f>_xlfn.MINIFS(ecommerce_transactions!D:D,ecommerce_transactions!B:B,main_data!A84)</f>
        <v>45102</v>
      </c>
      <c r="M84" s="19">
        <f t="shared" si="17"/>
        <v>1.1334702258726899</v>
      </c>
      <c r="N84" s="19">
        <f t="shared" si="10"/>
        <v>3.0609679446888749</v>
      </c>
      <c r="O84" s="17">
        <f t="shared" si="18"/>
        <v>769.05986172218741</v>
      </c>
      <c r="P84" s="17">
        <f t="shared" si="19"/>
        <v>230.71795851665621</v>
      </c>
    </row>
    <row r="85" spans="1:16" x14ac:dyDescent="0.3">
      <c r="A85" s="26" t="str">
        <v>C0084</v>
      </c>
      <c r="B85" s="26">
        <f>_xlfn.DAYS(DATE(2024,12,31),_xlfn.MAXIFS(ecommerce_transactions!$D$2:$D$9999, ecommerce_transactions!$B$2:$B$9999, A85))</f>
        <v>3</v>
      </c>
      <c r="C85" s="26">
        <f>COUNTIF(ecommerce_transactions!B:B,main_data!A85)</f>
        <v>8</v>
      </c>
      <c r="D85" s="35">
        <f>SUMIF(ecommerce_transactions!B:B,main_data!A85,ecommerce_transactions!E:E)</f>
        <v>1800.39</v>
      </c>
      <c r="E85" s="28">
        <f t="shared" si="11"/>
        <v>5</v>
      </c>
      <c r="F85" s="28">
        <f t="shared" si="12"/>
        <v>3</v>
      </c>
      <c r="G85" s="26">
        <f t="shared" si="13"/>
        <v>3</v>
      </c>
      <c r="H85" s="18" t="str">
        <f t="shared" si="14"/>
        <v>533</v>
      </c>
      <c r="I85" s="26" t="str">
        <f t="shared" si="15"/>
        <v>Loyal Customers</v>
      </c>
      <c r="J85" s="17">
        <f t="shared" si="16"/>
        <v>225.04875000000001</v>
      </c>
      <c r="K85" s="36">
        <f>_xlfn.MAXIFS(ecommerce_transactions!D:D,ecommerce_transactions!B:B,main_data!A85)</f>
        <v>45654</v>
      </c>
      <c r="L85" s="36">
        <f>_xlfn.MINIFS(ecommerce_transactions!D:D,ecommerce_transactions!B:B,main_data!A85)</f>
        <v>45030</v>
      </c>
      <c r="M85" s="19">
        <f t="shared" si="17"/>
        <v>1.7084188911704312</v>
      </c>
      <c r="N85" s="19">
        <f t="shared" si="10"/>
        <v>3.6225011622501162</v>
      </c>
      <c r="O85" s="17">
        <f t="shared" si="18"/>
        <v>1392.7703207810321</v>
      </c>
      <c r="P85" s="17">
        <f t="shared" si="19"/>
        <v>417.8310962343096</v>
      </c>
    </row>
    <row r="86" spans="1:16" x14ac:dyDescent="0.3">
      <c r="A86" s="26" t="str">
        <v>C0085</v>
      </c>
      <c r="B86" s="26">
        <f>_xlfn.DAYS(DATE(2024,12,31),_xlfn.MAXIFS(ecommerce_transactions!$D$2:$D$9999, ecommerce_transactions!$B$2:$B$9999, A86))</f>
        <v>57</v>
      </c>
      <c r="C86" s="26">
        <f>COUNTIF(ecommerce_transactions!B:B,main_data!A86)</f>
        <v>12</v>
      </c>
      <c r="D86" s="35">
        <f>SUMIF(ecommerce_transactions!B:B,main_data!A86,ecommerce_transactions!E:E)</f>
        <v>3197.2699999999995</v>
      </c>
      <c r="E86" s="28">
        <f t="shared" si="11"/>
        <v>2</v>
      </c>
      <c r="F86" s="28">
        <f t="shared" si="12"/>
        <v>5</v>
      </c>
      <c r="G86" s="26">
        <f t="shared" si="13"/>
        <v>5</v>
      </c>
      <c r="H86" s="18" t="str">
        <f t="shared" si="14"/>
        <v>255</v>
      </c>
      <c r="I86" s="26" t="str">
        <f t="shared" si="15"/>
        <v>At Risk</v>
      </c>
      <c r="J86" s="17">
        <f t="shared" si="16"/>
        <v>266.43916666666661</v>
      </c>
      <c r="K86" s="36">
        <f>_xlfn.MAXIFS(ecommerce_transactions!D:D,ecommerce_transactions!B:B,main_data!A86)</f>
        <v>45600</v>
      </c>
      <c r="L86" s="36">
        <f>_xlfn.MINIFS(ecommerce_transactions!D:D,ecommerce_transactions!B:B,main_data!A86)</f>
        <v>45191</v>
      </c>
      <c r="M86" s="19">
        <f t="shared" si="17"/>
        <v>1.1197809719370295</v>
      </c>
      <c r="N86" s="19">
        <f t="shared" si="10"/>
        <v>7.4084090428903444</v>
      </c>
      <c r="O86" s="17">
        <f t="shared" si="18"/>
        <v>2210.3248341432491</v>
      </c>
      <c r="P86" s="17">
        <f t="shared" si="19"/>
        <v>663.09745024297467</v>
      </c>
    </row>
    <row r="87" spans="1:16" x14ac:dyDescent="0.3">
      <c r="A87" s="26" t="str">
        <v>C0086</v>
      </c>
      <c r="B87" s="26">
        <f>_xlfn.DAYS(DATE(2024,12,31),_xlfn.MAXIFS(ecommerce_transactions!$D$2:$D$9999, ecommerce_transactions!$B$2:$B$9999, A87))</f>
        <v>33</v>
      </c>
      <c r="C87" s="26">
        <f>COUNTIF(ecommerce_transactions!B:B,main_data!A87)</f>
        <v>8</v>
      </c>
      <c r="D87" s="35">
        <f>SUMIF(ecommerce_transactions!B:B,main_data!A87,ecommerce_transactions!E:E)</f>
        <v>2262.6699999999996</v>
      </c>
      <c r="E87" s="28">
        <f t="shared" si="11"/>
        <v>3</v>
      </c>
      <c r="F87" s="28">
        <f t="shared" si="12"/>
        <v>3</v>
      </c>
      <c r="G87" s="26">
        <f t="shared" si="13"/>
        <v>3</v>
      </c>
      <c r="H87" s="18" t="str">
        <f t="shared" si="14"/>
        <v>333</v>
      </c>
      <c r="I87" s="26" t="str">
        <f t="shared" si="15"/>
        <v>Loyal Customers</v>
      </c>
      <c r="J87" s="17">
        <f t="shared" si="16"/>
        <v>282.83374999999995</v>
      </c>
      <c r="K87" s="36">
        <f>_xlfn.MAXIFS(ecommerce_transactions!D:D,ecommerce_transactions!B:B,main_data!A87)</f>
        <v>45624</v>
      </c>
      <c r="L87" s="36">
        <f>_xlfn.MINIFS(ecommerce_transactions!D:D,ecommerce_transactions!B:B,main_data!A87)</f>
        <v>45518</v>
      </c>
      <c r="M87" s="19">
        <f t="shared" si="17"/>
        <v>0.29021218343600275</v>
      </c>
      <c r="N87" s="19">
        <f t="shared" si="10"/>
        <v>10.123863144218276</v>
      </c>
      <c r="O87" s="17">
        <f t="shared" si="18"/>
        <v>830.98491121697703</v>
      </c>
      <c r="P87" s="17">
        <f t="shared" si="19"/>
        <v>249.2954733650931</v>
      </c>
    </row>
    <row r="88" spans="1:16" x14ac:dyDescent="0.3">
      <c r="A88" s="26" t="str">
        <v>C0087</v>
      </c>
      <c r="B88" s="26">
        <f>_xlfn.DAYS(DATE(2024,12,31),_xlfn.MAXIFS(ecommerce_transactions!$D$2:$D$9999, ecommerce_transactions!$B$2:$B$9999, A88))</f>
        <v>38</v>
      </c>
      <c r="C88" s="26">
        <f>COUNTIF(ecommerce_transactions!B:B,main_data!A88)</f>
        <v>14</v>
      </c>
      <c r="D88" s="35">
        <f>SUMIF(ecommerce_transactions!B:B,main_data!A88,ecommerce_transactions!E:E)</f>
        <v>4347.25</v>
      </c>
      <c r="E88" s="28">
        <f t="shared" si="11"/>
        <v>3</v>
      </c>
      <c r="F88" s="28">
        <f t="shared" si="12"/>
        <v>5</v>
      </c>
      <c r="G88" s="26">
        <f t="shared" si="13"/>
        <v>5</v>
      </c>
      <c r="H88" s="18" t="str">
        <f t="shared" si="14"/>
        <v>355</v>
      </c>
      <c r="I88" s="26" t="str">
        <f t="shared" si="15"/>
        <v>Loyal Customers</v>
      </c>
      <c r="J88" s="17">
        <f t="shared" si="16"/>
        <v>310.51785714285717</v>
      </c>
      <c r="K88" s="36">
        <f>_xlfn.MAXIFS(ecommerce_transactions!D:D,ecommerce_transactions!B:B,main_data!A88)</f>
        <v>45619</v>
      </c>
      <c r="L88" s="36">
        <f>_xlfn.MINIFS(ecommerce_transactions!D:D,ecommerce_transactions!B:B,main_data!A88)</f>
        <v>45145</v>
      </c>
      <c r="M88" s="19">
        <f t="shared" si="17"/>
        <v>1.2977412731006159</v>
      </c>
      <c r="N88" s="19">
        <f t="shared" si="10"/>
        <v>7.7875499714448893</v>
      </c>
      <c r="O88" s="17">
        <f t="shared" si="18"/>
        <v>3138.1633352370077</v>
      </c>
      <c r="P88" s="17">
        <f t="shared" si="19"/>
        <v>941.44900057110226</v>
      </c>
    </row>
    <row r="89" spans="1:16" x14ac:dyDescent="0.3">
      <c r="A89" s="26" t="str">
        <v>C0088</v>
      </c>
      <c r="B89" s="26">
        <f>_xlfn.DAYS(DATE(2024,12,31),_xlfn.MAXIFS(ecommerce_transactions!$D$2:$D$9999, ecommerce_transactions!$B$2:$B$9999, A89))</f>
        <v>4</v>
      </c>
      <c r="C89" s="26">
        <f>COUNTIF(ecommerce_transactions!B:B,main_data!A89)</f>
        <v>14</v>
      </c>
      <c r="D89" s="35">
        <f>SUMIF(ecommerce_transactions!B:B,main_data!A89,ecommerce_transactions!E:E)</f>
        <v>3700.4900000000007</v>
      </c>
      <c r="E89" s="28">
        <f t="shared" si="11"/>
        <v>5</v>
      </c>
      <c r="F89" s="28">
        <f t="shared" si="12"/>
        <v>5</v>
      </c>
      <c r="G89" s="26">
        <f t="shared" si="13"/>
        <v>5</v>
      </c>
      <c r="H89" s="18" t="str">
        <f t="shared" si="14"/>
        <v>555</v>
      </c>
      <c r="I89" s="26" t="str">
        <f t="shared" si="15"/>
        <v>Champions</v>
      </c>
      <c r="J89" s="17">
        <f t="shared" si="16"/>
        <v>264.32071428571436</v>
      </c>
      <c r="K89" s="36">
        <f>_xlfn.MAXIFS(ecommerce_transactions!D:D,ecommerce_transactions!B:B,main_data!A89)</f>
        <v>45653</v>
      </c>
      <c r="L89" s="36">
        <f>_xlfn.MINIFS(ecommerce_transactions!D:D,ecommerce_transactions!B:B,main_data!A89)</f>
        <v>45091</v>
      </c>
      <c r="M89" s="19">
        <f t="shared" si="17"/>
        <v>1.538672142368241</v>
      </c>
      <c r="N89" s="19">
        <f t="shared" si="10"/>
        <v>6.8672150411280848</v>
      </c>
      <c r="O89" s="17">
        <f t="shared" si="18"/>
        <v>2792.9164075877129</v>
      </c>
      <c r="P89" s="17">
        <f t="shared" si="19"/>
        <v>837.8749222763139</v>
      </c>
    </row>
    <row r="90" spans="1:16" x14ac:dyDescent="0.3">
      <c r="A90" s="26" t="str">
        <v>C0089</v>
      </c>
      <c r="B90" s="26">
        <f>_xlfn.DAYS(DATE(2024,12,31),_xlfn.MAXIFS(ecommerce_transactions!$D$2:$D$9999, ecommerce_transactions!$B$2:$B$9999, A90))</f>
        <v>38</v>
      </c>
      <c r="C90" s="26">
        <f>COUNTIF(ecommerce_transactions!B:B,main_data!A90)</f>
        <v>10</v>
      </c>
      <c r="D90" s="35">
        <f>SUMIF(ecommerce_transactions!B:B,main_data!A90,ecommerce_transactions!E:E)</f>
        <v>2631.13</v>
      </c>
      <c r="E90" s="28">
        <f t="shared" si="11"/>
        <v>3</v>
      </c>
      <c r="F90" s="28">
        <f t="shared" si="12"/>
        <v>4</v>
      </c>
      <c r="G90" s="26">
        <f t="shared" si="13"/>
        <v>4</v>
      </c>
      <c r="H90" s="18" t="str">
        <f t="shared" si="14"/>
        <v>344</v>
      </c>
      <c r="I90" s="26" t="str">
        <f t="shared" si="15"/>
        <v>Loyal Customers</v>
      </c>
      <c r="J90" s="17">
        <f t="shared" si="16"/>
        <v>263.113</v>
      </c>
      <c r="K90" s="36">
        <f>_xlfn.MAXIFS(ecommerce_transactions!D:D,ecommerce_transactions!B:B,main_data!A90)</f>
        <v>45619</v>
      </c>
      <c r="L90" s="36">
        <f>_xlfn.MINIFS(ecommerce_transactions!D:D,ecommerce_transactions!B:B,main_data!A90)</f>
        <v>45219</v>
      </c>
      <c r="M90" s="19">
        <f t="shared" si="17"/>
        <v>1.0951403148528405</v>
      </c>
      <c r="N90" s="19">
        <f t="shared" si="10"/>
        <v>6.2690409783308301</v>
      </c>
      <c r="O90" s="17">
        <f t="shared" si="18"/>
        <v>1806.3969105342198</v>
      </c>
      <c r="P90" s="17">
        <f t="shared" si="19"/>
        <v>541.91907316026595</v>
      </c>
    </row>
    <row r="91" spans="1:16" x14ac:dyDescent="0.3">
      <c r="A91" s="26" t="str">
        <v>C0090</v>
      </c>
      <c r="B91" s="26">
        <f>_xlfn.DAYS(DATE(2024,12,31),_xlfn.MAXIFS(ecommerce_transactions!$D$2:$D$9999, ecommerce_transactions!$B$2:$B$9999, A91))</f>
        <v>39</v>
      </c>
      <c r="C91" s="26">
        <f>COUNTIF(ecommerce_transactions!B:B,main_data!A91)</f>
        <v>13</v>
      </c>
      <c r="D91" s="35">
        <f>SUMIF(ecommerce_transactions!B:B,main_data!A91,ecommerce_transactions!E:E)</f>
        <v>3654.35</v>
      </c>
      <c r="E91" s="28">
        <f t="shared" si="11"/>
        <v>3</v>
      </c>
      <c r="F91" s="28">
        <f t="shared" si="12"/>
        <v>5</v>
      </c>
      <c r="G91" s="26">
        <f t="shared" si="13"/>
        <v>5</v>
      </c>
      <c r="H91" s="18" t="str">
        <f t="shared" si="14"/>
        <v>355</v>
      </c>
      <c r="I91" s="26" t="str">
        <f t="shared" si="15"/>
        <v>Loyal Customers</v>
      </c>
      <c r="J91" s="17">
        <f t="shared" si="16"/>
        <v>281.10384615384612</v>
      </c>
      <c r="K91" s="36">
        <f>_xlfn.MAXIFS(ecommerce_transactions!D:D,ecommerce_transactions!B:B,main_data!A91)</f>
        <v>45618</v>
      </c>
      <c r="L91" s="36">
        <f>_xlfn.MINIFS(ecommerce_transactions!D:D,ecommerce_transactions!B:B,main_data!A91)</f>
        <v>45174</v>
      </c>
      <c r="M91" s="19">
        <f t="shared" si="17"/>
        <v>1.215605749486653</v>
      </c>
      <c r="N91" s="19">
        <f t="shared" si="10"/>
        <v>7.5774985038898865</v>
      </c>
      <c r="O91" s="17">
        <f t="shared" si="18"/>
        <v>2589.3180131657691</v>
      </c>
      <c r="P91" s="17">
        <f t="shared" si="19"/>
        <v>776.79540394973071</v>
      </c>
    </row>
    <row r="92" spans="1:16" x14ac:dyDescent="0.3">
      <c r="A92" s="26" t="str">
        <v>C0091</v>
      </c>
      <c r="B92" s="26">
        <f>_xlfn.DAYS(DATE(2024,12,31),_xlfn.MAXIFS(ecommerce_transactions!$D$2:$D$9999, ecommerce_transactions!$B$2:$B$9999, A92))</f>
        <v>20</v>
      </c>
      <c r="C92" s="26">
        <f>COUNTIF(ecommerce_transactions!B:B,main_data!A92)</f>
        <v>9</v>
      </c>
      <c r="D92" s="35">
        <f>SUMIF(ecommerce_transactions!B:B,main_data!A92,ecommerce_transactions!E:E)</f>
        <v>2519.17</v>
      </c>
      <c r="E92" s="28">
        <f t="shared" si="11"/>
        <v>4</v>
      </c>
      <c r="F92" s="28">
        <f t="shared" si="12"/>
        <v>4</v>
      </c>
      <c r="G92" s="26">
        <f t="shared" si="13"/>
        <v>4</v>
      </c>
      <c r="H92" s="18" t="str">
        <f t="shared" si="14"/>
        <v>444</v>
      </c>
      <c r="I92" s="26" t="str">
        <f t="shared" si="15"/>
        <v>Champions</v>
      </c>
      <c r="J92" s="17">
        <f t="shared" si="16"/>
        <v>279.90777777777777</v>
      </c>
      <c r="K92" s="36">
        <f>_xlfn.MAXIFS(ecommerce_transactions!D:D,ecommerce_transactions!B:B,main_data!A92)</f>
        <v>45637</v>
      </c>
      <c r="L92" s="36">
        <f>_xlfn.MINIFS(ecommerce_transactions!D:D,ecommerce_transactions!B:B,main_data!A92)</f>
        <v>45289</v>
      </c>
      <c r="M92" s="19">
        <f t="shared" si="17"/>
        <v>0.95277207392197127</v>
      </c>
      <c r="N92" s="19">
        <f t="shared" si="10"/>
        <v>6.1950530035335696</v>
      </c>
      <c r="O92" s="17">
        <f t="shared" si="18"/>
        <v>1652.1482402826857</v>
      </c>
      <c r="P92" s="17">
        <f t="shared" si="19"/>
        <v>495.64447208480567</v>
      </c>
    </row>
    <row r="93" spans="1:16" x14ac:dyDescent="0.3">
      <c r="A93" s="26" t="str">
        <v>C0092</v>
      </c>
      <c r="B93" s="26">
        <f>_xlfn.DAYS(DATE(2024,12,31),_xlfn.MAXIFS(ecommerce_transactions!$D$2:$D$9999, ecommerce_transactions!$B$2:$B$9999, A93))</f>
        <v>40</v>
      </c>
      <c r="C93" s="26">
        <f>COUNTIF(ecommerce_transactions!B:B,main_data!A93)</f>
        <v>12</v>
      </c>
      <c r="D93" s="35">
        <f>SUMIF(ecommerce_transactions!B:B,main_data!A93,ecommerce_transactions!E:E)</f>
        <v>3291.98</v>
      </c>
      <c r="E93" s="28">
        <f t="shared" si="11"/>
        <v>3</v>
      </c>
      <c r="F93" s="28">
        <f t="shared" si="12"/>
        <v>5</v>
      </c>
      <c r="G93" s="26">
        <f t="shared" si="13"/>
        <v>5</v>
      </c>
      <c r="H93" s="18" t="str">
        <f t="shared" si="14"/>
        <v>355</v>
      </c>
      <c r="I93" s="26" t="str">
        <f t="shared" si="15"/>
        <v>Loyal Customers</v>
      </c>
      <c r="J93" s="17">
        <f t="shared" si="16"/>
        <v>274.33166666666665</v>
      </c>
      <c r="K93" s="36">
        <f>_xlfn.MAXIFS(ecommerce_transactions!D:D,ecommerce_transactions!B:B,main_data!A93)</f>
        <v>45617</v>
      </c>
      <c r="L93" s="36">
        <f>_xlfn.MINIFS(ecommerce_transactions!D:D,ecommerce_transactions!B:B,main_data!A93)</f>
        <v>45294</v>
      </c>
      <c r="M93" s="19">
        <f t="shared" si="17"/>
        <v>0.88432580424366869</v>
      </c>
      <c r="N93" s="19">
        <f t="shared" si="10"/>
        <v>8.6684796044499386</v>
      </c>
      <c r="O93" s="17">
        <f t="shared" si="18"/>
        <v>2102.9607713226205</v>
      </c>
      <c r="P93" s="17">
        <f t="shared" si="19"/>
        <v>630.88823139678618</v>
      </c>
    </row>
    <row r="94" spans="1:16" x14ac:dyDescent="0.3">
      <c r="A94" s="26" t="str">
        <v>C0093</v>
      </c>
      <c r="B94" s="26">
        <f>_xlfn.DAYS(DATE(2024,12,31),_xlfn.MAXIFS(ecommerce_transactions!$D$2:$D$9999, ecommerce_transactions!$B$2:$B$9999, A94))</f>
        <v>102</v>
      </c>
      <c r="C94" s="26">
        <f>COUNTIF(ecommerce_transactions!B:B,main_data!A94)</f>
        <v>11</v>
      </c>
      <c r="D94" s="35">
        <f>SUMIF(ecommerce_transactions!B:B,main_data!A94,ecommerce_transactions!E:E)</f>
        <v>2814.52</v>
      </c>
      <c r="E94" s="28">
        <f t="shared" si="11"/>
        <v>1</v>
      </c>
      <c r="F94" s="28">
        <f t="shared" si="12"/>
        <v>4</v>
      </c>
      <c r="G94" s="26">
        <f t="shared" si="13"/>
        <v>4</v>
      </c>
      <c r="H94" s="18" t="str">
        <f t="shared" si="14"/>
        <v>144</v>
      </c>
      <c r="I94" s="26" t="str">
        <f t="shared" si="15"/>
        <v>At Risk</v>
      </c>
      <c r="J94" s="17">
        <f t="shared" si="16"/>
        <v>255.86545454545455</v>
      </c>
      <c r="K94" s="36">
        <f>_xlfn.MAXIFS(ecommerce_transactions!D:D,ecommerce_transactions!B:B,main_data!A94)</f>
        <v>45555</v>
      </c>
      <c r="L94" s="36">
        <f>_xlfn.MINIFS(ecommerce_transactions!D:D,ecommerce_transactions!B:B,main_data!A94)</f>
        <v>45194</v>
      </c>
      <c r="M94" s="19">
        <f t="shared" si="17"/>
        <v>0.9883641341546886</v>
      </c>
      <c r="N94" s="19">
        <f t="shared" si="10"/>
        <v>7.3906645205794437</v>
      </c>
      <c r="O94" s="17">
        <f t="shared" si="18"/>
        <v>1869.0121315244887</v>
      </c>
      <c r="P94" s="17">
        <f t="shared" si="19"/>
        <v>560.70363945734664</v>
      </c>
    </row>
    <row r="95" spans="1:16" x14ac:dyDescent="0.3">
      <c r="A95" s="26" t="str">
        <v>C0094</v>
      </c>
      <c r="B95" s="26">
        <f>_xlfn.DAYS(DATE(2024,12,31),_xlfn.MAXIFS(ecommerce_transactions!$D$2:$D$9999, ecommerce_transactions!$B$2:$B$9999, A95))</f>
        <v>350</v>
      </c>
      <c r="C95" s="26">
        <f>COUNTIF(ecommerce_transactions!B:B,main_data!A95)</f>
        <v>1</v>
      </c>
      <c r="D95" s="35">
        <f>SUMIF(ecommerce_transactions!B:B,main_data!A95,ecommerce_transactions!E:E)</f>
        <v>483.54</v>
      </c>
      <c r="E95" s="28">
        <f t="shared" si="11"/>
        <v>1</v>
      </c>
      <c r="F95" s="28">
        <f t="shared" si="12"/>
        <v>1</v>
      </c>
      <c r="G95" s="26">
        <f t="shared" si="13"/>
        <v>1</v>
      </c>
      <c r="H95" s="18" t="str">
        <f t="shared" si="14"/>
        <v>111</v>
      </c>
      <c r="I95" s="26" t="str">
        <f t="shared" si="15"/>
        <v>About to Sleep</v>
      </c>
      <c r="J95" s="17">
        <f t="shared" si="16"/>
        <v>483.54</v>
      </c>
      <c r="K95" s="36">
        <f>_xlfn.MAXIFS(ecommerce_transactions!D:D,ecommerce_transactions!B:B,main_data!A95)</f>
        <v>45307</v>
      </c>
      <c r="L95" s="36">
        <f>_xlfn.MINIFS(ecommerce_transactions!D:D,ecommerce_transactions!B:B,main_data!A95)</f>
        <v>45307</v>
      </c>
      <c r="M95" s="19">
        <f t="shared" si="17"/>
        <v>0</v>
      </c>
      <c r="N95" s="19">
        <f t="shared" si="10"/>
        <v>2</v>
      </c>
      <c r="O95" s="17">
        <f t="shared" si="18"/>
        <v>0</v>
      </c>
      <c r="P95" s="17">
        <f t="shared" si="19"/>
        <v>0</v>
      </c>
    </row>
    <row r="96" spans="1:16" x14ac:dyDescent="0.3">
      <c r="A96" s="26" t="str">
        <v>C0095</v>
      </c>
      <c r="B96" s="26">
        <f>_xlfn.DAYS(DATE(2024,12,31),_xlfn.MAXIFS(ecommerce_transactions!$D$2:$D$9999, ecommerce_transactions!$B$2:$B$9999, A96))</f>
        <v>354</v>
      </c>
      <c r="C96" s="26">
        <f>COUNTIF(ecommerce_transactions!B:B,main_data!A96)</f>
        <v>1</v>
      </c>
      <c r="D96" s="35">
        <f>SUMIF(ecommerce_transactions!B:B,main_data!A96,ecommerce_transactions!E:E)</f>
        <v>499.86</v>
      </c>
      <c r="E96" s="28">
        <f t="shared" si="11"/>
        <v>1</v>
      </c>
      <c r="F96" s="28">
        <f t="shared" si="12"/>
        <v>1</v>
      </c>
      <c r="G96" s="26">
        <f t="shared" si="13"/>
        <v>1</v>
      </c>
      <c r="H96" s="18" t="str">
        <f t="shared" si="14"/>
        <v>111</v>
      </c>
      <c r="I96" s="26" t="str">
        <f t="shared" si="15"/>
        <v>About to Sleep</v>
      </c>
      <c r="J96" s="17">
        <f t="shared" si="16"/>
        <v>499.86</v>
      </c>
      <c r="K96" s="36">
        <f>_xlfn.MAXIFS(ecommerce_transactions!D:D,ecommerce_transactions!B:B,main_data!A96)</f>
        <v>45303</v>
      </c>
      <c r="L96" s="36">
        <f>_xlfn.MINIFS(ecommerce_transactions!D:D,ecommerce_transactions!B:B,main_data!A96)</f>
        <v>45303</v>
      </c>
      <c r="M96" s="19">
        <f t="shared" si="17"/>
        <v>0</v>
      </c>
      <c r="N96" s="19">
        <f t="shared" si="10"/>
        <v>2</v>
      </c>
      <c r="O96" s="17">
        <f t="shared" si="18"/>
        <v>0</v>
      </c>
      <c r="P96" s="17">
        <f t="shared" si="19"/>
        <v>0</v>
      </c>
    </row>
    <row r="97" spans="1:16" x14ac:dyDescent="0.3">
      <c r="A97" s="26" t="str">
        <v>C0096</v>
      </c>
      <c r="B97" s="26">
        <f>_xlfn.DAYS(DATE(2024,12,31),_xlfn.MAXIFS(ecommerce_transactions!$D$2:$D$9999, ecommerce_transactions!$B$2:$B$9999, A97))</f>
        <v>17</v>
      </c>
      <c r="C97" s="26">
        <f>COUNTIF(ecommerce_transactions!B:B,main_data!A97)</f>
        <v>2</v>
      </c>
      <c r="D97" s="35">
        <f>SUMIF(ecommerce_transactions!B:B,main_data!A97,ecommerce_transactions!E:E)</f>
        <v>684.06</v>
      </c>
      <c r="E97" s="28">
        <f t="shared" si="11"/>
        <v>4</v>
      </c>
      <c r="F97" s="28">
        <f t="shared" si="12"/>
        <v>1</v>
      </c>
      <c r="G97" s="26">
        <f t="shared" si="13"/>
        <v>1</v>
      </c>
      <c r="H97" s="18" t="str">
        <f t="shared" si="14"/>
        <v>411</v>
      </c>
      <c r="I97" s="26" t="str">
        <f t="shared" si="15"/>
        <v>New Customers</v>
      </c>
      <c r="J97" s="17">
        <f t="shared" si="16"/>
        <v>342.03</v>
      </c>
      <c r="K97" s="36">
        <f>_xlfn.MAXIFS(ecommerce_transactions!D:D,ecommerce_transactions!B:B,main_data!A97)</f>
        <v>45640</v>
      </c>
      <c r="L97" s="36">
        <f>_xlfn.MINIFS(ecommerce_transactions!D:D,ecommerce_transactions!B:B,main_data!A97)</f>
        <v>45505</v>
      </c>
      <c r="M97" s="19">
        <f t="shared" si="17"/>
        <v>0.36960985626283366</v>
      </c>
      <c r="N97" s="19">
        <f t="shared" si="10"/>
        <v>2.2998819362455727</v>
      </c>
      <c r="O97" s="17">
        <f t="shared" si="18"/>
        <v>290.74569067296341</v>
      </c>
      <c r="P97" s="17">
        <f t="shared" si="19"/>
        <v>87.223707201889013</v>
      </c>
    </row>
    <row r="98" spans="1:16" x14ac:dyDescent="0.3">
      <c r="A98" s="26" t="str">
        <v>C0097</v>
      </c>
      <c r="B98" s="26">
        <f>_xlfn.DAYS(DATE(2024,12,31),_xlfn.MAXIFS(ecommerce_transactions!$D$2:$D$9999, ecommerce_transactions!$B$2:$B$9999, A98))</f>
        <v>63</v>
      </c>
      <c r="C98" s="26">
        <f>COUNTIF(ecommerce_transactions!B:B,main_data!A98)</f>
        <v>5</v>
      </c>
      <c r="D98" s="35">
        <f>SUMIF(ecommerce_transactions!B:B,main_data!A98,ecommerce_transactions!E:E)</f>
        <v>1066.82</v>
      </c>
      <c r="E98" s="28">
        <f t="shared" si="11"/>
        <v>2</v>
      </c>
      <c r="F98" s="28">
        <f t="shared" si="12"/>
        <v>2</v>
      </c>
      <c r="G98" s="26">
        <f t="shared" si="13"/>
        <v>2</v>
      </c>
      <c r="H98" s="18" t="str">
        <f t="shared" si="14"/>
        <v>222</v>
      </c>
      <c r="I98" s="26" t="str">
        <f t="shared" si="15"/>
        <v>About to Sleep</v>
      </c>
      <c r="J98" s="17">
        <f t="shared" si="16"/>
        <v>213.36399999999998</v>
      </c>
      <c r="K98" s="36">
        <f>_xlfn.MAXIFS(ecommerce_transactions!D:D,ecommerce_transactions!B:B,main_data!A98)</f>
        <v>45594</v>
      </c>
      <c r="L98" s="36">
        <f>_xlfn.MINIFS(ecommerce_transactions!D:D,ecommerce_transactions!B:B,main_data!A98)</f>
        <v>45127</v>
      </c>
      <c r="M98" s="19">
        <f t="shared" si="17"/>
        <v>1.2785763175906912</v>
      </c>
      <c r="N98" s="19">
        <f t="shared" si="10"/>
        <v>2.8112372522609199</v>
      </c>
      <c r="O98" s="17">
        <f t="shared" si="18"/>
        <v>766.9115874543005</v>
      </c>
      <c r="P98" s="17">
        <f t="shared" si="19"/>
        <v>230.07347623629013</v>
      </c>
    </row>
    <row r="99" spans="1:16" x14ac:dyDescent="0.3">
      <c r="A99" s="26" t="str">
        <v>C0098</v>
      </c>
      <c r="B99" s="26">
        <f>_xlfn.DAYS(DATE(2024,12,31),_xlfn.MAXIFS(ecommerce_transactions!$D$2:$D$9999, ecommerce_transactions!$B$2:$B$9999, A99))</f>
        <v>60</v>
      </c>
      <c r="C99" s="26">
        <f>COUNTIF(ecommerce_transactions!B:B,main_data!A99)</f>
        <v>6</v>
      </c>
      <c r="D99" s="35">
        <f>SUMIF(ecommerce_transactions!B:B,main_data!A99,ecommerce_transactions!E:E)</f>
        <v>1401.19</v>
      </c>
      <c r="E99" s="28">
        <f t="shared" si="11"/>
        <v>2</v>
      </c>
      <c r="F99" s="28">
        <f t="shared" si="12"/>
        <v>3</v>
      </c>
      <c r="G99" s="26">
        <f t="shared" si="13"/>
        <v>2</v>
      </c>
      <c r="H99" s="18" t="str">
        <f t="shared" si="14"/>
        <v>232</v>
      </c>
      <c r="I99" s="26" t="str">
        <f t="shared" si="15"/>
        <v>At Risk</v>
      </c>
      <c r="J99" s="17">
        <f t="shared" si="16"/>
        <v>233.53166666666667</v>
      </c>
      <c r="K99" s="36">
        <f>_xlfn.MAXIFS(ecommerce_transactions!D:D,ecommerce_transactions!B:B,main_data!A99)</f>
        <v>45597</v>
      </c>
      <c r="L99" s="36">
        <f>_xlfn.MINIFS(ecommerce_transactions!D:D,ecommerce_transactions!B:B,main_data!A99)</f>
        <v>45180</v>
      </c>
      <c r="M99" s="19">
        <f t="shared" si="17"/>
        <v>1.1416837782340863</v>
      </c>
      <c r="N99" s="19">
        <f t="shared" si="10"/>
        <v>3.6547842401500938</v>
      </c>
      <c r="O99" s="17">
        <f t="shared" si="18"/>
        <v>974.43607254534083</v>
      </c>
      <c r="P99" s="17">
        <f t="shared" si="19"/>
        <v>292.33082176360222</v>
      </c>
    </row>
    <row r="100" spans="1:16" x14ac:dyDescent="0.3">
      <c r="A100" s="26" t="str">
        <v>C0099</v>
      </c>
      <c r="B100" s="26">
        <f>_xlfn.DAYS(DATE(2024,12,31),_xlfn.MAXIFS(ecommerce_transactions!$D$2:$D$9999, ecommerce_transactions!$B$2:$B$9999, A100))</f>
        <v>73</v>
      </c>
      <c r="C100" s="26">
        <f>COUNTIF(ecommerce_transactions!B:B,main_data!A100)</f>
        <v>4</v>
      </c>
      <c r="D100" s="35">
        <f>SUMIF(ecommerce_transactions!B:B,main_data!A100,ecommerce_transactions!E:E)</f>
        <v>1393.98</v>
      </c>
      <c r="E100" s="28">
        <f t="shared" si="11"/>
        <v>2</v>
      </c>
      <c r="F100" s="28">
        <f t="shared" si="12"/>
        <v>2</v>
      </c>
      <c r="G100" s="26">
        <f t="shared" si="13"/>
        <v>2</v>
      </c>
      <c r="H100" s="18" t="str">
        <f t="shared" si="14"/>
        <v>222</v>
      </c>
      <c r="I100" s="26" t="str">
        <f t="shared" si="15"/>
        <v>About to Sleep</v>
      </c>
      <c r="J100" s="17">
        <f t="shared" si="16"/>
        <v>348.495</v>
      </c>
      <c r="K100" s="36">
        <f>_xlfn.MAXIFS(ecommerce_transactions!D:D,ecommerce_transactions!B:B,main_data!A100)</f>
        <v>45584</v>
      </c>
      <c r="L100" s="36">
        <f>_xlfn.MINIFS(ecommerce_transactions!D:D,ecommerce_transactions!B:B,main_data!A100)</f>
        <v>45312</v>
      </c>
      <c r="M100" s="19">
        <f t="shared" si="17"/>
        <v>0.74469541409993156</v>
      </c>
      <c r="N100" s="19">
        <f t="shared" si="10"/>
        <v>3.2136376134176521</v>
      </c>
      <c r="O100" s="17">
        <f t="shared" si="18"/>
        <v>834.0116799560077</v>
      </c>
      <c r="P100" s="17">
        <f t="shared" si="19"/>
        <v>250.2035039868023</v>
      </c>
    </row>
    <row r="101" spans="1:16" x14ac:dyDescent="0.3">
      <c r="A101" s="26" t="str">
        <v>C0100</v>
      </c>
      <c r="B101" s="26">
        <f>_xlfn.DAYS(DATE(2024,12,31),_xlfn.MAXIFS(ecommerce_transactions!$D$2:$D$9999, ecommerce_transactions!$B$2:$B$9999, A101))</f>
        <v>86</v>
      </c>
      <c r="C101" s="26">
        <f>COUNTIF(ecommerce_transactions!B:B,main_data!A101)</f>
        <v>6</v>
      </c>
      <c r="D101" s="35">
        <f>SUMIF(ecommerce_transactions!B:B,main_data!A101,ecommerce_transactions!E:E)</f>
        <v>1399.4799999999998</v>
      </c>
      <c r="E101" s="28">
        <f t="shared" si="11"/>
        <v>2</v>
      </c>
      <c r="F101" s="28">
        <f t="shared" si="12"/>
        <v>3</v>
      </c>
      <c r="G101" s="26">
        <f t="shared" si="13"/>
        <v>2</v>
      </c>
      <c r="H101" s="18" t="str">
        <f t="shared" si="14"/>
        <v>232</v>
      </c>
      <c r="I101" s="26" t="str">
        <f t="shared" si="15"/>
        <v>At Risk</v>
      </c>
      <c r="J101" s="17">
        <f t="shared" si="16"/>
        <v>233.24666666666664</v>
      </c>
      <c r="K101" s="36">
        <f>_xlfn.MAXIFS(ecommerce_transactions!D:D,ecommerce_transactions!B:B,main_data!A101)</f>
        <v>45571</v>
      </c>
      <c r="L101" s="36">
        <f>_xlfn.MINIFS(ecommerce_transactions!D:D,ecommerce_transactions!B:B,main_data!A101)</f>
        <v>45308</v>
      </c>
      <c r="M101" s="19">
        <f t="shared" si="17"/>
        <v>0.72005475701574262</v>
      </c>
      <c r="N101" s="19">
        <f t="shared" si="10"/>
        <v>4.9178120617110794</v>
      </c>
      <c r="O101" s="17">
        <f t="shared" si="18"/>
        <v>825.94836465638127</v>
      </c>
      <c r="P101" s="17">
        <f t="shared" si="19"/>
        <v>247.78450939691436</v>
      </c>
    </row>
    <row r="102" spans="1:16" x14ac:dyDescent="0.3">
      <c r="A102" s="26" t="str">
        <v>C0101</v>
      </c>
      <c r="B102" s="26">
        <f>_xlfn.DAYS(DATE(2024,12,31),_xlfn.MAXIFS(ecommerce_transactions!$D$2:$D$9999, ecommerce_transactions!$B$2:$B$9999, A102))</f>
        <v>30</v>
      </c>
      <c r="C102" s="26">
        <f>COUNTIF(ecommerce_transactions!B:B,main_data!A102)</f>
        <v>8</v>
      </c>
      <c r="D102" s="35">
        <f>SUMIF(ecommerce_transactions!B:B,main_data!A102,ecommerce_transactions!E:E)</f>
        <v>1780.88</v>
      </c>
      <c r="E102" s="28">
        <f t="shared" si="11"/>
        <v>3</v>
      </c>
      <c r="F102" s="28">
        <f t="shared" si="12"/>
        <v>3</v>
      </c>
      <c r="G102" s="26">
        <f t="shared" si="13"/>
        <v>3</v>
      </c>
      <c r="H102" s="18" t="str">
        <f t="shared" si="14"/>
        <v>333</v>
      </c>
      <c r="I102" s="26" t="str">
        <f t="shared" si="15"/>
        <v>Loyal Customers</v>
      </c>
      <c r="J102" s="17">
        <f t="shared" si="16"/>
        <v>222.61</v>
      </c>
      <c r="K102" s="36">
        <f>_xlfn.MAXIFS(ecommerce_transactions!D:D,ecommerce_transactions!B:B,main_data!A102)</f>
        <v>45627</v>
      </c>
      <c r="L102" s="36">
        <f>_xlfn.MINIFS(ecommerce_transactions!D:D,ecommerce_transactions!B:B,main_data!A102)</f>
        <v>45474</v>
      </c>
      <c r="M102" s="19">
        <f t="shared" si="17"/>
        <v>0.41889117043121149</v>
      </c>
      <c r="N102" s="19">
        <f t="shared" si="10"/>
        <v>8.7061452513966486</v>
      </c>
      <c r="O102" s="17">
        <f t="shared" si="18"/>
        <v>811.84250279329626</v>
      </c>
      <c r="P102" s="17">
        <f t="shared" si="19"/>
        <v>243.55275083798887</v>
      </c>
    </row>
    <row r="103" spans="1:16" x14ac:dyDescent="0.3">
      <c r="A103" s="26" t="str">
        <v>C0102</v>
      </c>
      <c r="B103" s="26">
        <f>_xlfn.DAYS(DATE(2024,12,31),_xlfn.MAXIFS(ecommerce_transactions!$D$2:$D$9999, ecommerce_transactions!$B$2:$B$9999, A103))</f>
        <v>209</v>
      </c>
      <c r="C103" s="26">
        <f>COUNTIF(ecommerce_transactions!B:B,main_data!A103)</f>
        <v>2</v>
      </c>
      <c r="D103" s="35">
        <f>SUMIF(ecommerce_transactions!B:B,main_data!A103,ecommerce_transactions!E:E)</f>
        <v>543.4</v>
      </c>
      <c r="E103" s="28">
        <f t="shared" si="11"/>
        <v>1</v>
      </c>
      <c r="F103" s="28">
        <f t="shared" si="12"/>
        <v>1</v>
      </c>
      <c r="G103" s="26">
        <f t="shared" si="13"/>
        <v>1</v>
      </c>
      <c r="H103" s="18" t="str">
        <f t="shared" si="14"/>
        <v>111</v>
      </c>
      <c r="I103" s="26" t="str">
        <f t="shared" si="15"/>
        <v>About to Sleep</v>
      </c>
      <c r="J103" s="17">
        <f t="shared" si="16"/>
        <v>271.7</v>
      </c>
      <c r="K103" s="36">
        <f>_xlfn.MAXIFS(ecommerce_transactions!D:D,ecommerce_transactions!B:B,main_data!A103)</f>
        <v>45448</v>
      </c>
      <c r="L103" s="36">
        <f>_xlfn.MINIFS(ecommerce_transactions!D:D,ecommerce_transactions!B:B,main_data!A103)</f>
        <v>45166</v>
      </c>
      <c r="M103" s="19">
        <f t="shared" si="17"/>
        <v>0.77207392197125257</v>
      </c>
      <c r="N103" s="19">
        <f t="shared" si="10"/>
        <v>1.5722356739305894</v>
      </c>
      <c r="O103" s="17">
        <f t="shared" si="18"/>
        <v>329.81178369652946</v>
      </c>
      <c r="P103" s="17">
        <f t="shared" si="19"/>
        <v>98.943535108958841</v>
      </c>
    </row>
    <row r="104" spans="1:16" x14ac:dyDescent="0.3">
      <c r="A104" s="26" t="str">
        <v>C0103</v>
      </c>
      <c r="B104" s="26">
        <f>_xlfn.DAYS(DATE(2024,12,31),_xlfn.MAXIFS(ecommerce_transactions!$D$2:$D$9999, ecommerce_transactions!$B$2:$B$9999, A104))</f>
        <v>64</v>
      </c>
      <c r="C104" s="26">
        <f>COUNTIF(ecommerce_transactions!B:B,main_data!A104)</f>
        <v>14</v>
      </c>
      <c r="D104" s="35">
        <f>SUMIF(ecommerce_transactions!B:B,main_data!A104,ecommerce_transactions!E:E)</f>
        <v>2617.7600000000002</v>
      </c>
      <c r="E104" s="28">
        <f t="shared" si="11"/>
        <v>2</v>
      </c>
      <c r="F104" s="28">
        <f t="shared" si="12"/>
        <v>5</v>
      </c>
      <c r="G104" s="26">
        <f t="shared" si="13"/>
        <v>4</v>
      </c>
      <c r="H104" s="18" t="str">
        <f t="shared" si="14"/>
        <v>254</v>
      </c>
      <c r="I104" s="26" t="str">
        <f t="shared" si="15"/>
        <v>At Risk</v>
      </c>
      <c r="J104" s="17">
        <f t="shared" si="16"/>
        <v>186.98285714285717</v>
      </c>
      <c r="K104" s="36">
        <f>_xlfn.MAXIFS(ecommerce_transactions!D:D,ecommerce_transactions!B:B,main_data!A104)</f>
        <v>45593</v>
      </c>
      <c r="L104" s="36">
        <f>_xlfn.MINIFS(ecommerce_transactions!D:D,ecommerce_transactions!B:B,main_data!A104)</f>
        <v>45083</v>
      </c>
      <c r="M104" s="19">
        <f t="shared" si="17"/>
        <v>1.3963039014373717</v>
      </c>
      <c r="N104" s="19">
        <f t="shared" si="10"/>
        <v>7.3827828911748776</v>
      </c>
      <c r="O104" s="17">
        <f t="shared" si="18"/>
        <v>1927.5330806713591</v>
      </c>
      <c r="P104" s="17">
        <f t="shared" si="19"/>
        <v>578.25992420140767</v>
      </c>
    </row>
    <row r="105" spans="1:16" x14ac:dyDescent="0.3">
      <c r="A105" s="26" t="str">
        <v>C0104</v>
      </c>
      <c r="B105" s="26">
        <f>_xlfn.DAYS(DATE(2024,12,31),_xlfn.MAXIFS(ecommerce_transactions!$D$2:$D$9999, ecommerce_transactions!$B$2:$B$9999, A105))</f>
        <v>3</v>
      </c>
      <c r="C105" s="26">
        <f>COUNTIF(ecommerce_transactions!B:B,main_data!A105)</f>
        <v>9</v>
      </c>
      <c r="D105" s="35">
        <f>SUMIF(ecommerce_transactions!B:B,main_data!A105,ecommerce_transactions!E:E)</f>
        <v>3446.3599999999997</v>
      </c>
      <c r="E105" s="28">
        <f t="shared" si="11"/>
        <v>5</v>
      </c>
      <c r="F105" s="28">
        <f t="shared" si="12"/>
        <v>4</v>
      </c>
      <c r="G105" s="26">
        <f t="shared" si="13"/>
        <v>5</v>
      </c>
      <c r="H105" s="18" t="str">
        <f t="shared" si="14"/>
        <v>545</v>
      </c>
      <c r="I105" s="26" t="str">
        <f t="shared" si="15"/>
        <v>Champions</v>
      </c>
      <c r="J105" s="17">
        <f t="shared" si="16"/>
        <v>382.92888888888888</v>
      </c>
      <c r="K105" s="36">
        <f>_xlfn.MAXIFS(ecommerce_transactions!D:D,ecommerce_transactions!B:B,main_data!A105)</f>
        <v>45654</v>
      </c>
      <c r="L105" s="36">
        <f>_xlfn.MINIFS(ecommerce_transactions!D:D,ecommerce_transactions!B:B,main_data!A105)</f>
        <v>45320</v>
      </c>
      <c r="M105" s="19">
        <f t="shared" si="17"/>
        <v>0.91444216290212188</v>
      </c>
      <c r="N105" s="19">
        <f t="shared" si="10"/>
        <v>6.3629324945560128</v>
      </c>
      <c r="O105" s="17">
        <f t="shared" si="18"/>
        <v>2228.0846648923298</v>
      </c>
      <c r="P105" s="17">
        <f t="shared" si="19"/>
        <v>668.42539946769887</v>
      </c>
    </row>
    <row r="106" spans="1:16" x14ac:dyDescent="0.3">
      <c r="A106" s="26" t="str">
        <v>C0105</v>
      </c>
      <c r="B106" s="26">
        <f>_xlfn.DAYS(DATE(2024,12,31),_xlfn.MAXIFS(ecommerce_transactions!$D$2:$D$9999, ecommerce_transactions!$B$2:$B$9999, A106))</f>
        <v>20</v>
      </c>
      <c r="C106" s="26">
        <f>COUNTIF(ecommerce_transactions!B:B,main_data!A106)</f>
        <v>12</v>
      </c>
      <c r="D106" s="35">
        <f>SUMIF(ecommerce_transactions!B:B,main_data!A106,ecommerce_transactions!E:E)</f>
        <v>2432.17</v>
      </c>
      <c r="E106" s="28">
        <f t="shared" si="11"/>
        <v>4</v>
      </c>
      <c r="F106" s="28">
        <f t="shared" si="12"/>
        <v>5</v>
      </c>
      <c r="G106" s="26">
        <f t="shared" si="13"/>
        <v>4</v>
      </c>
      <c r="H106" s="18" t="str">
        <f t="shared" si="14"/>
        <v>454</v>
      </c>
      <c r="I106" s="26" t="str">
        <f t="shared" si="15"/>
        <v>Champions</v>
      </c>
      <c r="J106" s="17">
        <f t="shared" si="16"/>
        <v>202.68083333333334</v>
      </c>
      <c r="K106" s="36">
        <f>_xlfn.MAXIFS(ecommerce_transactions!D:D,ecommerce_transactions!B:B,main_data!A106)</f>
        <v>45637</v>
      </c>
      <c r="L106" s="36">
        <f>_xlfn.MINIFS(ecommerce_transactions!D:D,ecommerce_transactions!B:B,main_data!A106)</f>
        <v>45107</v>
      </c>
      <c r="M106" s="19">
        <f t="shared" si="17"/>
        <v>1.4510609171800137</v>
      </c>
      <c r="N106" s="19">
        <f t="shared" si="10"/>
        <v>6.1504999122960884</v>
      </c>
      <c r="O106" s="17">
        <f t="shared" si="18"/>
        <v>1808.8757761796178</v>
      </c>
      <c r="P106" s="17">
        <f t="shared" si="19"/>
        <v>542.66273285388536</v>
      </c>
    </row>
    <row r="107" spans="1:16" x14ac:dyDescent="0.3">
      <c r="A107" s="26" t="str">
        <v>C0106</v>
      </c>
      <c r="B107" s="26">
        <f>_xlfn.DAYS(DATE(2024,12,31),_xlfn.MAXIFS(ecommerce_transactions!$D$2:$D$9999, ecommerce_transactions!$B$2:$B$9999, A107))</f>
        <v>365</v>
      </c>
      <c r="C107" s="26">
        <f>COUNTIF(ecommerce_transactions!B:B,main_data!A107)</f>
        <v>1</v>
      </c>
      <c r="D107" s="35">
        <f>SUMIF(ecommerce_transactions!B:B,main_data!A107,ecommerce_transactions!E:E)</f>
        <v>150.83000000000001</v>
      </c>
      <c r="E107" s="28">
        <f t="shared" si="11"/>
        <v>1</v>
      </c>
      <c r="F107" s="28">
        <f t="shared" si="12"/>
        <v>1</v>
      </c>
      <c r="G107" s="26">
        <f t="shared" si="13"/>
        <v>1</v>
      </c>
      <c r="H107" s="18" t="str">
        <f t="shared" si="14"/>
        <v>111</v>
      </c>
      <c r="I107" s="26" t="str">
        <f t="shared" si="15"/>
        <v>About to Sleep</v>
      </c>
      <c r="J107" s="17">
        <f t="shared" si="16"/>
        <v>150.83000000000001</v>
      </c>
      <c r="K107" s="36">
        <f>_xlfn.MAXIFS(ecommerce_transactions!D:D,ecommerce_transactions!B:B,main_data!A107)</f>
        <v>45292</v>
      </c>
      <c r="L107" s="36">
        <f>_xlfn.MINIFS(ecommerce_transactions!D:D,ecommerce_transactions!B:B,main_data!A107)</f>
        <v>45292</v>
      </c>
      <c r="M107" s="19">
        <f t="shared" si="17"/>
        <v>0</v>
      </c>
      <c r="N107" s="19">
        <f t="shared" si="10"/>
        <v>2</v>
      </c>
      <c r="O107" s="17">
        <f t="shared" si="18"/>
        <v>0</v>
      </c>
      <c r="P107" s="17">
        <f t="shared" si="19"/>
        <v>0</v>
      </c>
    </row>
    <row r="108" spans="1:16" x14ac:dyDescent="0.3">
      <c r="A108" s="26" t="str">
        <v>C0107</v>
      </c>
      <c r="B108" s="26">
        <f>_xlfn.DAYS(DATE(2024,12,31),_xlfn.MAXIFS(ecommerce_transactions!$D$2:$D$9999, ecommerce_transactions!$B$2:$B$9999, A108))</f>
        <v>19</v>
      </c>
      <c r="C108" s="26">
        <f>COUNTIF(ecommerce_transactions!B:B,main_data!A108)</f>
        <v>9</v>
      </c>
      <c r="D108" s="35">
        <f>SUMIF(ecommerce_transactions!B:B,main_data!A108,ecommerce_transactions!E:E)</f>
        <v>2710.51</v>
      </c>
      <c r="E108" s="28">
        <f t="shared" si="11"/>
        <v>4</v>
      </c>
      <c r="F108" s="28">
        <f t="shared" si="12"/>
        <v>4</v>
      </c>
      <c r="G108" s="26">
        <f t="shared" si="13"/>
        <v>4</v>
      </c>
      <c r="H108" s="18" t="str">
        <f t="shared" si="14"/>
        <v>444</v>
      </c>
      <c r="I108" s="26" t="str">
        <f t="shared" si="15"/>
        <v>Champions</v>
      </c>
      <c r="J108" s="17">
        <f t="shared" si="16"/>
        <v>301.16777777777781</v>
      </c>
      <c r="K108" s="36">
        <f>_xlfn.MAXIFS(ecommerce_transactions!D:D,ecommerce_transactions!B:B,main_data!A108)</f>
        <v>45638</v>
      </c>
      <c r="L108" s="36">
        <f>_xlfn.MINIFS(ecommerce_transactions!D:D,ecommerce_transactions!B:B,main_data!A108)</f>
        <v>45592</v>
      </c>
      <c r="M108" s="19">
        <f t="shared" si="17"/>
        <v>0.12594113620807665</v>
      </c>
      <c r="N108" s="19">
        <f t="shared" si="10"/>
        <v>14.378348824494259</v>
      </c>
      <c r="O108" s="17">
        <f t="shared" si="18"/>
        <v>545.36231820667035</v>
      </c>
      <c r="P108" s="17">
        <f t="shared" si="19"/>
        <v>163.60869546200109</v>
      </c>
    </row>
    <row r="109" spans="1:16" x14ac:dyDescent="0.3">
      <c r="A109" s="26" t="str">
        <v>C0108</v>
      </c>
      <c r="B109" s="26">
        <f>_xlfn.DAYS(DATE(2024,12,31),_xlfn.MAXIFS(ecommerce_transactions!$D$2:$D$9999, ecommerce_transactions!$B$2:$B$9999, A109))</f>
        <v>91</v>
      </c>
      <c r="C109" s="26">
        <f>COUNTIF(ecommerce_transactions!B:B,main_data!A109)</f>
        <v>10</v>
      </c>
      <c r="D109" s="35">
        <f>SUMIF(ecommerce_transactions!B:B,main_data!A109,ecommerce_transactions!E:E)</f>
        <v>2901.9300000000003</v>
      </c>
      <c r="E109" s="28">
        <f t="shared" si="11"/>
        <v>2</v>
      </c>
      <c r="F109" s="28">
        <f t="shared" si="12"/>
        <v>4</v>
      </c>
      <c r="G109" s="26">
        <f t="shared" si="13"/>
        <v>4</v>
      </c>
      <c r="H109" s="18" t="str">
        <f t="shared" si="14"/>
        <v>244</v>
      </c>
      <c r="I109" s="26" t="str">
        <f t="shared" si="15"/>
        <v>At Risk</v>
      </c>
      <c r="J109" s="17">
        <f t="shared" si="16"/>
        <v>290.19300000000004</v>
      </c>
      <c r="K109" s="36">
        <f>_xlfn.MAXIFS(ecommerce_transactions!D:D,ecommerce_transactions!B:B,main_data!A109)</f>
        <v>45566</v>
      </c>
      <c r="L109" s="36">
        <f>_xlfn.MINIFS(ecommerce_transactions!D:D,ecommerce_transactions!B:B,main_data!A109)</f>
        <v>44961</v>
      </c>
      <c r="M109" s="19">
        <f t="shared" si="17"/>
        <v>1.6563997262149213</v>
      </c>
      <c r="N109" s="19">
        <f t="shared" si="10"/>
        <v>4.6373591493413739</v>
      </c>
      <c r="O109" s="17">
        <f t="shared" si="18"/>
        <v>2229.0654181875893</v>
      </c>
      <c r="P109" s="17">
        <f t="shared" si="19"/>
        <v>668.71962545627673</v>
      </c>
    </row>
    <row r="110" spans="1:16" x14ac:dyDescent="0.3">
      <c r="A110" s="26" t="str">
        <v>C0109</v>
      </c>
      <c r="B110" s="26">
        <f>_xlfn.DAYS(DATE(2024,12,31),_xlfn.MAXIFS(ecommerce_transactions!$D$2:$D$9999, ecommerce_transactions!$B$2:$B$9999, A110))</f>
        <v>24</v>
      </c>
      <c r="C110" s="26">
        <f>COUNTIF(ecommerce_transactions!B:B,main_data!A110)</f>
        <v>4</v>
      </c>
      <c r="D110" s="35">
        <f>SUMIF(ecommerce_transactions!B:B,main_data!A110,ecommerce_transactions!E:E)</f>
        <v>1297.5500000000002</v>
      </c>
      <c r="E110" s="28">
        <f t="shared" si="11"/>
        <v>3</v>
      </c>
      <c r="F110" s="28">
        <f t="shared" si="12"/>
        <v>2</v>
      </c>
      <c r="G110" s="26">
        <f t="shared" si="13"/>
        <v>2</v>
      </c>
      <c r="H110" s="18" t="str">
        <f t="shared" si="14"/>
        <v>322</v>
      </c>
      <c r="I110" s="26" t="str">
        <f t="shared" si="15"/>
        <v>Lost</v>
      </c>
      <c r="J110" s="17">
        <f t="shared" si="16"/>
        <v>324.38750000000005</v>
      </c>
      <c r="K110" s="36">
        <f>_xlfn.MAXIFS(ecommerce_transactions!D:D,ecommerce_transactions!B:B,main_data!A110)</f>
        <v>45633</v>
      </c>
      <c r="L110" s="36">
        <f>_xlfn.MINIFS(ecommerce_transactions!D:D,ecommerce_transactions!B:B,main_data!A110)</f>
        <v>45115</v>
      </c>
      <c r="M110" s="19">
        <f t="shared" si="17"/>
        <v>1.4182067077344285</v>
      </c>
      <c r="N110" s="19">
        <f t="shared" si="10"/>
        <v>2.0852809991079395</v>
      </c>
      <c r="O110" s="17">
        <f t="shared" si="18"/>
        <v>959.33045495093688</v>
      </c>
      <c r="P110" s="17">
        <f t="shared" si="19"/>
        <v>287.79913648528105</v>
      </c>
    </row>
    <row r="111" spans="1:16" x14ac:dyDescent="0.3">
      <c r="A111" s="26" t="str">
        <v>C0110</v>
      </c>
      <c r="B111" s="26">
        <f>_xlfn.DAYS(DATE(2024,12,31),_xlfn.MAXIFS(ecommerce_transactions!$D$2:$D$9999, ecommerce_transactions!$B$2:$B$9999, A111))</f>
        <v>1</v>
      </c>
      <c r="C111" s="26">
        <f>COUNTIF(ecommerce_transactions!B:B,main_data!A111)</f>
        <v>10</v>
      </c>
      <c r="D111" s="35">
        <f>SUMIF(ecommerce_transactions!B:B,main_data!A111,ecommerce_transactions!E:E)</f>
        <v>3117.7200000000003</v>
      </c>
      <c r="E111" s="28">
        <f t="shared" si="11"/>
        <v>5</v>
      </c>
      <c r="F111" s="28">
        <f t="shared" si="12"/>
        <v>4</v>
      </c>
      <c r="G111" s="26">
        <f t="shared" si="13"/>
        <v>4</v>
      </c>
      <c r="H111" s="18" t="str">
        <f t="shared" si="14"/>
        <v>544</v>
      </c>
      <c r="I111" s="26" t="str">
        <f t="shared" si="15"/>
        <v>Champions</v>
      </c>
      <c r="J111" s="17">
        <f t="shared" si="16"/>
        <v>311.77200000000005</v>
      </c>
      <c r="K111" s="36">
        <f>_xlfn.MAXIFS(ecommerce_transactions!D:D,ecommerce_transactions!B:B,main_data!A111)</f>
        <v>45656</v>
      </c>
      <c r="L111" s="36">
        <f>_xlfn.MINIFS(ecommerce_transactions!D:D,ecommerce_transactions!B:B,main_data!A111)</f>
        <v>45612</v>
      </c>
      <c r="M111" s="19">
        <f t="shared" si="17"/>
        <v>0.12046543463381246</v>
      </c>
      <c r="N111" s="19">
        <f t="shared" si="10"/>
        <v>16.116933259790404</v>
      </c>
      <c r="O111" s="17">
        <f t="shared" si="18"/>
        <v>605.3157418643134</v>
      </c>
      <c r="P111" s="17">
        <f t="shared" si="19"/>
        <v>181.59472255929401</v>
      </c>
    </row>
    <row r="112" spans="1:16" x14ac:dyDescent="0.3">
      <c r="A112" s="26" t="str">
        <v>C0111</v>
      </c>
      <c r="B112" s="26">
        <f>_xlfn.DAYS(DATE(2024,12,31),_xlfn.MAXIFS(ecommerce_transactions!$D$2:$D$9999, ecommerce_transactions!$B$2:$B$9999, A112))</f>
        <v>8</v>
      </c>
      <c r="C112" s="26">
        <f>COUNTIF(ecommerce_transactions!B:B,main_data!A112)</f>
        <v>14</v>
      </c>
      <c r="D112" s="35">
        <f>SUMIF(ecommerce_transactions!B:B,main_data!A112,ecommerce_transactions!E:E)</f>
        <v>3565.4899999999993</v>
      </c>
      <c r="E112" s="28">
        <f t="shared" si="11"/>
        <v>4</v>
      </c>
      <c r="F112" s="28">
        <f t="shared" si="12"/>
        <v>5</v>
      </c>
      <c r="G112" s="26">
        <f t="shared" si="13"/>
        <v>5</v>
      </c>
      <c r="H112" s="18" t="str">
        <f t="shared" si="14"/>
        <v>455</v>
      </c>
      <c r="I112" s="26" t="str">
        <f t="shared" si="15"/>
        <v>Champions</v>
      </c>
      <c r="J112" s="17">
        <f t="shared" si="16"/>
        <v>254.67785714285711</v>
      </c>
      <c r="K112" s="36">
        <f>_xlfn.MAXIFS(ecommerce_transactions!D:D,ecommerce_transactions!B:B,main_data!A112)</f>
        <v>45649</v>
      </c>
      <c r="L112" s="36">
        <f>_xlfn.MINIFS(ecommerce_transactions!D:D,ecommerce_transactions!B:B,main_data!A112)</f>
        <v>45079</v>
      </c>
      <c r="M112" s="19">
        <f t="shared" si="17"/>
        <v>1.5605749486652978</v>
      </c>
      <c r="N112" s="19">
        <f t="shared" si="10"/>
        <v>6.7942202291978075</v>
      </c>
      <c r="O112" s="17">
        <f t="shared" si="18"/>
        <v>2700.3212755356249</v>
      </c>
      <c r="P112" s="17">
        <f t="shared" si="19"/>
        <v>810.09638266068748</v>
      </c>
    </row>
    <row r="113" spans="1:16" x14ac:dyDescent="0.3">
      <c r="A113" s="26" t="str">
        <v>C0112</v>
      </c>
      <c r="B113" s="26">
        <f>_xlfn.DAYS(DATE(2024,12,31),_xlfn.MAXIFS(ecommerce_transactions!$D$2:$D$9999, ecommerce_transactions!$B$2:$B$9999, A113))</f>
        <v>133</v>
      </c>
      <c r="C113" s="26">
        <f>COUNTIF(ecommerce_transactions!B:B,main_data!A113)</f>
        <v>1</v>
      </c>
      <c r="D113" s="35">
        <f>SUMIF(ecommerce_transactions!B:B,main_data!A113,ecommerce_transactions!E:E)</f>
        <v>286.89</v>
      </c>
      <c r="E113" s="28">
        <f t="shared" si="11"/>
        <v>1</v>
      </c>
      <c r="F113" s="28">
        <f t="shared" si="12"/>
        <v>1</v>
      </c>
      <c r="G113" s="26">
        <f t="shared" si="13"/>
        <v>1</v>
      </c>
      <c r="H113" s="18" t="str">
        <f t="shared" si="14"/>
        <v>111</v>
      </c>
      <c r="I113" s="26" t="str">
        <f t="shared" si="15"/>
        <v>About to Sleep</v>
      </c>
      <c r="J113" s="17">
        <f t="shared" si="16"/>
        <v>286.89</v>
      </c>
      <c r="K113" s="36">
        <f>_xlfn.MAXIFS(ecommerce_transactions!D:D,ecommerce_transactions!B:B,main_data!A113)</f>
        <v>45524</v>
      </c>
      <c r="L113" s="36">
        <f>_xlfn.MINIFS(ecommerce_transactions!D:D,ecommerce_transactions!B:B,main_data!A113)</f>
        <v>45524</v>
      </c>
      <c r="M113" s="19">
        <f t="shared" si="17"/>
        <v>0</v>
      </c>
      <c r="N113" s="19">
        <f t="shared" si="10"/>
        <v>2</v>
      </c>
      <c r="O113" s="17">
        <f t="shared" si="18"/>
        <v>0</v>
      </c>
      <c r="P113" s="17">
        <f t="shared" si="19"/>
        <v>0</v>
      </c>
    </row>
    <row r="114" spans="1:16" x14ac:dyDescent="0.3">
      <c r="A114" s="26" t="str">
        <v>C0113</v>
      </c>
      <c r="B114" s="26">
        <f>_xlfn.DAYS(DATE(2024,12,31),_xlfn.MAXIFS(ecommerce_transactions!$D$2:$D$9999, ecommerce_transactions!$B$2:$B$9999, A114))</f>
        <v>2</v>
      </c>
      <c r="C114" s="26">
        <f>COUNTIF(ecommerce_transactions!B:B,main_data!A114)</f>
        <v>6</v>
      </c>
      <c r="D114" s="35">
        <f>SUMIF(ecommerce_transactions!B:B,main_data!A114,ecommerce_transactions!E:E)</f>
        <v>1149.58</v>
      </c>
      <c r="E114" s="28">
        <f t="shared" si="11"/>
        <v>5</v>
      </c>
      <c r="F114" s="28">
        <f t="shared" si="12"/>
        <v>3</v>
      </c>
      <c r="G114" s="26">
        <f t="shared" si="13"/>
        <v>2</v>
      </c>
      <c r="H114" s="18" t="str">
        <f t="shared" si="14"/>
        <v>532</v>
      </c>
      <c r="I114" s="26" t="str">
        <f t="shared" si="15"/>
        <v>Potential Loyalists</v>
      </c>
      <c r="J114" s="17">
        <f t="shared" si="16"/>
        <v>191.59666666666666</v>
      </c>
      <c r="K114" s="36">
        <f>_xlfn.MAXIFS(ecommerce_transactions!D:D,ecommerce_transactions!B:B,main_data!A114)</f>
        <v>45655</v>
      </c>
      <c r="L114" s="36">
        <f>_xlfn.MINIFS(ecommerce_transactions!D:D,ecommerce_transactions!B:B,main_data!A114)</f>
        <v>45592</v>
      </c>
      <c r="M114" s="19">
        <f t="shared" si="17"/>
        <v>0.17248459958932238</v>
      </c>
      <c r="N114" s="19">
        <f t="shared" si="10"/>
        <v>8.9221374045801518</v>
      </c>
      <c r="O114" s="17">
        <f t="shared" si="18"/>
        <v>294.85410687022897</v>
      </c>
      <c r="P114" s="17">
        <f t="shared" si="19"/>
        <v>88.45623206106869</v>
      </c>
    </row>
    <row r="115" spans="1:16" x14ac:dyDescent="0.3">
      <c r="A115" s="26" t="str">
        <v>C0114</v>
      </c>
      <c r="B115" s="26">
        <f>_xlfn.DAYS(DATE(2024,12,31),_xlfn.MAXIFS(ecommerce_transactions!$D$2:$D$9999, ecommerce_transactions!$B$2:$B$9999, A115))</f>
        <v>104</v>
      </c>
      <c r="C115" s="26">
        <f>COUNTIF(ecommerce_transactions!B:B,main_data!A115)</f>
        <v>6</v>
      </c>
      <c r="D115" s="35">
        <f>SUMIF(ecommerce_transactions!B:B,main_data!A115,ecommerce_transactions!E:E)</f>
        <v>1378.41</v>
      </c>
      <c r="E115" s="28">
        <f t="shared" si="11"/>
        <v>1</v>
      </c>
      <c r="F115" s="28">
        <f t="shared" si="12"/>
        <v>3</v>
      </c>
      <c r="G115" s="26">
        <f t="shared" si="13"/>
        <v>2</v>
      </c>
      <c r="H115" s="18" t="str">
        <f t="shared" si="14"/>
        <v>132</v>
      </c>
      <c r="I115" s="26" t="str">
        <f t="shared" si="15"/>
        <v>At Risk</v>
      </c>
      <c r="J115" s="17">
        <f t="shared" si="16"/>
        <v>229.73500000000001</v>
      </c>
      <c r="K115" s="36">
        <f>_xlfn.MAXIFS(ecommerce_transactions!D:D,ecommerce_transactions!B:B,main_data!A115)</f>
        <v>45553</v>
      </c>
      <c r="L115" s="36">
        <f>_xlfn.MINIFS(ecommerce_transactions!D:D,ecommerce_transactions!B:B,main_data!A115)</f>
        <v>45469</v>
      </c>
      <c r="M115" s="19">
        <f t="shared" si="17"/>
        <v>0.2299794661190965</v>
      </c>
      <c r="N115" s="19">
        <f t="shared" si="10"/>
        <v>8.2194092827004219</v>
      </c>
      <c r="O115" s="17">
        <f t="shared" si="18"/>
        <v>434.26700421940933</v>
      </c>
      <c r="P115" s="17">
        <f t="shared" si="19"/>
        <v>130.28010126582279</v>
      </c>
    </row>
    <row r="116" spans="1:16" x14ac:dyDescent="0.3">
      <c r="A116" s="26" t="str">
        <v>C0115</v>
      </c>
      <c r="B116" s="26">
        <f>_xlfn.DAYS(DATE(2024,12,31),_xlfn.MAXIFS(ecommerce_transactions!$D$2:$D$9999, ecommerce_transactions!$B$2:$B$9999, A116))</f>
        <v>62</v>
      </c>
      <c r="C116" s="26">
        <f>COUNTIF(ecommerce_transactions!B:B,main_data!A116)</f>
        <v>1</v>
      </c>
      <c r="D116" s="35">
        <f>SUMIF(ecommerce_transactions!B:B,main_data!A116,ecommerce_transactions!E:E)</f>
        <v>459.94</v>
      </c>
      <c r="E116" s="28">
        <f t="shared" si="11"/>
        <v>2</v>
      </c>
      <c r="F116" s="28">
        <f t="shared" si="12"/>
        <v>1</v>
      </c>
      <c r="G116" s="26">
        <f t="shared" si="13"/>
        <v>1</v>
      </c>
      <c r="H116" s="18" t="str">
        <f t="shared" si="14"/>
        <v>211</v>
      </c>
      <c r="I116" s="26" t="str">
        <f t="shared" si="15"/>
        <v>About to Sleep</v>
      </c>
      <c r="J116" s="17">
        <f t="shared" si="16"/>
        <v>459.94</v>
      </c>
      <c r="K116" s="36">
        <f>_xlfn.MAXIFS(ecommerce_transactions!D:D,ecommerce_transactions!B:B,main_data!A116)</f>
        <v>45595</v>
      </c>
      <c r="L116" s="36">
        <f>_xlfn.MINIFS(ecommerce_transactions!D:D,ecommerce_transactions!B:B,main_data!A116)</f>
        <v>45595</v>
      </c>
      <c r="M116" s="19">
        <f t="shared" si="17"/>
        <v>0</v>
      </c>
      <c r="N116" s="19">
        <f t="shared" si="10"/>
        <v>2</v>
      </c>
      <c r="O116" s="17">
        <f t="shared" si="18"/>
        <v>0</v>
      </c>
      <c r="P116" s="17">
        <f t="shared" si="19"/>
        <v>0</v>
      </c>
    </row>
    <row r="117" spans="1:16" x14ac:dyDescent="0.3">
      <c r="A117" s="26" t="str">
        <v>C0116</v>
      </c>
      <c r="B117" s="26">
        <f>_xlfn.DAYS(DATE(2024,12,31),_xlfn.MAXIFS(ecommerce_transactions!$D$2:$D$9999, ecommerce_transactions!$B$2:$B$9999, A117))</f>
        <v>89</v>
      </c>
      <c r="C117" s="26">
        <f>COUNTIF(ecommerce_transactions!B:B,main_data!A117)</f>
        <v>10</v>
      </c>
      <c r="D117" s="35">
        <f>SUMIF(ecommerce_transactions!B:B,main_data!A117,ecommerce_transactions!E:E)</f>
        <v>1801.7699999999998</v>
      </c>
      <c r="E117" s="28">
        <f t="shared" si="11"/>
        <v>2</v>
      </c>
      <c r="F117" s="28">
        <f t="shared" si="12"/>
        <v>4</v>
      </c>
      <c r="G117" s="26">
        <f t="shared" si="13"/>
        <v>3</v>
      </c>
      <c r="H117" s="18" t="str">
        <f t="shared" si="14"/>
        <v>243</v>
      </c>
      <c r="I117" s="26" t="str">
        <f t="shared" si="15"/>
        <v>At Risk</v>
      </c>
      <c r="J117" s="17">
        <f t="shared" si="16"/>
        <v>180.17699999999996</v>
      </c>
      <c r="K117" s="36">
        <f>_xlfn.MAXIFS(ecommerce_transactions!D:D,ecommerce_transactions!B:B,main_data!A117)</f>
        <v>45568</v>
      </c>
      <c r="L117" s="36">
        <f>_xlfn.MINIFS(ecommerce_transactions!D:D,ecommerce_transactions!B:B,main_data!A117)</f>
        <v>45396</v>
      </c>
      <c r="M117" s="19">
        <f t="shared" si="17"/>
        <v>0.47091033538672145</v>
      </c>
      <c r="N117" s="19">
        <f t="shared" si="10"/>
        <v>10.299612266478674</v>
      </c>
      <c r="O117" s="17">
        <f t="shared" si="18"/>
        <v>873.89338033133572</v>
      </c>
      <c r="P117" s="17">
        <f t="shared" si="19"/>
        <v>262.16801409940069</v>
      </c>
    </row>
    <row r="118" spans="1:16" x14ac:dyDescent="0.3">
      <c r="A118" s="26" t="str">
        <v>C0117</v>
      </c>
      <c r="B118" s="26">
        <f>_xlfn.DAYS(DATE(2024,12,31),_xlfn.MAXIFS(ecommerce_transactions!$D$2:$D$9999, ecommerce_transactions!$B$2:$B$9999, A118))</f>
        <v>47</v>
      </c>
      <c r="C118" s="26">
        <f>COUNTIF(ecommerce_transactions!B:B,main_data!A118)</f>
        <v>11</v>
      </c>
      <c r="D118" s="35">
        <f>SUMIF(ecommerce_transactions!B:B,main_data!A118,ecommerce_transactions!E:E)</f>
        <v>2414.65</v>
      </c>
      <c r="E118" s="28">
        <f t="shared" si="11"/>
        <v>2</v>
      </c>
      <c r="F118" s="28">
        <f t="shared" si="12"/>
        <v>4</v>
      </c>
      <c r="G118" s="26">
        <f t="shared" si="13"/>
        <v>4</v>
      </c>
      <c r="H118" s="18" t="str">
        <f t="shared" si="14"/>
        <v>244</v>
      </c>
      <c r="I118" s="26" t="str">
        <f t="shared" si="15"/>
        <v>At Risk</v>
      </c>
      <c r="J118" s="17">
        <f t="shared" si="16"/>
        <v>219.51363636363638</v>
      </c>
      <c r="K118" s="36">
        <f>_xlfn.MAXIFS(ecommerce_transactions!D:D,ecommerce_transactions!B:B,main_data!A118)</f>
        <v>45610</v>
      </c>
      <c r="L118" s="36">
        <f>_xlfn.MINIFS(ecommerce_transactions!D:D,ecommerce_transactions!B:B,main_data!A118)</f>
        <v>45380</v>
      </c>
      <c r="M118" s="19">
        <f t="shared" si="17"/>
        <v>0.62970568104038327</v>
      </c>
      <c r="N118" s="19">
        <f t="shared" si="10"/>
        <v>9.737049378976069</v>
      </c>
      <c r="O118" s="17">
        <f t="shared" si="18"/>
        <v>1345.9424416843381</v>
      </c>
      <c r="P118" s="17">
        <f t="shared" si="19"/>
        <v>403.7827325053014</v>
      </c>
    </row>
    <row r="119" spans="1:16" x14ac:dyDescent="0.3">
      <c r="A119" s="26" t="str">
        <v>C0118</v>
      </c>
      <c r="B119" s="26">
        <f>_xlfn.DAYS(DATE(2024,12,31),_xlfn.MAXIFS(ecommerce_transactions!$D$2:$D$9999, ecommerce_transactions!$B$2:$B$9999, A119))</f>
        <v>27</v>
      </c>
      <c r="C119" s="26">
        <f>COUNTIF(ecommerce_transactions!B:B,main_data!A119)</f>
        <v>11</v>
      </c>
      <c r="D119" s="35">
        <f>SUMIF(ecommerce_transactions!B:B,main_data!A119,ecommerce_transactions!E:E)</f>
        <v>3044.4</v>
      </c>
      <c r="E119" s="28">
        <f t="shared" si="11"/>
        <v>3</v>
      </c>
      <c r="F119" s="28">
        <f t="shared" si="12"/>
        <v>4</v>
      </c>
      <c r="G119" s="26">
        <f t="shared" si="13"/>
        <v>4</v>
      </c>
      <c r="H119" s="18" t="str">
        <f t="shared" si="14"/>
        <v>344</v>
      </c>
      <c r="I119" s="26" t="str">
        <f t="shared" si="15"/>
        <v>Loyal Customers</v>
      </c>
      <c r="J119" s="17">
        <f t="shared" si="16"/>
        <v>276.76363636363635</v>
      </c>
      <c r="K119" s="36">
        <f>_xlfn.MAXIFS(ecommerce_transactions!D:D,ecommerce_transactions!B:B,main_data!A119)</f>
        <v>45630</v>
      </c>
      <c r="L119" s="36">
        <f>_xlfn.MINIFS(ecommerce_transactions!D:D,ecommerce_transactions!B:B,main_data!A119)</f>
        <v>45436</v>
      </c>
      <c r="M119" s="19">
        <f t="shared" si="17"/>
        <v>0.53114305270362761</v>
      </c>
      <c r="N119" s="19">
        <f t="shared" si="10"/>
        <v>10.667772983737139</v>
      </c>
      <c r="O119" s="17">
        <f t="shared" si="18"/>
        <v>1568.174178559575</v>
      </c>
      <c r="P119" s="17">
        <f t="shared" si="19"/>
        <v>470.4522535678725</v>
      </c>
    </row>
    <row r="120" spans="1:16" x14ac:dyDescent="0.3">
      <c r="A120" s="26" t="str">
        <v>C0119</v>
      </c>
      <c r="B120" s="26">
        <f>_xlfn.DAYS(DATE(2024,12,31),_xlfn.MAXIFS(ecommerce_transactions!$D$2:$D$9999, ecommerce_transactions!$B$2:$B$9999, A120))</f>
        <v>59</v>
      </c>
      <c r="C120" s="26">
        <f>COUNTIF(ecommerce_transactions!B:B,main_data!A120)</f>
        <v>1</v>
      </c>
      <c r="D120" s="35">
        <f>SUMIF(ecommerce_transactions!B:B,main_data!A120,ecommerce_transactions!E:E)</f>
        <v>367.2</v>
      </c>
      <c r="E120" s="28">
        <f t="shared" si="11"/>
        <v>2</v>
      </c>
      <c r="F120" s="28">
        <f t="shared" si="12"/>
        <v>1</v>
      </c>
      <c r="G120" s="26">
        <f t="shared" si="13"/>
        <v>1</v>
      </c>
      <c r="H120" s="18" t="str">
        <f t="shared" si="14"/>
        <v>211</v>
      </c>
      <c r="I120" s="26" t="str">
        <f t="shared" si="15"/>
        <v>About to Sleep</v>
      </c>
      <c r="J120" s="17">
        <f t="shared" si="16"/>
        <v>367.2</v>
      </c>
      <c r="K120" s="36">
        <f>_xlfn.MAXIFS(ecommerce_transactions!D:D,ecommerce_transactions!B:B,main_data!A120)</f>
        <v>45598</v>
      </c>
      <c r="L120" s="36">
        <f>_xlfn.MINIFS(ecommerce_transactions!D:D,ecommerce_transactions!B:B,main_data!A120)</f>
        <v>45598</v>
      </c>
      <c r="M120" s="19">
        <f t="shared" si="17"/>
        <v>0</v>
      </c>
      <c r="N120" s="19">
        <f t="shared" si="10"/>
        <v>2</v>
      </c>
      <c r="O120" s="17">
        <f t="shared" si="18"/>
        <v>0</v>
      </c>
      <c r="P120" s="17">
        <f t="shared" si="19"/>
        <v>0</v>
      </c>
    </row>
    <row r="121" spans="1:16" x14ac:dyDescent="0.3">
      <c r="A121" s="26" t="str">
        <v>C0120</v>
      </c>
      <c r="B121" s="26">
        <f>_xlfn.DAYS(DATE(2024,12,31),_xlfn.MAXIFS(ecommerce_transactions!$D$2:$D$9999, ecommerce_transactions!$B$2:$B$9999, A121))</f>
        <v>197</v>
      </c>
      <c r="C121" s="26">
        <f>COUNTIF(ecommerce_transactions!B:B,main_data!A121)</f>
        <v>1</v>
      </c>
      <c r="D121" s="35">
        <f>SUMIF(ecommerce_transactions!B:B,main_data!A121,ecommerce_transactions!E:E)</f>
        <v>35.43</v>
      </c>
      <c r="E121" s="28">
        <f t="shared" si="11"/>
        <v>1</v>
      </c>
      <c r="F121" s="28">
        <f t="shared" si="12"/>
        <v>1</v>
      </c>
      <c r="G121" s="26">
        <f t="shared" si="13"/>
        <v>1</v>
      </c>
      <c r="H121" s="18" t="str">
        <f t="shared" si="14"/>
        <v>111</v>
      </c>
      <c r="I121" s="26" t="str">
        <f t="shared" si="15"/>
        <v>About to Sleep</v>
      </c>
      <c r="J121" s="17">
        <f t="shared" si="16"/>
        <v>35.43</v>
      </c>
      <c r="K121" s="36">
        <f>_xlfn.MAXIFS(ecommerce_transactions!D:D,ecommerce_transactions!B:B,main_data!A121)</f>
        <v>45460</v>
      </c>
      <c r="L121" s="36">
        <f>_xlfn.MINIFS(ecommerce_transactions!D:D,ecommerce_transactions!B:B,main_data!A121)</f>
        <v>45460</v>
      </c>
      <c r="M121" s="19">
        <f t="shared" si="17"/>
        <v>0</v>
      </c>
      <c r="N121" s="19">
        <f t="shared" si="10"/>
        <v>2</v>
      </c>
      <c r="O121" s="17">
        <f t="shared" si="18"/>
        <v>0</v>
      </c>
      <c r="P121" s="17">
        <f t="shared" si="19"/>
        <v>0</v>
      </c>
    </row>
    <row r="122" spans="1:16" x14ac:dyDescent="0.3">
      <c r="A122" s="26" t="str">
        <v>C0121</v>
      </c>
      <c r="B122" s="26">
        <f>_xlfn.DAYS(DATE(2024,12,31),_xlfn.MAXIFS(ecommerce_transactions!$D$2:$D$9999, ecommerce_transactions!$B$2:$B$9999, A122))</f>
        <v>3</v>
      </c>
      <c r="C122" s="26">
        <f>COUNTIF(ecommerce_transactions!B:B,main_data!A122)</f>
        <v>6</v>
      </c>
      <c r="D122" s="35">
        <f>SUMIF(ecommerce_transactions!B:B,main_data!A122,ecommerce_transactions!E:E)</f>
        <v>2173.21</v>
      </c>
      <c r="E122" s="28">
        <f t="shared" si="11"/>
        <v>5</v>
      </c>
      <c r="F122" s="28">
        <f t="shared" si="12"/>
        <v>3</v>
      </c>
      <c r="G122" s="26">
        <f t="shared" si="13"/>
        <v>3</v>
      </c>
      <c r="H122" s="18" t="str">
        <f t="shared" si="14"/>
        <v>533</v>
      </c>
      <c r="I122" s="26" t="str">
        <f t="shared" si="15"/>
        <v>Loyal Customers</v>
      </c>
      <c r="J122" s="17">
        <f t="shared" si="16"/>
        <v>362.20166666666665</v>
      </c>
      <c r="K122" s="36">
        <f>_xlfn.MAXIFS(ecommerce_transactions!D:D,ecommerce_transactions!B:B,main_data!A122)</f>
        <v>45654</v>
      </c>
      <c r="L122" s="36">
        <f>_xlfn.MINIFS(ecommerce_transactions!D:D,ecommerce_transactions!B:B,main_data!A122)</f>
        <v>45408</v>
      </c>
      <c r="M122" s="19">
        <f t="shared" si="17"/>
        <v>0.67351129363449691</v>
      </c>
      <c r="N122" s="19">
        <f t="shared" si="10"/>
        <v>5.1128608923884515</v>
      </c>
      <c r="O122" s="17">
        <f t="shared" si="18"/>
        <v>1247.2666316710411</v>
      </c>
      <c r="P122" s="17">
        <f t="shared" si="19"/>
        <v>374.17998950131232</v>
      </c>
    </row>
    <row r="123" spans="1:16" x14ac:dyDescent="0.3">
      <c r="A123" s="26" t="str">
        <v>C0122</v>
      </c>
      <c r="B123" s="26">
        <f>_xlfn.DAYS(DATE(2024,12,31),_xlfn.MAXIFS(ecommerce_transactions!$D$2:$D$9999, ecommerce_transactions!$B$2:$B$9999, A123))</f>
        <v>50</v>
      </c>
      <c r="C123" s="26">
        <f>COUNTIF(ecommerce_transactions!B:B,main_data!A123)</f>
        <v>9</v>
      </c>
      <c r="D123" s="35">
        <f>SUMIF(ecommerce_transactions!B:B,main_data!A123,ecommerce_transactions!E:E)</f>
        <v>2525.84</v>
      </c>
      <c r="E123" s="28">
        <f t="shared" si="11"/>
        <v>2</v>
      </c>
      <c r="F123" s="28">
        <f t="shared" si="12"/>
        <v>4</v>
      </c>
      <c r="G123" s="26">
        <f t="shared" si="13"/>
        <v>4</v>
      </c>
      <c r="H123" s="18" t="str">
        <f t="shared" si="14"/>
        <v>244</v>
      </c>
      <c r="I123" s="26" t="str">
        <f t="shared" si="15"/>
        <v>At Risk</v>
      </c>
      <c r="J123" s="17">
        <f t="shared" si="16"/>
        <v>280.64888888888891</v>
      </c>
      <c r="K123" s="36">
        <f>_xlfn.MAXIFS(ecommerce_transactions!D:D,ecommerce_transactions!B:B,main_data!A123)</f>
        <v>45607</v>
      </c>
      <c r="L123" s="36">
        <f>_xlfn.MINIFS(ecommerce_transactions!D:D,ecommerce_transactions!B:B,main_data!A123)</f>
        <v>45461</v>
      </c>
      <c r="M123" s="19">
        <f t="shared" si="17"/>
        <v>0.39972621492128679</v>
      </c>
      <c r="N123" s="19">
        <f t="shared" si="10"/>
        <v>10.00304298212248</v>
      </c>
      <c r="O123" s="17">
        <f t="shared" si="18"/>
        <v>1122.1685507797642</v>
      </c>
      <c r="P123" s="17">
        <f t="shared" si="19"/>
        <v>336.65056523392929</v>
      </c>
    </row>
    <row r="124" spans="1:16" x14ac:dyDescent="0.3">
      <c r="A124" s="26" t="str">
        <v>C0123</v>
      </c>
      <c r="B124" s="26">
        <f>_xlfn.DAYS(DATE(2024,12,31),_xlfn.MAXIFS(ecommerce_transactions!$D$2:$D$9999, ecommerce_transactions!$B$2:$B$9999, A124))</f>
        <v>143</v>
      </c>
      <c r="C124" s="26">
        <f>COUNTIF(ecommerce_transactions!B:B,main_data!A124)</f>
        <v>14</v>
      </c>
      <c r="D124" s="35">
        <f>SUMIF(ecommerce_transactions!B:B,main_data!A124,ecommerce_transactions!E:E)</f>
        <v>3296.1200000000003</v>
      </c>
      <c r="E124" s="28">
        <f t="shared" si="11"/>
        <v>1</v>
      </c>
      <c r="F124" s="28">
        <f t="shared" si="12"/>
        <v>5</v>
      </c>
      <c r="G124" s="26">
        <f t="shared" si="13"/>
        <v>5</v>
      </c>
      <c r="H124" s="18" t="str">
        <f t="shared" si="14"/>
        <v>155</v>
      </c>
      <c r="I124" s="26" t="str">
        <f t="shared" si="15"/>
        <v>At Risk</v>
      </c>
      <c r="J124" s="17">
        <f t="shared" si="16"/>
        <v>235.43714285714287</v>
      </c>
      <c r="K124" s="36">
        <f>_xlfn.MAXIFS(ecommerce_transactions!D:D,ecommerce_transactions!B:B,main_data!A124)</f>
        <v>45514</v>
      </c>
      <c r="L124" s="36">
        <f>_xlfn.MINIFS(ecommerce_transactions!D:D,ecommerce_transactions!B:B,main_data!A124)</f>
        <v>45131</v>
      </c>
      <c r="M124" s="19">
        <f t="shared" si="17"/>
        <v>1.0485968514715949</v>
      </c>
      <c r="N124" s="19">
        <f t="shared" si="10"/>
        <v>9.0404419889502758</v>
      </c>
      <c r="O124" s="17">
        <f t="shared" si="18"/>
        <v>2231.8920839779007</v>
      </c>
      <c r="P124" s="17">
        <f t="shared" si="19"/>
        <v>669.56762519337019</v>
      </c>
    </row>
    <row r="125" spans="1:16" x14ac:dyDescent="0.3">
      <c r="A125" s="26" t="str">
        <v>C0124</v>
      </c>
      <c r="B125" s="26">
        <f>_xlfn.DAYS(DATE(2024,12,31),_xlfn.MAXIFS(ecommerce_transactions!$D$2:$D$9999, ecommerce_transactions!$B$2:$B$9999, A125))</f>
        <v>84</v>
      </c>
      <c r="C125" s="26">
        <f>COUNTIF(ecommerce_transactions!B:B,main_data!A125)</f>
        <v>2</v>
      </c>
      <c r="D125" s="35">
        <f>SUMIF(ecommerce_transactions!B:B,main_data!A125,ecommerce_transactions!E:E)</f>
        <v>489.57000000000005</v>
      </c>
      <c r="E125" s="28">
        <f t="shared" si="11"/>
        <v>2</v>
      </c>
      <c r="F125" s="28">
        <f t="shared" si="12"/>
        <v>1</v>
      </c>
      <c r="G125" s="26">
        <f t="shared" si="13"/>
        <v>1</v>
      </c>
      <c r="H125" s="18" t="str">
        <f t="shared" si="14"/>
        <v>211</v>
      </c>
      <c r="I125" s="26" t="str">
        <f t="shared" si="15"/>
        <v>About to Sleep</v>
      </c>
      <c r="J125" s="17">
        <f t="shared" si="16"/>
        <v>244.78500000000003</v>
      </c>
      <c r="K125" s="36">
        <f>_xlfn.MAXIFS(ecommerce_transactions!D:D,ecommerce_transactions!B:B,main_data!A125)</f>
        <v>45573</v>
      </c>
      <c r="L125" s="36">
        <f>_xlfn.MINIFS(ecommerce_transactions!D:D,ecommerce_transactions!B:B,main_data!A125)</f>
        <v>45356</v>
      </c>
      <c r="M125" s="19">
        <f t="shared" si="17"/>
        <v>0.59411362080766594</v>
      </c>
      <c r="N125" s="19">
        <f t="shared" si="10"/>
        <v>1.827963715983735</v>
      </c>
      <c r="O125" s="17">
        <f t="shared" si="18"/>
        <v>265.84095089146081</v>
      </c>
      <c r="P125" s="17">
        <f t="shared" si="19"/>
        <v>79.752285267438239</v>
      </c>
    </row>
    <row r="126" spans="1:16" x14ac:dyDescent="0.3">
      <c r="A126" s="26" t="str">
        <v>C0125</v>
      </c>
      <c r="B126" s="26">
        <f>_xlfn.DAYS(DATE(2024,12,31),_xlfn.MAXIFS(ecommerce_transactions!$D$2:$D$9999, ecommerce_transactions!$B$2:$B$9999, A126))</f>
        <v>16</v>
      </c>
      <c r="C126" s="26">
        <f>COUNTIF(ecommerce_transactions!B:B,main_data!A126)</f>
        <v>7</v>
      </c>
      <c r="D126" s="35">
        <f>SUMIF(ecommerce_transactions!B:B,main_data!A126,ecommerce_transactions!E:E)</f>
        <v>1059.67</v>
      </c>
      <c r="E126" s="28">
        <f t="shared" si="11"/>
        <v>4</v>
      </c>
      <c r="F126" s="28">
        <f t="shared" si="12"/>
        <v>3</v>
      </c>
      <c r="G126" s="26">
        <f t="shared" si="13"/>
        <v>2</v>
      </c>
      <c r="H126" s="18" t="str">
        <f t="shared" si="14"/>
        <v>432</v>
      </c>
      <c r="I126" s="26" t="str">
        <f t="shared" si="15"/>
        <v>Potential Loyalists</v>
      </c>
      <c r="J126" s="17">
        <f t="shared" si="16"/>
        <v>151.38142857142859</v>
      </c>
      <c r="K126" s="36">
        <f>_xlfn.MAXIFS(ecommerce_transactions!D:D,ecommerce_transactions!B:B,main_data!A126)</f>
        <v>45641</v>
      </c>
      <c r="L126" s="36">
        <f>_xlfn.MINIFS(ecommerce_transactions!D:D,ecommerce_transactions!B:B,main_data!A126)</f>
        <v>45373</v>
      </c>
      <c r="M126" s="19">
        <f t="shared" si="17"/>
        <v>0.73374401095140318</v>
      </c>
      <c r="N126" s="19">
        <f t="shared" si="10"/>
        <v>5.6737864077669906</v>
      </c>
      <c r="O126" s="17">
        <f t="shared" si="18"/>
        <v>630.21705409153969</v>
      </c>
      <c r="P126" s="17">
        <f t="shared" si="19"/>
        <v>189.06511622746191</v>
      </c>
    </row>
    <row r="127" spans="1:16" x14ac:dyDescent="0.3">
      <c r="A127" s="26" t="str">
        <v>C0126</v>
      </c>
      <c r="B127" s="26">
        <f>_xlfn.DAYS(DATE(2024,12,31),_xlfn.MAXIFS(ecommerce_transactions!$D$2:$D$9999, ecommerce_transactions!$B$2:$B$9999, A127))</f>
        <v>471</v>
      </c>
      <c r="C127" s="26">
        <f>COUNTIF(ecommerce_transactions!B:B,main_data!A127)</f>
        <v>1</v>
      </c>
      <c r="D127" s="35">
        <f>SUMIF(ecommerce_transactions!B:B,main_data!A127,ecommerce_transactions!E:E)</f>
        <v>230.05</v>
      </c>
      <c r="E127" s="28">
        <f t="shared" si="11"/>
        <v>1</v>
      </c>
      <c r="F127" s="28">
        <f t="shared" si="12"/>
        <v>1</v>
      </c>
      <c r="G127" s="26">
        <f t="shared" si="13"/>
        <v>1</v>
      </c>
      <c r="H127" s="18" t="str">
        <f t="shared" si="14"/>
        <v>111</v>
      </c>
      <c r="I127" s="26" t="str">
        <f t="shared" si="15"/>
        <v>About to Sleep</v>
      </c>
      <c r="J127" s="17">
        <f t="shared" si="16"/>
        <v>230.05</v>
      </c>
      <c r="K127" s="36">
        <f>_xlfn.MAXIFS(ecommerce_transactions!D:D,ecommerce_transactions!B:B,main_data!A127)</f>
        <v>45186</v>
      </c>
      <c r="L127" s="36">
        <f>_xlfn.MINIFS(ecommerce_transactions!D:D,ecommerce_transactions!B:B,main_data!A127)</f>
        <v>45186</v>
      </c>
      <c r="M127" s="19">
        <f t="shared" si="17"/>
        <v>0</v>
      </c>
      <c r="N127" s="19">
        <f t="shared" si="10"/>
        <v>2</v>
      </c>
      <c r="O127" s="17">
        <f t="shared" si="18"/>
        <v>0</v>
      </c>
      <c r="P127" s="17">
        <f t="shared" si="19"/>
        <v>0</v>
      </c>
    </row>
    <row r="128" spans="1:16" x14ac:dyDescent="0.3">
      <c r="A128" s="26" t="str">
        <v>C0127</v>
      </c>
      <c r="B128" s="26">
        <f>_xlfn.DAYS(DATE(2024,12,31),_xlfn.MAXIFS(ecommerce_transactions!$D$2:$D$9999, ecommerce_transactions!$B$2:$B$9999, A128))</f>
        <v>82</v>
      </c>
      <c r="C128" s="26">
        <f>COUNTIF(ecommerce_transactions!B:B,main_data!A128)</f>
        <v>11</v>
      </c>
      <c r="D128" s="35">
        <f>SUMIF(ecommerce_transactions!B:B,main_data!A128,ecommerce_transactions!E:E)</f>
        <v>2418.1499999999996</v>
      </c>
      <c r="E128" s="28">
        <f t="shared" si="11"/>
        <v>2</v>
      </c>
      <c r="F128" s="28">
        <f t="shared" si="12"/>
        <v>4</v>
      </c>
      <c r="G128" s="26">
        <f t="shared" si="13"/>
        <v>4</v>
      </c>
      <c r="H128" s="18" t="str">
        <f t="shared" si="14"/>
        <v>244</v>
      </c>
      <c r="I128" s="26" t="str">
        <f t="shared" si="15"/>
        <v>At Risk</v>
      </c>
      <c r="J128" s="17">
        <f t="shared" si="16"/>
        <v>219.83181818181814</v>
      </c>
      <c r="K128" s="36">
        <f>_xlfn.MAXIFS(ecommerce_transactions!D:D,ecommerce_transactions!B:B,main_data!A128)</f>
        <v>45575</v>
      </c>
      <c r="L128" s="36">
        <f>_xlfn.MINIFS(ecommerce_transactions!D:D,ecommerce_transactions!B:B,main_data!A128)</f>
        <v>45008</v>
      </c>
      <c r="M128" s="19">
        <f t="shared" si="17"/>
        <v>1.5523613963039014</v>
      </c>
      <c r="N128" s="19">
        <f t="shared" si="10"/>
        <v>5.359679839919961</v>
      </c>
      <c r="O128" s="17">
        <f t="shared" si="18"/>
        <v>1829.0359179589796</v>
      </c>
      <c r="P128" s="17">
        <f t="shared" si="19"/>
        <v>548.71077538769384</v>
      </c>
    </row>
    <row r="129" spans="1:16" x14ac:dyDescent="0.3">
      <c r="A129" s="26" t="str">
        <v>C0128</v>
      </c>
      <c r="B129" s="26">
        <f>_xlfn.DAYS(DATE(2024,12,31),_xlfn.MAXIFS(ecommerce_transactions!$D$2:$D$9999, ecommerce_transactions!$B$2:$B$9999, A129))</f>
        <v>157</v>
      </c>
      <c r="C129" s="26">
        <f>COUNTIF(ecommerce_transactions!B:B,main_data!A129)</f>
        <v>4</v>
      </c>
      <c r="D129" s="35">
        <f>SUMIF(ecommerce_transactions!B:B,main_data!A129,ecommerce_transactions!E:E)</f>
        <v>787.8</v>
      </c>
      <c r="E129" s="28">
        <f t="shared" si="11"/>
        <v>1</v>
      </c>
      <c r="F129" s="28">
        <f t="shared" si="12"/>
        <v>2</v>
      </c>
      <c r="G129" s="26">
        <f t="shared" si="13"/>
        <v>1</v>
      </c>
      <c r="H129" s="18" t="str">
        <f t="shared" si="14"/>
        <v>121</v>
      </c>
      <c r="I129" s="26" t="str">
        <f t="shared" si="15"/>
        <v>About to Sleep</v>
      </c>
      <c r="J129" s="17">
        <f t="shared" si="16"/>
        <v>196.95</v>
      </c>
      <c r="K129" s="36">
        <f>_xlfn.MAXIFS(ecommerce_transactions!D:D,ecommerce_transactions!B:B,main_data!A129)</f>
        <v>45500</v>
      </c>
      <c r="L129" s="36">
        <f>_xlfn.MINIFS(ecommerce_transactions!D:D,ecommerce_transactions!B:B,main_data!A129)</f>
        <v>45173</v>
      </c>
      <c r="M129" s="19">
        <f t="shared" si="17"/>
        <v>0.89527720739219707</v>
      </c>
      <c r="N129" s="19">
        <f t="shared" si="10"/>
        <v>2.8668138337012512</v>
      </c>
      <c r="O129" s="17">
        <f t="shared" si="18"/>
        <v>505.49050772626936</v>
      </c>
      <c r="P129" s="17">
        <f t="shared" si="19"/>
        <v>151.6471523178808</v>
      </c>
    </row>
    <row r="130" spans="1:16" x14ac:dyDescent="0.3">
      <c r="A130" s="26" t="str">
        <v>C0129</v>
      </c>
      <c r="B130" s="26">
        <f>_xlfn.DAYS(DATE(2024,12,31),_xlfn.MAXIFS(ecommerce_transactions!$D$2:$D$9999, ecommerce_transactions!$B$2:$B$9999, A130))</f>
        <v>61</v>
      </c>
      <c r="C130" s="26">
        <f>COUNTIF(ecommerce_transactions!B:B,main_data!A130)</f>
        <v>7</v>
      </c>
      <c r="D130" s="35">
        <f>SUMIF(ecommerce_transactions!B:B,main_data!A130,ecommerce_transactions!E:E)</f>
        <v>2086.7599999999998</v>
      </c>
      <c r="E130" s="28">
        <f t="shared" si="11"/>
        <v>2</v>
      </c>
      <c r="F130" s="28">
        <f t="shared" si="12"/>
        <v>3</v>
      </c>
      <c r="G130" s="26">
        <f t="shared" si="13"/>
        <v>3</v>
      </c>
      <c r="H130" s="18" t="str">
        <f t="shared" si="14"/>
        <v>233</v>
      </c>
      <c r="I130" s="26" t="str">
        <f t="shared" si="15"/>
        <v>At Risk</v>
      </c>
      <c r="J130" s="17">
        <f t="shared" si="16"/>
        <v>298.10857142857139</v>
      </c>
      <c r="K130" s="36">
        <f>_xlfn.MAXIFS(ecommerce_transactions!D:D,ecommerce_transactions!B:B,main_data!A130)</f>
        <v>45596</v>
      </c>
      <c r="L130" s="36">
        <f>_xlfn.MINIFS(ecommerce_transactions!D:D,ecommerce_transactions!B:B,main_data!A130)</f>
        <v>45315</v>
      </c>
      <c r="M130" s="19">
        <f t="shared" si="17"/>
        <v>0.76933607118412051</v>
      </c>
      <c r="N130" s="19">
        <f t="shared" ref="N130:N193" si="20">C130/(M130+0.5)</f>
        <v>5.5146939875977354</v>
      </c>
      <c r="O130" s="17">
        <f t="shared" si="18"/>
        <v>1264.7712267457534</v>
      </c>
      <c r="P130" s="17">
        <f t="shared" si="19"/>
        <v>379.43136802372601</v>
      </c>
    </row>
    <row r="131" spans="1:16" x14ac:dyDescent="0.3">
      <c r="A131" s="26" t="str">
        <v>C0130</v>
      </c>
      <c r="B131" s="26">
        <f>_xlfn.DAYS(DATE(2024,12,31),_xlfn.MAXIFS(ecommerce_transactions!$D$2:$D$9999, ecommerce_transactions!$B$2:$B$9999, A131))</f>
        <v>48</v>
      </c>
      <c r="C131" s="26">
        <f>COUNTIF(ecommerce_transactions!B:B,main_data!A131)</f>
        <v>6</v>
      </c>
      <c r="D131" s="35">
        <f>SUMIF(ecommerce_transactions!B:B,main_data!A131,ecommerce_transactions!E:E)</f>
        <v>1540.75</v>
      </c>
      <c r="E131" s="28">
        <f t="shared" ref="E131:E194" si="21">IF(B131&lt;=PERCENTILE($B$2:$B$501,0.2),5,IF(B131&lt;=PERCENTILE($B$2:$B$501,0.4),4,IF(B131&lt;=PERCENTILE($B$2:$B$501,0.6),3,IF(B131&lt;=PERCENTILE($B$2:$B$501,0.8),2,1))))</f>
        <v>2</v>
      </c>
      <c r="F131" s="28">
        <f t="shared" ref="F131:F194" si="22">IF(C131&gt;=PERCENTILE($C$2:$C$501, 0.8), 5,IF(C131&gt;=PERCENTILE($C$2:$C$501, 0.6), 4, IF(C131&gt;=PERCENTILE($C$2:$C$501, 0.4), 3, IF(C131&gt;=PERCENTILE($C$2:$C$501, 0.2), 2, 1))))</f>
        <v>3</v>
      </c>
      <c r="G131" s="26">
        <f t="shared" ref="G131:G194" si="23">IF(D131&gt;=PERCENTILE($D$2:$D$501,0.8),5,IF(D131&gt;=PERCENTILE($D$2:$D$501,0.6),4,IF(D131&gt;=PERCENTILE($D$2:$D$501,0.4),3,IF(D131&gt;=PERCENTILE($D$2:$D$501,0.2),2,1))))</f>
        <v>2</v>
      </c>
      <c r="H131" s="18" t="str">
        <f t="shared" ref="H131:H194" si="24">CONCATENATE(E131,F131,G131)</f>
        <v>232</v>
      </c>
      <c r="I131" s="26" t="str">
        <f t="shared" ref="I131:I194" si="25">IF(AND(E131&gt;=4, F131&gt;=4, G131&gt;=4), "Champions",
    IF(AND(E131&gt;=3, F131&gt;=3, G131&gt;=3), "Loyal Customers",
    IF(AND(E131&gt;=4, F131&lt;=2), "New Customers",
    IF(AND(E131&gt;=4, F131&gt;=2, G131&gt;=2), "Potential Loyalists",
    IF(AND(G131&gt;=4, E131&lt;=2, F131&lt;=2), "Cannot Lose Them",
    IF(AND(F131&gt;=3, E131&lt;=2), "At Risk",
    IF(AND(E131&lt;=2, F131&lt;=2), "About to Sleep",
    IF(AND(E131&lt;=2, F131&lt;=3), "Hibernating", "Lost"))))))))</f>
        <v>At Risk</v>
      </c>
      <c r="J131" s="17">
        <f t="shared" ref="J131:J194" si="26">D131/C131</f>
        <v>256.79166666666669</v>
      </c>
      <c r="K131" s="36">
        <f>_xlfn.MAXIFS(ecommerce_transactions!D:D,ecommerce_transactions!B:B,main_data!A131)</f>
        <v>45609</v>
      </c>
      <c r="L131" s="36">
        <f>_xlfn.MINIFS(ecommerce_transactions!D:D,ecommerce_transactions!B:B,main_data!A131)</f>
        <v>44950</v>
      </c>
      <c r="M131" s="19">
        <f t="shared" ref="M131:M194" si="27">(K131-L131)/365.25</f>
        <v>1.8042436687200547</v>
      </c>
      <c r="N131" s="19">
        <f t="shared" si="20"/>
        <v>2.6038912817466211</v>
      </c>
      <c r="O131" s="17">
        <f t="shared" ref="O131:O194" si="28">J131*N131*M131</f>
        <v>1206.4212089707412</v>
      </c>
      <c r="P131" s="17">
        <f t="shared" ref="P131:P194" si="29">O131*0.3</f>
        <v>361.92636269122232</v>
      </c>
    </row>
    <row r="132" spans="1:16" x14ac:dyDescent="0.3">
      <c r="A132" s="26" t="str">
        <v>C0131</v>
      </c>
      <c r="B132" s="26">
        <f>_xlfn.DAYS(DATE(2024,12,31),_xlfn.MAXIFS(ecommerce_transactions!$D$2:$D$9999, ecommerce_transactions!$B$2:$B$9999, A132))</f>
        <v>606</v>
      </c>
      <c r="C132" s="26">
        <f>COUNTIF(ecommerce_transactions!B:B,main_data!A132)</f>
        <v>1</v>
      </c>
      <c r="D132" s="35">
        <f>SUMIF(ecommerce_transactions!B:B,main_data!A132,ecommerce_transactions!E:E)</f>
        <v>64.819999999999993</v>
      </c>
      <c r="E132" s="28">
        <f t="shared" si="21"/>
        <v>1</v>
      </c>
      <c r="F132" s="28">
        <f t="shared" si="22"/>
        <v>1</v>
      </c>
      <c r="G132" s="26">
        <f t="shared" si="23"/>
        <v>1</v>
      </c>
      <c r="H132" s="18" t="str">
        <f t="shared" si="24"/>
        <v>111</v>
      </c>
      <c r="I132" s="26" t="str">
        <f t="shared" si="25"/>
        <v>About to Sleep</v>
      </c>
      <c r="J132" s="17">
        <f t="shared" si="26"/>
        <v>64.819999999999993</v>
      </c>
      <c r="K132" s="36">
        <f>_xlfn.MAXIFS(ecommerce_transactions!D:D,ecommerce_transactions!B:B,main_data!A132)</f>
        <v>45051</v>
      </c>
      <c r="L132" s="36">
        <f>_xlfn.MINIFS(ecommerce_transactions!D:D,ecommerce_transactions!B:B,main_data!A132)</f>
        <v>45051</v>
      </c>
      <c r="M132" s="19">
        <f t="shared" si="27"/>
        <v>0</v>
      </c>
      <c r="N132" s="19">
        <f t="shared" si="20"/>
        <v>2</v>
      </c>
      <c r="O132" s="17">
        <f t="shared" si="28"/>
        <v>0</v>
      </c>
      <c r="P132" s="17">
        <f t="shared" si="29"/>
        <v>0</v>
      </c>
    </row>
    <row r="133" spans="1:16" x14ac:dyDescent="0.3">
      <c r="A133" s="26" t="str">
        <v>C0132</v>
      </c>
      <c r="B133" s="26">
        <f>_xlfn.DAYS(DATE(2024,12,31),_xlfn.MAXIFS(ecommerce_transactions!$D$2:$D$9999, ecommerce_transactions!$B$2:$B$9999, A133))</f>
        <v>1</v>
      </c>
      <c r="C133" s="26">
        <f>COUNTIF(ecommerce_transactions!B:B,main_data!A133)</f>
        <v>1</v>
      </c>
      <c r="D133" s="35">
        <f>SUMIF(ecommerce_transactions!B:B,main_data!A133,ecommerce_transactions!E:E)</f>
        <v>442.03</v>
      </c>
      <c r="E133" s="28">
        <f t="shared" si="21"/>
        <v>5</v>
      </c>
      <c r="F133" s="28">
        <f t="shared" si="22"/>
        <v>1</v>
      </c>
      <c r="G133" s="26">
        <f t="shared" si="23"/>
        <v>1</v>
      </c>
      <c r="H133" s="18" t="str">
        <f t="shared" si="24"/>
        <v>511</v>
      </c>
      <c r="I133" s="26" t="str">
        <f t="shared" si="25"/>
        <v>New Customers</v>
      </c>
      <c r="J133" s="17">
        <f t="shared" si="26"/>
        <v>442.03</v>
      </c>
      <c r="K133" s="36">
        <f>_xlfn.MAXIFS(ecommerce_transactions!D:D,ecommerce_transactions!B:B,main_data!A133)</f>
        <v>45656</v>
      </c>
      <c r="L133" s="36">
        <f>_xlfn.MINIFS(ecommerce_transactions!D:D,ecommerce_transactions!B:B,main_data!A133)</f>
        <v>45656</v>
      </c>
      <c r="M133" s="19">
        <f t="shared" si="27"/>
        <v>0</v>
      </c>
      <c r="N133" s="19">
        <f t="shared" si="20"/>
        <v>2</v>
      </c>
      <c r="O133" s="17">
        <f t="shared" si="28"/>
        <v>0</v>
      </c>
      <c r="P133" s="17">
        <f t="shared" si="29"/>
        <v>0</v>
      </c>
    </row>
    <row r="134" spans="1:16" x14ac:dyDescent="0.3">
      <c r="A134" s="26" t="str">
        <v>C0133</v>
      </c>
      <c r="B134" s="26">
        <f>_xlfn.DAYS(DATE(2024,12,31),_xlfn.MAXIFS(ecommerce_transactions!$D$2:$D$9999, ecommerce_transactions!$B$2:$B$9999, A134))</f>
        <v>342</v>
      </c>
      <c r="C134" s="26">
        <f>COUNTIF(ecommerce_transactions!B:B,main_data!A134)</f>
        <v>4</v>
      </c>
      <c r="D134" s="35">
        <f>SUMIF(ecommerce_transactions!B:B,main_data!A134,ecommerce_transactions!E:E)</f>
        <v>875.39</v>
      </c>
      <c r="E134" s="28">
        <f t="shared" si="21"/>
        <v>1</v>
      </c>
      <c r="F134" s="28">
        <f t="shared" si="22"/>
        <v>2</v>
      </c>
      <c r="G134" s="26">
        <f t="shared" si="23"/>
        <v>1</v>
      </c>
      <c r="H134" s="18" t="str">
        <f t="shared" si="24"/>
        <v>121</v>
      </c>
      <c r="I134" s="26" t="str">
        <f t="shared" si="25"/>
        <v>About to Sleep</v>
      </c>
      <c r="J134" s="17">
        <f t="shared" si="26"/>
        <v>218.8475</v>
      </c>
      <c r="K134" s="36">
        <f>_xlfn.MAXIFS(ecommerce_transactions!D:D,ecommerce_transactions!B:B,main_data!A134)</f>
        <v>45315</v>
      </c>
      <c r="L134" s="36">
        <f>_xlfn.MINIFS(ecommerce_transactions!D:D,ecommerce_transactions!B:B,main_data!A134)</f>
        <v>45093</v>
      </c>
      <c r="M134" s="19">
        <f t="shared" si="27"/>
        <v>0.6078028747433265</v>
      </c>
      <c r="N134" s="19">
        <f t="shared" si="20"/>
        <v>3.6107506950880439</v>
      </c>
      <c r="O134" s="17">
        <f t="shared" si="28"/>
        <v>480.28811862835948</v>
      </c>
      <c r="P134" s="17">
        <f t="shared" si="29"/>
        <v>144.08643558850784</v>
      </c>
    </row>
    <row r="135" spans="1:16" x14ac:dyDescent="0.3">
      <c r="A135" s="26" t="str">
        <v>C0134</v>
      </c>
      <c r="B135" s="26">
        <f>_xlfn.DAYS(DATE(2024,12,31),_xlfn.MAXIFS(ecommerce_transactions!$D$2:$D$9999, ecommerce_transactions!$B$2:$B$9999, A135))</f>
        <v>5</v>
      </c>
      <c r="C135" s="26">
        <f>COUNTIF(ecommerce_transactions!B:B,main_data!A135)</f>
        <v>7</v>
      </c>
      <c r="D135" s="35">
        <f>SUMIF(ecommerce_transactions!B:B,main_data!A135,ecommerce_transactions!E:E)</f>
        <v>2359.7199999999998</v>
      </c>
      <c r="E135" s="28">
        <f t="shared" si="21"/>
        <v>5</v>
      </c>
      <c r="F135" s="28">
        <f t="shared" si="22"/>
        <v>3</v>
      </c>
      <c r="G135" s="26">
        <f t="shared" si="23"/>
        <v>4</v>
      </c>
      <c r="H135" s="18" t="str">
        <f t="shared" si="24"/>
        <v>534</v>
      </c>
      <c r="I135" s="26" t="str">
        <f t="shared" si="25"/>
        <v>Loyal Customers</v>
      </c>
      <c r="J135" s="17">
        <f t="shared" si="26"/>
        <v>337.10285714285709</v>
      </c>
      <c r="K135" s="36">
        <f>_xlfn.MAXIFS(ecommerce_transactions!D:D,ecommerce_transactions!B:B,main_data!A135)</f>
        <v>45652</v>
      </c>
      <c r="L135" s="36">
        <f>_xlfn.MINIFS(ecommerce_transactions!D:D,ecommerce_transactions!B:B,main_data!A135)</f>
        <v>45274</v>
      </c>
      <c r="M135" s="19">
        <f t="shared" si="27"/>
        <v>1.0349075975359343</v>
      </c>
      <c r="N135" s="19">
        <f t="shared" si="20"/>
        <v>4.5605351170568564</v>
      </c>
      <c r="O135" s="17">
        <f t="shared" si="28"/>
        <v>1591.0352909698995</v>
      </c>
      <c r="P135" s="17">
        <f t="shared" si="29"/>
        <v>477.31058729096981</v>
      </c>
    </row>
    <row r="136" spans="1:16" x14ac:dyDescent="0.3">
      <c r="A136" s="26" t="str">
        <v>C0135</v>
      </c>
      <c r="B136" s="26">
        <f>_xlfn.DAYS(DATE(2024,12,31),_xlfn.MAXIFS(ecommerce_transactions!$D$2:$D$9999, ecommerce_transactions!$B$2:$B$9999, A136))</f>
        <v>48</v>
      </c>
      <c r="C136" s="26">
        <f>COUNTIF(ecommerce_transactions!B:B,main_data!A136)</f>
        <v>14</v>
      </c>
      <c r="D136" s="35">
        <f>SUMIF(ecommerce_transactions!B:B,main_data!A136,ecommerce_transactions!E:E)</f>
        <v>3249.08</v>
      </c>
      <c r="E136" s="28">
        <f t="shared" si="21"/>
        <v>2</v>
      </c>
      <c r="F136" s="28">
        <f t="shared" si="22"/>
        <v>5</v>
      </c>
      <c r="G136" s="26">
        <f t="shared" si="23"/>
        <v>5</v>
      </c>
      <c r="H136" s="18" t="str">
        <f t="shared" si="24"/>
        <v>255</v>
      </c>
      <c r="I136" s="26" t="str">
        <f t="shared" si="25"/>
        <v>At Risk</v>
      </c>
      <c r="J136" s="17">
        <f t="shared" si="26"/>
        <v>232.07714285714286</v>
      </c>
      <c r="K136" s="36">
        <f>_xlfn.MAXIFS(ecommerce_transactions!D:D,ecommerce_transactions!B:B,main_data!A136)</f>
        <v>45609</v>
      </c>
      <c r="L136" s="36">
        <f>_xlfn.MINIFS(ecommerce_transactions!D:D,ecommerce_transactions!B:B,main_data!A136)</f>
        <v>45348</v>
      </c>
      <c r="M136" s="19">
        <f t="shared" si="27"/>
        <v>0.71457905544147848</v>
      </c>
      <c r="N136" s="19">
        <f t="shared" si="20"/>
        <v>11.526627218934911</v>
      </c>
      <c r="O136" s="17">
        <f t="shared" si="28"/>
        <v>1911.5466441251058</v>
      </c>
      <c r="P136" s="17">
        <f t="shared" si="29"/>
        <v>573.46399323753167</v>
      </c>
    </row>
    <row r="137" spans="1:16" x14ac:dyDescent="0.3">
      <c r="A137" s="26" t="str">
        <v>C0136</v>
      </c>
      <c r="B137" s="26">
        <f>_xlfn.DAYS(DATE(2024,12,31),_xlfn.MAXIFS(ecommerce_transactions!$D$2:$D$9999, ecommerce_transactions!$B$2:$B$9999, A137))</f>
        <v>7</v>
      </c>
      <c r="C137" s="26">
        <f>COUNTIF(ecommerce_transactions!B:B,main_data!A137)</f>
        <v>8</v>
      </c>
      <c r="D137" s="35">
        <f>SUMIF(ecommerce_transactions!B:B,main_data!A137,ecommerce_transactions!E:E)</f>
        <v>2452.1800000000003</v>
      </c>
      <c r="E137" s="28">
        <f t="shared" si="21"/>
        <v>5</v>
      </c>
      <c r="F137" s="28">
        <f t="shared" si="22"/>
        <v>3</v>
      </c>
      <c r="G137" s="26">
        <f t="shared" si="23"/>
        <v>4</v>
      </c>
      <c r="H137" s="18" t="str">
        <f t="shared" si="24"/>
        <v>534</v>
      </c>
      <c r="I137" s="26" t="str">
        <f t="shared" si="25"/>
        <v>Loyal Customers</v>
      </c>
      <c r="J137" s="17">
        <f t="shared" si="26"/>
        <v>306.52250000000004</v>
      </c>
      <c r="K137" s="36">
        <f>_xlfn.MAXIFS(ecommerce_transactions!D:D,ecommerce_transactions!B:B,main_data!A137)</f>
        <v>45650</v>
      </c>
      <c r="L137" s="36">
        <f>_xlfn.MINIFS(ecommerce_transactions!D:D,ecommerce_transactions!B:B,main_data!A137)</f>
        <v>45362</v>
      </c>
      <c r="M137" s="19">
        <f t="shared" si="27"/>
        <v>0.7885010266940452</v>
      </c>
      <c r="N137" s="19">
        <f t="shared" si="20"/>
        <v>6.2087649402390435</v>
      </c>
      <c r="O137" s="17">
        <f t="shared" si="28"/>
        <v>1500.6169243027889</v>
      </c>
      <c r="P137" s="17">
        <f t="shared" si="29"/>
        <v>450.18507729083666</v>
      </c>
    </row>
    <row r="138" spans="1:16" x14ac:dyDescent="0.3">
      <c r="A138" s="26" t="str">
        <v>C0137</v>
      </c>
      <c r="B138" s="26">
        <f>_xlfn.DAYS(DATE(2024,12,31),_xlfn.MAXIFS(ecommerce_transactions!$D$2:$D$9999, ecommerce_transactions!$B$2:$B$9999, A138))</f>
        <v>118</v>
      </c>
      <c r="C138" s="26">
        <f>COUNTIF(ecommerce_transactions!B:B,main_data!A138)</f>
        <v>3</v>
      </c>
      <c r="D138" s="35">
        <f>SUMIF(ecommerce_transactions!B:B,main_data!A138,ecommerce_transactions!E:E)</f>
        <v>805.87000000000012</v>
      </c>
      <c r="E138" s="28">
        <f t="shared" si="21"/>
        <v>1</v>
      </c>
      <c r="F138" s="28">
        <f t="shared" si="22"/>
        <v>1</v>
      </c>
      <c r="G138" s="26">
        <f t="shared" si="23"/>
        <v>1</v>
      </c>
      <c r="H138" s="18" t="str">
        <f t="shared" si="24"/>
        <v>111</v>
      </c>
      <c r="I138" s="26" t="str">
        <f t="shared" si="25"/>
        <v>About to Sleep</v>
      </c>
      <c r="J138" s="17">
        <f t="shared" si="26"/>
        <v>268.62333333333339</v>
      </c>
      <c r="K138" s="36">
        <f>_xlfn.MAXIFS(ecommerce_transactions!D:D,ecommerce_transactions!B:B,main_data!A138)</f>
        <v>45539</v>
      </c>
      <c r="L138" s="36">
        <f>_xlfn.MINIFS(ecommerce_transactions!D:D,ecommerce_transactions!B:B,main_data!A138)</f>
        <v>45196</v>
      </c>
      <c r="M138" s="19">
        <f t="shared" si="27"/>
        <v>0.93908281998631071</v>
      </c>
      <c r="N138" s="19">
        <f t="shared" si="20"/>
        <v>2.0846611177170034</v>
      </c>
      <c r="O138" s="17">
        <f t="shared" si="28"/>
        <v>525.87569084423308</v>
      </c>
      <c r="P138" s="17">
        <f t="shared" si="29"/>
        <v>157.76270725326992</v>
      </c>
    </row>
    <row r="139" spans="1:16" x14ac:dyDescent="0.3">
      <c r="A139" s="26" t="str">
        <v>C0138</v>
      </c>
      <c r="B139" s="26">
        <f>_xlfn.DAYS(DATE(2024,12,31),_xlfn.MAXIFS(ecommerce_transactions!$D$2:$D$9999, ecommerce_transactions!$B$2:$B$9999, A139))</f>
        <v>144</v>
      </c>
      <c r="C139" s="26">
        <f>COUNTIF(ecommerce_transactions!B:B,main_data!A139)</f>
        <v>2</v>
      </c>
      <c r="D139" s="35">
        <f>SUMIF(ecommerce_transactions!B:B,main_data!A139,ecommerce_transactions!E:E)</f>
        <v>670.32</v>
      </c>
      <c r="E139" s="28">
        <f t="shared" si="21"/>
        <v>1</v>
      </c>
      <c r="F139" s="28">
        <f t="shared" si="22"/>
        <v>1</v>
      </c>
      <c r="G139" s="26">
        <f t="shared" si="23"/>
        <v>1</v>
      </c>
      <c r="H139" s="18" t="str">
        <f t="shared" si="24"/>
        <v>111</v>
      </c>
      <c r="I139" s="26" t="str">
        <f t="shared" si="25"/>
        <v>About to Sleep</v>
      </c>
      <c r="J139" s="17">
        <f t="shared" si="26"/>
        <v>335.16</v>
      </c>
      <c r="K139" s="36">
        <f>_xlfn.MAXIFS(ecommerce_transactions!D:D,ecommerce_transactions!B:B,main_data!A139)</f>
        <v>45513</v>
      </c>
      <c r="L139" s="36">
        <f>_xlfn.MINIFS(ecommerce_transactions!D:D,ecommerce_transactions!B:B,main_data!A139)</f>
        <v>45271</v>
      </c>
      <c r="M139" s="19">
        <f t="shared" si="27"/>
        <v>0.66255989048596853</v>
      </c>
      <c r="N139" s="19">
        <f t="shared" si="20"/>
        <v>1.720341477774507</v>
      </c>
      <c r="O139" s="17">
        <f t="shared" si="28"/>
        <v>382.02517515454815</v>
      </c>
      <c r="P139" s="17">
        <f t="shared" si="29"/>
        <v>114.60755254636445</v>
      </c>
    </row>
    <row r="140" spans="1:16" x14ac:dyDescent="0.3">
      <c r="A140" s="26" t="str">
        <v>C0139</v>
      </c>
      <c r="B140" s="26">
        <f>_xlfn.DAYS(DATE(2024,12,31),_xlfn.MAXIFS(ecommerce_transactions!$D$2:$D$9999, ecommerce_transactions!$B$2:$B$9999, A140))</f>
        <v>633</v>
      </c>
      <c r="C140" s="26">
        <f>COUNTIF(ecommerce_transactions!B:B,main_data!A140)</f>
        <v>1</v>
      </c>
      <c r="D140" s="35">
        <f>SUMIF(ecommerce_transactions!B:B,main_data!A140,ecommerce_transactions!E:E)</f>
        <v>193.98</v>
      </c>
      <c r="E140" s="28">
        <f t="shared" si="21"/>
        <v>1</v>
      </c>
      <c r="F140" s="28">
        <f t="shared" si="22"/>
        <v>1</v>
      </c>
      <c r="G140" s="26">
        <f t="shared" si="23"/>
        <v>1</v>
      </c>
      <c r="H140" s="18" t="str">
        <f t="shared" si="24"/>
        <v>111</v>
      </c>
      <c r="I140" s="26" t="str">
        <f t="shared" si="25"/>
        <v>About to Sleep</v>
      </c>
      <c r="J140" s="17">
        <f t="shared" si="26"/>
        <v>193.98</v>
      </c>
      <c r="K140" s="36">
        <f>_xlfn.MAXIFS(ecommerce_transactions!D:D,ecommerce_transactions!B:B,main_data!A140)</f>
        <v>45024</v>
      </c>
      <c r="L140" s="36">
        <f>_xlfn.MINIFS(ecommerce_transactions!D:D,ecommerce_transactions!B:B,main_data!A140)</f>
        <v>45024</v>
      </c>
      <c r="M140" s="19">
        <f t="shared" si="27"/>
        <v>0</v>
      </c>
      <c r="N140" s="19">
        <f t="shared" si="20"/>
        <v>2</v>
      </c>
      <c r="O140" s="17">
        <f t="shared" si="28"/>
        <v>0</v>
      </c>
      <c r="P140" s="17">
        <f t="shared" si="29"/>
        <v>0</v>
      </c>
    </row>
    <row r="141" spans="1:16" x14ac:dyDescent="0.3">
      <c r="A141" s="26" t="str">
        <v>C0140</v>
      </c>
      <c r="B141" s="26">
        <f>_xlfn.DAYS(DATE(2024,12,31),_xlfn.MAXIFS(ecommerce_transactions!$D$2:$D$9999, ecommerce_transactions!$B$2:$B$9999, A141))</f>
        <v>42</v>
      </c>
      <c r="C141" s="26">
        <f>COUNTIF(ecommerce_transactions!B:B,main_data!A141)</f>
        <v>15</v>
      </c>
      <c r="D141" s="35">
        <f>SUMIF(ecommerce_transactions!B:B,main_data!A141,ecommerce_transactions!E:E)</f>
        <v>4479.41</v>
      </c>
      <c r="E141" s="28">
        <f t="shared" si="21"/>
        <v>3</v>
      </c>
      <c r="F141" s="28">
        <f t="shared" si="22"/>
        <v>5</v>
      </c>
      <c r="G141" s="26">
        <f t="shared" si="23"/>
        <v>5</v>
      </c>
      <c r="H141" s="18" t="str">
        <f t="shared" si="24"/>
        <v>355</v>
      </c>
      <c r="I141" s="26" t="str">
        <f t="shared" si="25"/>
        <v>Loyal Customers</v>
      </c>
      <c r="J141" s="17">
        <f t="shared" si="26"/>
        <v>298.6273333333333</v>
      </c>
      <c r="K141" s="36">
        <f>_xlfn.MAXIFS(ecommerce_transactions!D:D,ecommerce_transactions!B:B,main_data!A141)</f>
        <v>45615</v>
      </c>
      <c r="L141" s="36">
        <f>_xlfn.MINIFS(ecommerce_transactions!D:D,ecommerce_transactions!B:B,main_data!A141)</f>
        <v>45098</v>
      </c>
      <c r="M141" s="19">
        <f t="shared" si="27"/>
        <v>1.4154688569472964</v>
      </c>
      <c r="N141" s="19">
        <f t="shared" si="20"/>
        <v>7.8309808826156866</v>
      </c>
      <c r="O141" s="17">
        <f t="shared" si="28"/>
        <v>3310.1375308200818</v>
      </c>
      <c r="P141" s="17">
        <f t="shared" si="29"/>
        <v>993.04125924602454</v>
      </c>
    </row>
    <row r="142" spans="1:16" x14ac:dyDescent="0.3">
      <c r="A142" s="26" t="str">
        <v>C0141</v>
      </c>
      <c r="B142" s="26">
        <f>_xlfn.DAYS(DATE(2024,12,31),_xlfn.MAXIFS(ecommerce_transactions!$D$2:$D$9999, ecommerce_transactions!$B$2:$B$9999, A142))</f>
        <v>5</v>
      </c>
      <c r="C142" s="26">
        <f>COUNTIF(ecommerce_transactions!B:B,main_data!A142)</f>
        <v>13</v>
      </c>
      <c r="D142" s="35">
        <f>SUMIF(ecommerce_transactions!B:B,main_data!A142,ecommerce_transactions!E:E)</f>
        <v>3225.3100000000004</v>
      </c>
      <c r="E142" s="28">
        <f t="shared" si="21"/>
        <v>5</v>
      </c>
      <c r="F142" s="28">
        <f t="shared" si="22"/>
        <v>5</v>
      </c>
      <c r="G142" s="26">
        <f t="shared" si="23"/>
        <v>5</v>
      </c>
      <c r="H142" s="18" t="str">
        <f t="shared" si="24"/>
        <v>555</v>
      </c>
      <c r="I142" s="26" t="str">
        <f t="shared" si="25"/>
        <v>Champions</v>
      </c>
      <c r="J142" s="17">
        <f t="shared" si="26"/>
        <v>248.10076923076926</v>
      </c>
      <c r="K142" s="36">
        <f>_xlfn.MAXIFS(ecommerce_transactions!D:D,ecommerce_transactions!B:B,main_data!A142)</f>
        <v>45652</v>
      </c>
      <c r="L142" s="36">
        <f>_xlfn.MINIFS(ecommerce_transactions!D:D,ecommerce_transactions!B:B,main_data!A142)</f>
        <v>45243</v>
      </c>
      <c r="M142" s="19">
        <f t="shared" si="27"/>
        <v>1.1197809719370295</v>
      </c>
      <c r="N142" s="19">
        <f t="shared" si="20"/>
        <v>8.0257764631312067</v>
      </c>
      <c r="O142" s="17">
        <f t="shared" si="28"/>
        <v>2229.7093429114734</v>
      </c>
      <c r="P142" s="17">
        <f t="shared" si="29"/>
        <v>668.91280287344205</v>
      </c>
    </row>
    <row r="143" spans="1:16" x14ac:dyDescent="0.3">
      <c r="A143" s="26" t="str">
        <v>C0142</v>
      </c>
      <c r="B143" s="26">
        <f>_xlfn.DAYS(DATE(2024,12,31),_xlfn.MAXIFS(ecommerce_transactions!$D$2:$D$9999, ecommerce_transactions!$B$2:$B$9999, A143))</f>
        <v>32</v>
      </c>
      <c r="C143" s="26">
        <f>COUNTIF(ecommerce_transactions!B:B,main_data!A143)</f>
        <v>8</v>
      </c>
      <c r="D143" s="35">
        <f>SUMIF(ecommerce_transactions!B:B,main_data!A143,ecommerce_transactions!E:E)</f>
        <v>2050.66</v>
      </c>
      <c r="E143" s="28">
        <f t="shared" si="21"/>
        <v>3</v>
      </c>
      <c r="F143" s="28">
        <f t="shared" si="22"/>
        <v>3</v>
      </c>
      <c r="G143" s="26">
        <f t="shared" si="23"/>
        <v>3</v>
      </c>
      <c r="H143" s="18" t="str">
        <f t="shared" si="24"/>
        <v>333</v>
      </c>
      <c r="I143" s="26" t="str">
        <f t="shared" si="25"/>
        <v>Loyal Customers</v>
      </c>
      <c r="J143" s="17">
        <f t="shared" si="26"/>
        <v>256.33249999999998</v>
      </c>
      <c r="K143" s="36">
        <f>_xlfn.MAXIFS(ecommerce_transactions!D:D,ecommerce_transactions!B:B,main_data!A143)</f>
        <v>45625</v>
      </c>
      <c r="L143" s="36">
        <f>_xlfn.MINIFS(ecommerce_transactions!D:D,ecommerce_transactions!B:B,main_data!A143)</f>
        <v>45041</v>
      </c>
      <c r="M143" s="19">
        <f t="shared" si="27"/>
        <v>1.5989048596851472</v>
      </c>
      <c r="N143" s="19">
        <f t="shared" si="20"/>
        <v>3.811511495189956</v>
      </c>
      <c r="O143" s="17">
        <f t="shared" si="28"/>
        <v>1562.1528648296103</v>
      </c>
      <c r="P143" s="17">
        <f t="shared" si="29"/>
        <v>468.64585944888307</v>
      </c>
    </row>
    <row r="144" spans="1:16" x14ac:dyDescent="0.3">
      <c r="A144" s="26" t="str">
        <v>C0143</v>
      </c>
      <c r="B144" s="26">
        <f>_xlfn.DAYS(DATE(2024,12,31),_xlfn.MAXIFS(ecommerce_transactions!$D$2:$D$9999, ecommerce_transactions!$B$2:$B$9999, A144))</f>
        <v>302</v>
      </c>
      <c r="C144" s="26">
        <f>COUNTIF(ecommerce_transactions!B:B,main_data!A144)</f>
        <v>1</v>
      </c>
      <c r="D144" s="35">
        <f>SUMIF(ecommerce_transactions!B:B,main_data!A144,ecommerce_transactions!E:E)</f>
        <v>426.1</v>
      </c>
      <c r="E144" s="28">
        <f t="shared" si="21"/>
        <v>1</v>
      </c>
      <c r="F144" s="28">
        <f t="shared" si="22"/>
        <v>1</v>
      </c>
      <c r="G144" s="26">
        <f t="shared" si="23"/>
        <v>1</v>
      </c>
      <c r="H144" s="18" t="str">
        <f t="shared" si="24"/>
        <v>111</v>
      </c>
      <c r="I144" s="26" t="str">
        <f t="shared" si="25"/>
        <v>About to Sleep</v>
      </c>
      <c r="J144" s="17">
        <f t="shared" si="26"/>
        <v>426.1</v>
      </c>
      <c r="K144" s="36">
        <f>_xlfn.MAXIFS(ecommerce_transactions!D:D,ecommerce_transactions!B:B,main_data!A144)</f>
        <v>45355</v>
      </c>
      <c r="L144" s="36">
        <f>_xlfn.MINIFS(ecommerce_transactions!D:D,ecommerce_transactions!B:B,main_data!A144)</f>
        <v>45355</v>
      </c>
      <c r="M144" s="19">
        <f t="shared" si="27"/>
        <v>0</v>
      </c>
      <c r="N144" s="19">
        <f t="shared" si="20"/>
        <v>2</v>
      </c>
      <c r="O144" s="17">
        <f t="shared" si="28"/>
        <v>0</v>
      </c>
      <c r="P144" s="17">
        <f t="shared" si="29"/>
        <v>0</v>
      </c>
    </row>
    <row r="145" spans="1:16" x14ac:dyDescent="0.3">
      <c r="A145" s="26" t="str">
        <v>C0144</v>
      </c>
      <c r="B145" s="26">
        <f>_xlfn.DAYS(DATE(2024,12,31),_xlfn.MAXIFS(ecommerce_transactions!$D$2:$D$9999, ecommerce_transactions!$B$2:$B$9999, A145))</f>
        <v>67</v>
      </c>
      <c r="C145" s="26">
        <f>COUNTIF(ecommerce_transactions!B:B,main_data!A145)</f>
        <v>14</v>
      </c>
      <c r="D145" s="35">
        <f>SUMIF(ecommerce_transactions!B:B,main_data!A145,ecommerce_transactions!E:E)</f>
        <v>3686.72</v>
      </c>
      <c r="E145" s="28">
        <f t="shared" si="21"/>
        <v>2</v>
      </c>
      <c r="F145" s="28">
        <f t="shared" si="22"/>
        <v>5</v>
      </c>
      <c r="G145" s="26">
        <f t="shared" si="23"/>
        <v>5</v>
      </c>
      <c r="H145" s="18" t="str">
        <f t="shared" si="24"/>
        <v>255</v>
      </c>
      <c r="I145" s="26" t="str">
        <f t="shared" si="25"/>
        <v>At Risk</v>
      </c>
      <c r="J145" s="17">
        <f t="shared" si="26"/>
        <v>263.33714285714285</v>
      </c>
      <c r="K145" s="36">
        <f>_xlfn.MAXIFS(ecommerce_transactions!D:D,ecommerce_transactions!B:B,main_data!A145)</f>
        <v>45590</v>
      </c>
      <c r="L145" s="36">
        <f>_xlfn.MINIFS(ecommerce_transactions!D:D,ecommerce_transactions!B:B,main_data!A145)</f>
        <v>45133</v>
      </c>
      <c r="M145" s="19">
        <f t="shared" si="27"/>
        <v>1.2511978097193703</v>
      </c>
      <c r="N145" s="19">
        <f t="shared" si="20"/>
        <v>7.9945280437756496</v>
      </c>
      <c r="O145" s="17">
        <f t="shared" si="28"/>
        <v>2634.0919132304089</v>
      </c>
      <c r="P145" s="17">
        <f t="shared" si="29"/>
        <v>790.22757396912266</v>
      </c>
    </row>
    <row r="146" spans="1:16" x14ac:dyDescent="0.3">
      <c r="A146" s="26" t="str">
        <v>C0145</v>
      </c>
      <c r="B146" s="26">
        <f>_xlfn.DAYS(DATE(2024,12,31),_xlfn.MAXIFS(ecommerce_transactions!$D$2:$D$9999, ecommerce_transactions!$B$2:$B$9999, A146))</f>
        <v>60</v>
      </c>
      <c r="C146" s="26">
        <f>COUNTIF(ecommerce_transactions!B:B,main_data!A146)</f>
        <v>7</v>
      </c>
      <c r="D146" s="35">
        <f>SUMIF(ecommerce_transactions!B:B,main_data!A146,ecommerce_transactions!E:E)</f>
        <v>1704.6800000000003</v>
      </c>
      <c r="E146" s="28">
        <f t="shared" si="21"/>
        <v>2</v>
      </c>
      <c r="F146" s="28">
        <f t="shared" si="22"/>
        <v>3</v>
      </c>
      <c r="G146" s="26">
        <f t="shared" si="23"/>
        <v>3</v>
      </c>
      <c r="H146" s="18" t="str">
        <f t="shared" si="24"/>
        <v>233</v>
      </c>
      <c r="I146" s="26" t="str">
        <f t="shared" si="25"/>
        <v>At Risk</v>
      </c>
      <c r="J146" s="17">
        <f t="shared" si="26"/>
        <v>243.52571428571432</v>
      </c>
      <c r="K146" s="36">
        <f>_xlfn.MAXIFS(ecommerce_transactions!D:D,ecommerce_transactions!B:B,main_data!A146)</f>
        <v>45597</v>
      </c>
      <c r="L146" s="36">
        <f>_xlfn.MINIFS(ecommerce_transactions!D:D,ecommerce_transactions!B:B,main_data!A146)</f>
        <v>45426</v>
      </c>
      <c r="M146" s="19">
        <f t="shared" si="27"/>
        <v>0.46817248459958932</v>
      </c>
      <c r="N146" s="19">
        <f t="shared" si="20"/>
        <v>7.2301166489925768</v>
      </c>
      <c r="O146" s="17">
        <f t="shared" si="28"/>
        <v>824.32033934252388</v>
      </c>
      <c r="P146" s="17">
        <f t="shared" si="29"/>
        <v>247.29610180275716</v>
      </c>
    </row>
    <row r="147" spans="1:16" x14ac:dyDescent="0.3">
      <c r="A147" s="26" t="str">
        <v>C0146</v>
      </c>
      <c r="B147" s="26">
        <f>_xlfn.DAYS(DATE(2024,12,31),_xlfn.MAXIFS(ecommerce_transactions!$D$2:$D$9999, ecommerce_transactions!$B$2:$B$9999, A147))</f>
        <v>1</v>
      </c>
      <c r="C147" s="26">
        <f>COUNTIF(ecommerce_transactions!B:B,main_data!A147)</f>
        <v>11</v>
      </c>
      <c r="D147" s="35">
        <f>SUMIF(ecommerce_transactions!B:B,main_data!A147,ecommerce_transactions!E:E)</f>
        <v>2012.6200000000001</v>
      </c>
      <c r="E147" s="28">
        <f t="shared" si="21"/>
        <v>5</v>
      </c>
      <c r="F147" s="28">
        <f t="shared" si="22"/>
        <v>4</v>
      </c>
      <c r="G147" s="26">
        <f t="shared" si="23"/>
        <v>3</v>
      </c>
      <c r="H147" s="18" t="str">
        <f t="shared" si="24"/>
        <v>543</v>
      </c>
      <c r="I147" s="26" t="str">
        <f t="shared" si="25"/>
        <v>Loyal Customers</v>
      </c>
      <c r="J147" s="17">
        <f t="shared" si="26"/>
        <v>182.96545454545455</v>
      </c>
      <c r="K147" s="36">
        <f>_xlfn.MAXIFS(ecommerce_transactions!D:D,ecommerce_transactions!B:B,main_data!A147)</f>
        <v>45656</v>
      </c>
      <c r="L147" s="36">
        <f>_xlfn.MINIFS(ecommerce_transactions!D:D,ecommerce_transactions!B:B,main_data!A147)</f>
        <v>45484</v>
      </c>
      <c r="M147" s="19">
        <f t="shared" si="27"/>
        <v>0.47091033538672145</v>
      </c>
      <c r="N147" s="19">
        <f t="shared" si="20"/>
        <v>11.329573493126542</v>
      </c>
      <c r="O147" s="17">
        <f t="shared" si="28"/>
        <v>976.15971801198464</v>
      </c>
      <c r="P147" s="17">
        <f t="shared" si="29"/>
        <v>292.84791540359538</v>
      </c>
    </row>
    <row r="148" spans="1:16" x14ac:dyDescent="0.3">
      <c r="A148" s="26" t="str">
        <v>C0147</v>
      </c>
      <c r="B148" s="26">
        <f>_xlfn.DAYS(DATE(2024,12,31),_xlfn.MAXIFS(ecommerce_transactions!$D$2:$D$9999, ecommerce_transactions!$B$2:$B$9999, A148))</f>
        <v>219</v>
      </c>
      <c r="C148" s="26">
        <f>COUNTIF(ecommerce_transactions!B:B,main_data!A148)</f>
        <v>4</v>
      </c>
      <c r="D148" s="35">
        <f>SUMIF(ecommerce_transactions!B:B,main_data!A148,ecommerce_transactions!E:E)</f>
        <v>1072.82</v>
      </c>
      <c r="E148" s="28">
        <f t="shared" si="21"/>
        <v>1</v>
      </c>
      <c r="F148" s="28">
        <f t="shared" si="22"/>
        <v>2</v>
      </c>
      <c r="G148" s="26">
        <f t="shared" si="23"/>
        <v>2</v>
      </c>
      <c r="H148" s="18" t="str">
        <f t="shared" si="24"/>
        <v>122</v>
      </c>
      <c r="I148" s="26" t="str">
        <f t="shared" si="25"/>
        <v>About to Sleep</v>
      </c>
      <c r="J148" s="17">
        <f t="shared" si="26"/>
        <v>268.20499999999998</v>
      </c>
      <c r="K148" s="36">
        <f>_xlfn.MAXIFS(ecommerce_transactions!D:D,ecommerce_transactions!B:B,main_data!A148)</f>
        <v>45438</v>
      </c>
      <c r="L148" s="36">
        <f>_xlfn.MINIFS(ecommerce_transactions!D:D,ecommerce_transactions!B:B,main_data!A148)</f>
        <v>45202</v>
      </c>
      <c r="M148" s="19">
        <f t="shared" si="27"/>
        <v>0.6461327857631759</v>
      </c>
      <c r="N148" s="19">
        <f t="shared" si="20"/>
        <v>3.4899970140340395</v>
      </c>
      <c r="O148" s="17">
        <f t="shared" si="28"/>
        <v>604.80267542550007</v>
      </c>
      <c r="P148" s="17">
        <f t="shared" si="29"/>
        <v>181.44080262765002</v>
      </c>
    </row>
    <row r="149" spans="1:16" x14ac:dyDescent="0.3">
      <c r="A149" s="26" t="str">
        <v>C0148</v>
      </c>
      <c r="B149" s="26">
        <f>_xlfn.DAYS(DATE(2024,12,31),_xlfn.MAXIFS(ecommerce_transactions!$D$2:$D$9999, ecommerce_transactions!$B$2:$B$9999, A149))</f>
        <v>501</v>
      </c>
      <c r="C149" s="26">
        <f>COUNTIF(ecommerce_transactions!B:B,main_data!A149)</f>
        <v>4</v>
      </c>
      <c r="D149" s="35">
        <f>SUMIF(ecommerce_transactions!B:B,main_data!A149,ecommerce_transactions!E:E)</f>
        <v>1082.67</v>
      </c>
      <c r="E149" s="28">
        <f t="shared" si="21"/>
        <v>1</v>
      </c>
      <c r="F149" s="28">
        <f t="shared" si="22"/>
        <v>2</v>
      </c>
      <c r="G149" s="26">
        <f t="shared" si="23"/>
        <v>2</v>
      </c>
      <c r="H149" s="18" t="str">
        <f t="shared" si="24"/>
        <v>122</v>
      </c>
      <c r="I149" s="26" t="str">
        <f t="shared" si="25"/>
        <v>About to Sleep</v>
      </c>
      <c r="J149" s="17">
        <f t="shared" si="26"/>
        <v>270.66750000000002</v>
      </c>
      <c r="K149" s="36">
        <f>_xlfn.MAXIFS(ecommerce_transactions!D:D,ecommerce_transactions!B:B,main_data!A149)</f>
        <v>45156</v>
      </c>
      <c r="L149" s="36">
        <f>_xlfn.MINIFS(ecommerce_transactions!D:D,ecommerce_transactions!B:B,main_data!A149)</f>
        <v>45003</v>
      </c>
      <c r="M149" s="19">
        <f t="shared" si="27"/>
        <v>0.41889117043121149</v>
      </c>
      <c r="N149" s="19">
        <f t="shared" si="20"/>
        <v>4.3530726256983243</v>
      </c>
      <c r="O149" s="17">
        <f t="shared" si="28"/>
        <v>493.55235754189948</v>
      </c>
      <c r="P149" s="17">
        <f t="shared" si="29"/>
        <v>148.06570726256984</v>
      </c>
    </row>
    <row r="150" spans="1:16" x14ac:dyDescent="0.3">
      <c r="A150" s="26" t="str">
        <v>C0149</v>
      </c>
      <c r="B150" s="26">
        <f>_xlfn.DAYS(DATE(2024,12,31),_xlfn.MAXIFS(ecommerce_transactions!$D$2:$D$9999, ecommerce_transactions!$B$2:$B$9999, A150))</f>
        <v>20</v>
      </c>
      <c r="C150" s="26">
        <f>COUNTIF(ecommerce_transactions!B:B,main_data!A150)</f>
        <v>14</v>
      </c>
      <c r="D150" s="35">
        <f>SUMIF(ecommerce_transactions!B:B,main_data!A150,ecommerce_transactions!E:E)</f>
        <v>3601.6400000000003</v>
      </c>
      <c r="E150" s="28">
        <f t="shared" si="21"/>
        <v>4</v>
      </c>
      <c r="F150" s="28">
        <f t="shared" si="22"/>
        <v>5</v>
      </c>
      <c r="G150" s="26">
        <f t="shared" si="23"/>
        <v>5</v>
      </c>
      <c r="H150" s="18" t="str">
        <f t="shared" si="24"/>
        <v>455</v>
      </c>
      <c r="I150" s="26" t="str">
        <f t="shared" si="25"/>
        <v>Champions</v>
      </c>
      <c r="J150" s="17">
        <f t="shared" si="26"/>
        <v>257.26000000000005</v>
      </c>
      <c r="K150" s="36">
        <f>_xlfn.MAXIFS(ecommerce_transactions!D:D,ecommerce_transactions!B:B,main_data!A150)</f>
        <v>45637</v>
      </c>
      <c r="L150" s="36">
        <f>_xlfn.MINIFS(ecommerce_transactions!D:D,ecommerce_transactions!B:B,main_data!A150)</f>
        <v>45206</v>
      </c>
      <c r="M150" s="19">
        <f t="shared" si="27"/>
        <v>1.1800136892539357</v>
      </c>
      <c r="N150" s="19">
        <f t="shared" si="20"/>
        <v>8.3332654308413119</v>
      </c>
      <c r="O150" s="17">
        <f t="shared" si="28"/>
        <v>2529.7320676308823</v>
      </c>
      <c r="P150" s="17">
        <f t="shared" si="29"/>
        <v>758.91962028926469</v>
      </c>
    </row>
    <row r="151" spans="1:16" x14ac:dyDescent="0.3">
      <c r="A151" s="26" t="str">
        <v>C0150</v>
      </c>
      <c r="B151" s="26">
        <f>_xlfn.DAYS(DATE(2024,12,31),_xlfn.MAXIFS(ecommerce_transactions!$D$2:$D$9999, ecommerce_transactions!$B$2:$B$9999, A151))</f>
        <v>5</v>
      </c>
      <c r="C151" s="26">
        <f>COUNTIF(ecommerce_transactions!B:B,main_data!A151)</f>
        <v>13</v>
      </c>
      <c r="D151" s="35">
        <f>SUMIF(ecommerce_transactions!B:B,main_data!A151,ecommerce_transactions!E:E)</f>
        <v>4039.0200000000004</v>
      </c>
      <c r="E151" s="28">
        <f t="shared" si="21"/>
        <v>5</v>
      </c>
      <c r="F151" s="28">
        <f t="shared" si="22"/>
        <v>5</v>
      </c>
      <c r="G151" s="26">
        <f t="shared" si="23"/>
        <v>5</v>
      </c>
      <c r="H151" s="18" t="str">
        <f t="shared" si="24"/>
        <v>555</v>
      </c>
      <c r="I151" s="26" t="str">
        <f t="shared" si="25"/>
        <v>Champions</v>
      </c>
      <c r="J151" s="17">
        <f t="shared" si="26"/>
        <v>310.69384615384621</v>
      </c>
      <c r="K151" s="36">
        <f>_xlfn.MAXIFS(ecommerce_transactions!D:D,ecommerce_transactions!B:B,main_data!A151)</f>
        <v>45652</v>
      </c>
      <c r="L151" s="36">
        <f>_xlfn.MINIFS(ecommerce_transactions!D:D,ecommerce_transactions!B:B,main_data!A151)</f>
        <v>45445</v>
      </c>
      <c r="M151" s="19">
        <f t="shared" si="27"/>
        <v>0.56673511293634493</v>
      </c>
      <c r="N151" s="19">
        <f t="shared" si="20"/>
        <v>12.186717998075073</v>
      </c>
      <c r="O151" s="17">
        <f t="shared" si="28"/>
        <v>2145.8508565928782</v>
      </c>
      <c r="P151" s="17">
        <f t="shared" si="29"/>
        <v>643.7552569778635</v>
      </c>
    </row>
    <row r="152" spans="1:16" x14ac:dyDescent="0.3">
      <c r="A152" s="26" t="str">
        <v>C0151</v>
      </c>
      <c r="B152" s="26">
        <f>_xlfn.DAYS(DATE(2024,12,31),_xlfn.MAXIFS(ecommerce_transactions!$D$2:$D$9999, ecommerce_transactions!$B$2:$B$9999, A152))</f>
        <v>126</v>
      </c>
      <c r="C152" s="26">
        <f>COUNTIF(ecommerce_transactions!B:B,main_data!A152)</f>
        <v>6</v>
      </c>
      <c r="D152" s="35">
        <f>SUMIF(ecommerce_transactions!B:B,main_data!A152,ecommerce_transactions!E:E)</f>
        <v>1560.23</v>
      </c>
      <c r="E152" s="28">
        <f t="shared" si="21"/>
        <v>1</v>
      </c>
      <c r="F152" s="28">
        <f t="shared" si="22"/>
        <v>3</v>
      </c>
      <c r="G152" s="26">
        <f t="shared" si="23"/>
        <v>3</v>
      </c>
      <c r="H152" s="18" t="str">
        <f t="shared" si="24"/>
        <v>133</v>
      </c>
      <c r="I152" s="26" t="str">
        <f t="shared" si="25"/>
        <v>At Risk</v>
      </c>
      <c r="J152" s="17">
        <f t="shared" si="26"/>
        <v>260.03833333333336</v>
      </c>
      <c r="K152" s="36">
        <f>_xlfn.MAXIFS(ecommerce_transactions!D:D,ecommerce_transactions!B:B,main_data!A152)</f>
        <v>45531</v>
      </c>
      <c r="L152" s="36">
        <f>_xlfn.MINIFS(ecommerce_transactions!D:D,ecommerce_transactions!B:B,main_data!A152)</f>
        <v>45204</v>
      </c>
      <c r="M152" s="19">
        <f t="shared" si="27"/>
        <v>0.89527720739219707</v>
      </c>
      <c r="N152" s="19">
        <f t="shared" si="20"/>
        <v>4.3002207505518761</v>
      </c>
      <c r="O152" s="17">
        <f t="shared" si="28"/>
        <v>1001.1188815305372</v>
      </c>
      <c r="P152" s="17">
        <f t="shared" si="29"/>
        <v>300.33566445916114</v>
      </c>
    </row>
    <row r="153" spans="1:16" x14ac:dyDescent="0.3">
      <c r="A153" s="26" t="str">
        <v>C0152</v>
      </c>
      <c r="B153" s="26">
        <f>_xlfn.DAYS(DATE(2024,12,31),_xlfn.MAXIFS(ecommerce_transactions!$D$2:$D$9999, ecommerce_transactions!$B$2:$B$9999, A153))</f>
        <v>71</v>
      </c>
      <c r="C153" s="26">
        <f>COUNTIF(ecommerce_transactions!B:B,main_data!A153)</f>
        <v>13</v>
      </c>
      <c r="D153" s="35">
        <f>SUMIF(ecommerce_transactions!B:B,main_data!A153,ecommerce_transactions!E:E)</f>
        <v>3216.23</v>
      </c>
      <c r="E153" s="28">
        <f t="shared" si="21"/>
        <v>2</v>
      </c>
      <c r="F153" s="28">
        <f t="shared" si="22"/>
        <v>5</v>
      </c>
      <c r="G153" s="26">
        <f t="shared" si="23"/>
        <v>5</v>
      </c>
      <c r="H153" s="18" t="str">
        <f t="shared" si="24"/>
        <v>255</v>
      </c>
      <c r="I153" s="26" t="str">
        <f t="shared" si="25"/>
        <v>At Risk</v>
      </c>
      <c r="J153" s="17">
        <f t="shared" si="26"/>
        <v>247.40230769230769</v>
      </c>
      <c r="K153" s="36">
        <f>_xlfn.MAXIFS(ecommerce_transactions!D:D,ecommerce_transactions!B:B,main_data!A153)</f>
        <v>45586</v>
      </c>
      <c r="L153" s="36">
        <f>_xlfn.MINIFS(ecommerce_transactions!D:D,ecommerce_transactions!B:B,main_data!A153)</f>
        <v>45091</v>
      </c>
      <c r="M153" s="19">
        <f t="shared" si="27"/>
        <v>1.3552361396303902</v>
      </c>
      <c r="N153" s="19">
        <f t="shared" si="20"/>
        <v>7.0071942446043165</v>
      </c>
      <c r="O153" s="17">
        <f t="shared" si="28"/>
        <v>2349.4319867183176</v>
      </c>
      <c r="P153" s="17">
        <f t="shared" si="29"/>
        <v>704.82959601549521</v>
      </c>
    </row>
    <row r="154" spans="1:16" x14ac:dyDescent="0.3">
      <c r="A154" s="26" t="str">
        <v>C0153</v>
      </c>
      <c r="B154" s="26">
        <f>_xlfn.DAYS(DATE(2024,12,31),_xlfn.MAXIFS(ecommerce_transactions!$D$2:$D$9999, ecommerce_transactions!$B$2:$B$9999, A154))</f>
        <v>16</v>
      </c>
      <c r="C154" s="26">
        <f>COUNTIF(ecommerce_transactions!B:B,main_data!A154)</f>
        <v>8</v>
      </c>
      <c r="D154" s="35">
        <f>SUMIF(ecommerce_transactions!B:B,main_data!A154,ecommerce_transactions!E:E)</f>
        <v>2136.5099999999998</v>
      </c>
      <c r="E154" s="28">
        <f t="shared" si="21"/>
        <v>4</v>
      </c>
      <c r="F154" s="28">
        <f t="shared" si="22"/>
        <v>3</v>
      </c>
      <c r="G154" s="26">
        <f t="shared" si="23"/>
        <v>3</v>
      </c>
      <c r="H154" s="18" t="str">
        <f t="shared" si="24"/>
        <v>433</v>
      </c>
      <c r="I154" s="26" t="str">
        <f t="shared" si="25"/>
        <v>Loyal Customers</v>
      </c>
      <c r="J154" s="17">
        <f t="shared" si="26"/>
        <v>267.06374999999997</v>
      </c>
      <c r="K154" s="36">
        <f>_xlfn.MAXIFS(ecommerce_transactions!D:D,ecommerce_transactions!B:B,main_data!A154)</f>
        <v>45641</v>
      </c>
      <c r="L154" s="36">
        <f>_xlfn.MINIFS(ecommerce_transactions!D:D,ecommerce_transactions!B:B,main_data!A154)</f>
        <v>45258</v>
      </c>
      <c r="M154" s="19">
        <f t="shared" si="27"/>
        <v>1.0485968514715949</v>
      </c>
      <c r="N154" s="19">
        <f t="shared" si="20"/>
        <v>5.1659668508287293</v>
      </c>
      <c r="O154" s="17">
        <f t="shared" si="28"/>
        <v>1446.6887602209943</v>
      </c>
      <c r="P154" s="17">
        <f t="shared" si="29"/>
        <v>434.00662806629828</v>
      </c>
    </row>
    <row r="155" spans="1:16" x14ac:dyDescent="0.3">
      <c r="A155" s="26" t="str">
        <v>C0154</v>
      </c>
      <c r="B155" s="26">
        <f>_xlfn.DAYS(DATE(2024,12,31),_xlfn.MAXIFS(ecommerce_transactions!$D$2:$D$9999, ecommerce_transactions!$B$2:$B$9999, A155))</f>
        <v>6</v>
      </c>
      <c r="C155" s="26">
        <f>COUNTIF(ecommerce_transactions!B:B,main_data!A155)</f>
        <v>4</v>
      </c>
      <c r="D155" s="35">
        <f>SUMIF(ecommerce_transactions!B:B,main_data!A155,ecommerce_transactions!E:E)</f>
        <v>1233.0899999999999</v>
      </c>
      <c r="E155" s="28">
        <f t="shared" si="21"/>
        <v>5</v>
      </c>
      <c r="F155" s="28">
        <f t="shared" si="22"/>
        <v>2</v>
      </c>
      <c r="G155" s="26">
        <f t="shared" si="23"/>
        <v>2</v>
      </c>
      <c r="H155" s="18" t="str">
        <f t="shared" si="24"/>
        <v>522</v>
      </c>
      <c r="I155" s="26" t="str">
        <f t="shared" si="25"/>
        <v>New Customers</v>
      </c>
      <c r="J155" s="17">
        <f t="shared" si="26"/>
        <v>308.27249999999998</v>
      </c>
      <c r="K155" s="36">
        <f>_xlfn.MAXIFS(ecommerce_transactions!D:D,ecommerce_transactions!B:B,main_data!A155)</f>
        <v>45651</v>
      </c>
      <c r="L155" s="36">
        <f>_xlfn.MINIFS(ecommerce_transactions!D:D,ecommerce_transactions!B:B,main_data!A155)</f>
        <v>45582</v>
      </c>
      <c r="M155" s="19">
        <f t="shared" si="27"/>
        <v>0.18891170431211499</v>
      </c>
      <c r="N155" s="19">
        <f t="shared" si="20"/>
        <v>5.8062593144560353</v>
      </c>
      <c r="O155" s="17">
        <f t="shared" si="28"/>
        <v>338.13496274217579</v>
      </c>
      <c r="P155" s="17">
        <f t="shared" si="29"/>
        <v>101.44048882265274</v>
      </c>
    </row>
    <row r="156" spans="1:16" x14ac:dyDescent="0.3">
      <c r="A156" s="26" t="str">
        <v>C0155</v>
      </c>
      <c r="B156" s="26">
        <f>_xlfn.DAYS(DATE(2024,12,31),_xlfn.MAXIFS(ecommerce_transactions!$D$2:$D$9999, ecommerce_transactions!$B$2:$B$9999, A156))</f>
        <v>12</v>
      </c>
      <c r="C156" s="26">
        <f>COUNTIF(ecommerce_transactions!B:B,main_data!A156)</f>
        <v>12</v>
      </c>
      <c r="D156" s="35">
        <f>SUMIF(ecommerce_transactions!B:B,main_data!A156,ecommerce_transactions!E:E)</f>
        <v>2241.7799999999997</v>
      </c>
      <c r="E156" s="28">
        <f t="shared" si="21"/>
        <v>4</v>
      </c>
      <c r="F156" s="28">
        <f t="shared" si="22"/>
        <v>5</v>
      </c>
      <c r="G156" s="26">
        <f t="shared" si="23"/>
        <v>3</v>
      </c>
      <c r="H156" s="18" t="str">
        <f t="shared" si="24"/>
        <v>453</v>
      </c>
      <c r="I156" s="26" t="str">
        <f t="shared" si="25"/>
        <v>Loyal Customers</v>
      </c>
      <c r="J156" s="17">
        <f t="shared" si="26"/>
        <v>186.81499999999997</v>
      </c>
      <c r="K156" s="36">
        <f>_xlfn.MAXIFS(ecommerce_transactions!D:D,ecommerce_transactions!B:B,main_data!A156)</f>
        <v>45645</v>
      </c>
      <c r="L156" s="36">
        <f>_xlfn.MINIFS(ecommerce_transactions!D:D,ecommerce_transactions!B:B,main_data!A156)</f>
        <v>45160</v>
      </c>
      <c r="M156" s="19">
        <f t="shared" si="27"/>
        <v>1.3278576317590691</v>
      </c>
      <c r="N156" s="19">
        <f t="shared" si="20"/>
        <v>6.5650627223366413</v>
      </c>
      <c r="O156" s="17">
        <f t="shared" si="28"/>
        <v>1628.55390376334</v>
      </c>
      <c r="P156" s="17">
        <f t="shared" si="29"/>
        <v>488.56617112900199</v>
      </c>
    </row>
    <row r="157" spans="1:16" x14ac:dyDescent="0.3">
      <c r="A157" s="26" t="str">
        <v>C0156</v>
      </c>
      <c r="B157" s="26">
        <f>_xlfn.DAYS(DATE(2024,12,31),_xlfn.MAXIFS(ecommerce_transactions!$D$2:$D$9999, ecommerce_transactions!$B$2:$B$9999, A157))</f>
        <v>91</v>
      </c>
      <c r="C157" s="26">
        <f>COUNTIF(ecommerce_transactions!B:B,main_data!A157)</f>
        <v>5</v>
      </c>
      <c r="D157" s="35">
        <f>SUMIF(ecommerce_transactions!B:B,main_data!A157,ecommerce_transactions!E:E)</f>
        <v>1270.07</v>
      </c>
      <c r="E157" s="28">
        <f t="shared" si="21"/>
        <v>2</v>
      </c>
      <c r="F157" s="28">
        <f t="shared" si="22"/>
        <v>2</v>
      </c>
      <c r="G157" s="26">
        <f t="shared" si="23"/>
        <v>2</v>
      </c>
      <c r="H157" s="18" t="str">
        <f t="shared" si="24"/>
        <v>222</v>
      </c>
      <c r="I157" s="26" t="str">
        <f t="shared" si="25"/>
        <v>About to Sleep</v>
      </c>
      <c r="J157" s="17">
        <f t="shared" si="26"/>
        <v>254.01399999999998</v>
      </c>
      <c r="K157" s="36">
        <f>_xlfn.MAXIFS(ecommerce_transactions!D:D,ecommerce_transactions!B:B,main_data!A157)</f>
        <v>45566</v>
      </c>
      <c r="L157" s="36">
        <f>_xlfn.MINIFS(ecommerce_transactions!D:D,ecommerce_transactions!B:B,main_data!A157)</f>
        <v>45264</v>
      </c>
      <c r="M157" s="19">
        <f t="shared" si="27"/>
        <v>0.8268309377138946</v>
      </c>
      <c r="N157" s="19">
        <f t="shared" si="20"/>
        <v>3.768377611555326</v>
      </c>
      <c r="O157" s="17">
        <f t="shared" si="28"/>
        <v>791.45966468919255</v>
      </c>
      <c r="P157" s="17">
        <f t="shared" si="29"/>
        <v>237.43789940675777</v>
      </c>
    </row>
    <row r="158" spans="1:16" x14ac:dyDescent="0.3">
      <c r="A158" s="26" t="str">
        <v>C0157</v>
      </c>
      <c r="B158" s="26">
        <f>_xlfn.DAYS(DATE(2024,12,31),_xlfn.MAXIFS(ecommerce_transactions!$D$2:$D$9999, ecommerce_transactions!$B$2:$B$9999, A158))</f>
        <v>7</v>
      </c>
      <c r="C158" s="26">
        <f>COUNTIF(ecommerce_transactions!B:B,main_data!A158)</f>
        <v>7</v>
      </c>
      <c r="D158" s="35">
        <f>SUMIF(ecommerce_transactions!B:B,main_data!A158,ecommerce_transactions!E:E)</f>
        <v>1340.92</v>
      </c>
      <c r="E158" s="28">
        <f t="shared" si="21"/>
        <v>5</v>
      </c>
      <c r="F158" s="28">
        <f t="shared" si="22"/>
        <v>3</v>
      </c>
      <c r="G158" s="26">
        <f t="shared" si="23"/>
        <v>2</v>
      </c>
      <c r="H158" s="18" t="str">
        <f t="shared" si="24"/>
        <v>532</v>
      </c>
      <c r="I158" s="26" t="str">
        <f t="shared" si="25"/>
        <v>Potential Loyalists</v>
      </c>
      <c r="J158" s="17">
        <f t="shared" si="26"/>
        <v>191.56</v>
      </c>
      <c r="K158" s="36">
        <f>_xlfn.MAXIFS(ecommerce_transactions!D:D,ecommerce_transactions!B:B,main_data!A158)</f>
        <v>45650</v>
      </c>
      <c r="L158" s="36">
        <f>_xlfn.MINIFS(ecommerce_transactions!D:D,ecommerce_transactions!B:B,main_data!A158)</f>
        <v>45541</v>
      </c>
      <c r="M158" s="19">
        <f t="shared" si="27"/>
        <v>0.29842573579739906</v>
      </c>
      <c r="N158" s="19">
        <f t="shared" si="20"/>
        <v>8.7672524646378047</v>
      </c>
      <c r="O158" s="17">
        <f t="shared" si="28"/>
        <v>501.19255893699102</v>
      </c>
      <c r="P158" s="17">
        <f t="shared" si="29"/>
        <v>150.3577676810973</v>
      </c>
    </row>
    <row r="159" spans="1:16" x14ac:dyDescent="0.3">
      <c r="A159" s="26" t="str">
        <v>C0158</v>
      </c>
      <c r="B159" s="26">
        <f>_xlfn.DAYS(DATE(2024,12,31),_xlfn.MAXIFS(ecommerce_transactions!$D$2:$D$9999, ecommerce_transactions!$B$2:$B$9999, A159))</f>
        <v>3</v>
      </c>
      <c r="C159" s="26">
        <f>COUNTIF(ecommerce_transactions!B:B,main_data!A159)</f>
        <v>2</v>
      </c>
      <c r="D159" s="35">
        <f>SUMIF(ecommerce_transactions!B:B,main_data!A159,ecommerce_transactions!E:E)</f>
        <v>145.19999999999999</v>
      </c>
      <c r="E159" s="28">
        <f t="shared" si="21"/>
        <v>5</v>
      </c>
      <c r="F159" s="28">
        <f t="shared" si="22"/>
        <v>1</v>
      </c>
      <c r="G159" s="26">
        <f t="shared" si="23"/>
        <v>1</v>
      </c>
      <c r="H159" s="18" t="str">
        <f t="shared" si="24"/>
        <v>511</v>
      </c>
      <c r="I159" s="26" t="str">
        <f t="shared" si="25"/>
        <v>New Customers</v>
      </c>
      <c r="J159" s="17">
        <f t="shared" si="26"/>
        <v>72.599999999999994</v>
      </c>
      <c r="K159" s="36">
        <f>_xlfn.MAXIFS(ecommerce_transactions!D:D,ecommerce_transactions!B:B,main_data!A159)</f>
        <v>45654</v>
      </c>
      <c r="L159" s="36">
        <f>_xlfn.MINIFS(ecommerce_transactions!D:D,ecommerce_transactions!B:B,main_data!A159)</f>
        <v>45538</v>
      </c>
      <c r="M159" s="19">
        <f t="shared" si="27"/>
        <v>0.31759069130732376</v>
      </c>
      <c r="N159" s="19">
        <f t="shared" si="20"/>
        <v>2.4462118041021346</v>
      </c>
      <c r="O159" s="17">
        <f t="shared" si="28"/>
        <v>56.402511511092499</v>
      </c>
      <c r="P159" s="17">
        <f t="shared" si="29"/>
        <v>16.920753453327748</v>
      </c>
    </row>
    <row r="160" spans="1:16" x14ac:dyDescent="0.3">
      <c r="A160" s="26" t="str">
        <v>C0159</v>
      </c>
      <c r="B160" s="26">
        <f>_xlfn.DAYS(DATE(2024,12,31),_xlfn.MAXIFS(ecommerce_transactions!$D$2:$D$9999, ecommerce_transactions!$B$2:$B$9999, A160))</f>
        <v>18</v>
      </c>
      <c r="C160" s="26">
        <f>COUNTIF(ecommerce_transactions!B:B,main_data!A160)</f>
        <v>11</v>
      </c>
      <c r="D160" s="35">
        <f>SUMIF(ecommerce_transactions!B:B,main_data!A160,ecommerce_transactions!E:E)</f>
        <v>2882.1900000000005</v>
      </c>
      <c r="E160" s="28">
        <f t="shared" si="21"/>
        <v>4</v>
      </c>
      <c r="F160" s="28">
        <f t="shared" si="22"/>
        <v>4</v>
      </c>
      <c r="G160" s="26">
        <f t="shared" si="23"/>
        <v>4</v>
      </c>
      <c r="H160" s="18" t="str">
        <f t="shared" si="24"/>
        <v>444</v>
      </c>
      <c r="I160" s="26" t="str">
        <f t="shared" si="25"/>
        <v>Champions</v>
      </c>
      <c r="J160" s="17">
        <f t="shared" si="26"/>
        <v>262.01727272727277</v>
      </c>
      <c r="K160" s="36">
        <f>_xlfn.MAXIFS(ecommerce_transactions!D:D,ecommerce_transactions!B:B,main_data!A160)</f>
        <v>45639</v>
      </c>
      <c r="L160" s="36">
        <f>_xlfn.MINIFS(ecommerce_transactions!D:D,ecommerce_transactions!B:B,main_data!A160)</f>
        <v>45196</v>
      </c>
      <c r="M160" s="19">
        <f t="shared" si="27"/>
        <v>1.2128678986995209</v>
      </c>
      <c r="N160" s="19">
        <f t="shared" si="20"/>
        <v>6.4219780219780214</v>
      </c>
      <c r="O160" s="17">
        <f t="shared" si="28"/>
        <v>2040.8554165834166</v>
      </c>
      <c r="P160" s="17">
        <f t="shared" si="29"/>
        <v>612.25662497502492</v>
      </c>
    </row>
    <row r="161" spans="1:16" x14ac:dyDescent="0.3">
      <c r="A161" s="26" t="str">
        <v>C0160</v>
      </c>
      <c r="B161" s="26">
        <f>_xlfn.DAYS(DATE(2024,12,31),_xlfn.MAXIFS(ecommerce_transactions!$D$2:$D$9999, ecommerce_transactions!$B$2:$B$9999, A161))</f>
        <v>91</v>
      </c>
      <c r="C161" s="26">
        <f>COUNTIF(ecommerce_transactions!B:B,main_data!A161)</f>
        <v>6</v>
      </c>
      <c r="D161" s="35">
        <f>SUMIF(ecommerce_transactions!B:B,main_data!A161,ecommerce_transactions!E:E)</f>
        <v>1410.02</v>
      </c>
      <c r="E161" s="28">
        <f t="shared" si="21"/>
        <v>2</v>
      </c>
      <c r="F161" s="28">
        <f t="shared" si="22"/>
        <v>3</v>
      </c>
      <c r="G161" s="26">
        <f t="shared" si="23"/>
        <v>2</v>
      </c>
      <c r="H161" s="18" t="str">
        <f t="shared" si="24"/>
        <v>232</v>
      </c>
      <c r="I161" s="26" t="str">
        <f t="shared" si="25"/>
        <v>At Risk</v>
      </c>
      <c r="J161" s="17">
        <f t="shared" si="26"/>
        <v>235.00333333333333</v>
      </c>
      <c r="K161" s="36">
        <f>_xlfn.MAXIFS(ecommerce_transactions!D:D,ecommerce_transactions!B:B,main_data!A161)</f>
        <v>45566</v>
      </c>
      <c r="L161" s="36">
        <f>_xlfn.MINIFS(ecommerce_transactions!D:D,ecommerce_transactions!B:B,main_data!A161)</f>
        <v>45123</v>
      </c>
      <c r="M161" s="19">
        <f t="shared" si="27"/>
        <v>1.2128678986995209</v>
      </c>
      <c r="N161" s="19">
        <f t="shared" si="20"/>
        <v>3.5028971028971028</v>
      </c>
      <c r="O161" s="17">
        <f t="shared" si="28"/>
        <v>998.4237522477523</v>
      </c>
      <c r="P161" s="17">
        <f t="shared" si="29"/>
        <v>299.5271256743257</v>
      </c>
    </row>
    <row r="162" spans="1:16" x14ac:dyDescent="0.3">
      <c r="A162" s="26" t="str">
        <v>C0161</v>
      </c>
      <c r="B162" s="26">
        <f>_xlfn.DAYS(DATE(2024,12,31),_xlfn.MAXIFS(ecommerce_transactions!$D$2:$D$9999, ecommerce_transactions!$B$2:$B$9999, A162))</f>
        <v>21</v>
      </c>
      <c r="C162" s="26">
        <f>COUNTIF(ecommerce_transactions!B:B,main_data!A162)</f>
        <v>12</v>
      </c>
      <c r="D162" s="35">
        <f>SUMIF(ecommerce_transactions!B:B,main_data!A162,ecommerce_transactions!E:E)</f>
        <v>3108.16</v>
      </c>
      <c r="E162" s="28">
        <f t="shared" si="21"/>
        <v>3</v>
      </c>
      <c r="F162" s="28">
        <f t="shared" si="22"/>
        <v>5</v>
      </c>
      <c r="G162" s="26">
        <f t="shared" si="23"/>
        <v>4</v>
      </c>
      <c r="H162" s="18" t="str">
        <f t="shared" si="24"/>
        <v>354</v>
      </c>
      <c r="I162" s="26" t="str">
        <f t="shared" si="25"/>
        <v>Loyal Customers</v>
      </c>
      <c r="J162" s="17">
        <f t="shared" si="26"/>
        <v>259.01333333333332</v>
      </c>
      <c r="K162" s="36">
        <f>_xlfn.MAXIFS(ecommerce_transactions!D:D,ecommerce_transactions!B:B,main_data!A162)</f>
        <v>45636</v>
      </c>
      <c r="L162" s="36">
        <f>_xlfn.MINIFS(ecommerce_transactions!D:D,ecommerce_transactions!B:B,main_data!A162)</f>
        <v>45247</v>
      </c>
      <c r="M162" s="19">
        <f t="shared" si="27"/>
        <v>1.0650239561943875</v>
      </c>
      <c r="N162" s="19">
        <f t="shared" si="20"/>
        <v>7.6676142575989497</v>
      </c>
      <c r="O162" s="17">
        <f t="shared" si="28"/>
        <v>2115.1528362125518</v>
      </c>
      <c r="P162" s="17">
        <f t="shared" si="29"/>
        <v>634.54585086376551</v>
      </c>
    </row>
    <row r="163" spans="1:16" x14ac:dyDescent="0.3">
      <c r="A163" s="26" t="str">
        <v>C0162</v>
      </c>
      <c r="B163" s="26">
        <f>_xlfn.DAYS(DATE(2024,12,31),_xlfn.MAXIFS(ecommerce_transactions!$D$2:$D$9999, ecommerce_transactions!$B$2:$B$9999, A163))</f>
        <v>40</v>
      </c>
      <c r="C163" s="26">
        <f>COUNTIF(ecommerce_transactions!B:B,main_data!A163)</f>
        <v>7</v>
      </c>
      <c r="D163" s="35">
        <f>SUMIF(ecommerce_transactions!B:B,main_data!A163,ecommerce_transactions!E:E)</f>
        <v>1535.21</v>
      </c>
      <c r="E163" s="28">
        <f t="shared" si="21"/>
        <v>3</v>
      </c>
      <c r="F163" s="28">
        <f t="shared" si="22"/>
        <v>3</v>
      </c>
      <c r="G163" s="26">
        <f t="shared" si="23"/>
        <v>2</v>
      </c>
      <c r="H163" s="18" t="str">
        <f t="shared" si="24"/>
        <v>332</v>
      </c>
      <c r="I163" s="26" t="str">
        <f t="shared" si="25"/>
        <v>Lost</v>
      </c>
      <c r="J163" s="17">
        <f t="shared" si="26"/>
        <v>219.31571428571428</v>
      </c>
      <c r="K163" s="36">
        <f>_xlfn.MAXIFS(ecommerce_transactions!D:D,ecommerce_transactions!B:B,main_data!A163)</f>
        <v>45617</v>
      </c>
      <c r="L163" s="36">
        <f>_xlfn.MINIFS(ecommerce_transactions!D:D,ecommerce_transactions!B:B,main_data!A163)</f>
        <v>45129</v>
      </c>
      <c r="M163" s="19">
        <f t="shared" si="27"/>
        <v>1.3360711841204653</v>
      </c>
      <c r="N163" s="19">
        <f t="shared" si="20"/>
        <v>3.8124883504193852</v>
      </c>
      <c r="O163" s="17">
        <f t="shared" si="28"/>
        <v>1117.1406971109038</v>
      </c>
      <c r="P163" s="17">
        <f t="shared" si="29"/>
        <v>335.14220913327114</v>
      </c>
    </row>
    <row r="164" spans="1:16" x14ac:dyDescent="0.3">
      <c r="A164" s="26" t="str">
        <v>C0163</v>
      </c>
      <c r="B164" s="26">
        <f>_xlfn.DAYS(DATE(2024,12,31),_xlfn.MAXIFS(ecommerce_transactions!$D$2:$D$9999, ecommerce_transactions!$B$2:$B$9999, A164))</f>
        <v>8</v>
      </c>
      <c r="C164" s="26">
        <f>COUNTIF(ecommerce_transactions!B:B,main_data!A164)</f>
        <v>10</v>
      </c>
      <c r="D164" s="35">
        <f>SUMIF(ecommerce_transactions!B:B,main_data!A164,ecommerce_transactions!E:E)</f>
        <v>2285.6</v>
      </c>
      <c r="E164" s="28">
        <f t="shared" si="21"/>
        <v>4</v>
      </c>
      <c r="F164" s="28">
        <f t="shared" si="22"/>
        <v>4</v>
      </c>
      <c r="G164" s="26">
        <f t="shared" si="23"/>
        <v>3</v>
      </c>
      <c r="H164" s="18" t="str">
        <f t="shared" si="24"/>
        <v>443</v>
      </c>
      <c r="I164" s="26" t="str">
        <f t="shared" si="25"/>
        <v>Loyal Customers</v>
      </c>
      <c r="J164" s="17">
        <f t="shared" si="26"/>
        <v>228.56</v>
      </c>
      <c r="K164" s="36">
        <f>_xlfn.MAXIFS(ecommerce_transactions!D:D,ecommerce_transactions!B:B,main_data!A164)</f>
        <v>45649</v>
      </c>
      <c r="L164" s="36">
        <f>_xlfn.MINIFS(ecommerce_transactions!D:D,ecommerce_transactions!B:B,main_data!A164)</f>
        <v>45421</v>
      </c>
      <c r="M164" s="19">
        <f t="shared" si="27"/>
        <v>0.62422997946611913</v>
      </c>
      <c r="N164" s="19">
        <f t="shared" si="20"/>
        <v>8.8949771689497723</v>
      </c>
      <c r="O164" s="17">
        <f t="shared" si="28"/>
        <v>1269.0820091324204</v>
      </c>
      <c r="P164" s="17">
        <f t="shared" si="29"/>
        <v>380.72460273972609</v>
      </c>
    </row>
    <row r="165" spans="1:16" x14ac:dyDescent="0.3">
      <c r="A165" s="26" t="str">
        <v>C0164</v>
      </c>
      <c r="B165" s="26">
        <f>_xlfn.DAYS(DATE(2024,12,31),_xlfn.MAXIFS(ecommerce_transactions!$D$2:$D$9999, ecommerce_transactions!$B$2:$B$9999, A165))</f>
        <v>5</v>
      </c>
      <c r="C165" s="26">
        <f>COUNTIF(ecommerce_transactions!B:B,main_data!A165)</f>
        <v>7</v>
      </c>
      <c r="D165" s="35">
        <f>SUMIF(ecommerce_transactions!B:B,main_data!A165,ecommerce_transactions!E:E)</f>
        <v>1688.81</v>
      </c>
      <c r="E165" s="28">
        <f t="shared" si="21"/>
        <v>5</v>
      </c>
      <c r="F165" s="28">
        <f t="shared" si="22"/>
        <v>3</v>
      </c>
      <c r="G165" s="26">
        <f t="shared" si="23"/>
        <v>3</v>
      </c>
      <c r="H165" s="18" t="str">
        <f t="shared" si="24"/>
        <v>533</v>
      </c>
      <c r="I165" s="26" t="str">
        <f t="shared" si="25"/>
        <v>Loyal Customers</v>
      </c>
      <c r="J165" s="17">
        <f t="shared" si="26"/>
        <v>241.25857142857143</v>
      </c>
      <c r="K165" s="36">
        <f>_xlfn.MAXIFS(ecommerce_transactions!D:D,ecommerce_transactions!B:B,main_data!A165)</f>
        <v>45652</v>
      </c>
      <c r="L165" s="36">
        <f>_xlfn.MINIFS(ecommerce_transactions!D:D,ecommerce_transactions!B:B,main_data!A165)</f>
        <v>45619</v>
      </c>
      <c r="M165" s="19">
        <f t="shared" si="27"/>
        <v>9.034907597535935E-2</v>
      </c>
      <c r="N165" s="19">
        <f t="shared" si="20"/>
        <v>11.857391304347827</v>
      </c>
      <c r="O165" s="17">
        <f t="shared" si="28"/>
        <v>258.46135652173916</v>
      </c>
      <c r="P165" s="17">
        <f t="shared" si="29"/>
        <v>77.53840695652174</v>
      </c>
    </row>
    <row r="166" spans="1:16" x14ac:dyDescent="0.3">
      <c r="A166" s="26" t="str">
        <v>C0165</v>
      </c>
      <c r="B166" s="26">
        <f>_xlfn.DAYS(DATE(2024,12,31),_xlfn.MAXIFS(ecommerce_transactions!$D$2:$D$9999, ecommerce_transactions!$B$2:$B$9999, A166))</f>
        <v>76</v>
      </c>
      <c r="C166" s="26">
        <f>COUNTIF(ecommerce_transactions!B:B,main_data!A166)</f>
        <v>14</v>
      </c>
      <c r="D166" s="35">
        <f>SUMIF(ecommerce_transactions!B:B,main_data!A166,ecommerce_transactions!E:E)</f>
        <v>4105.43</v>
      </c>
      <c r="E166" s="28">
        <f t="shared" si="21"/>
        <v>2</v>
      </c>
      <c r="F166" s="28">
        <f t="shared" si="22"/>
        <v>5</v>
      </c>
      <c r="G166" s="26">
        <f t="shared" si="23"/>
        <v>5</v>
      </c>
      <c r="H166" s="18" t="str">
        <f t="shared" si="24"/>
        <v>255</v>
      </c>
      <c r="I166" s="26" t="str">
        <f t="shared" si="25"/>
        <v>At Risk</v>
      </c>
      <c r="J166" s="17">
        <f t="shared" si="26"/>
        <v>293.245</v>
      </c>
      <c r="K166" s="36">
        <f>_xlfn.MAXIFS(ecommerce_transactions!D:D,ecommerce_transactions!B:B,main_data!A166)</f>
        <v>45581</v>
      </c>
      <c r="L166" s="36">
        <f>_xlfn.MINIFS(ecommerce_transactions!D:D,ecommerce_transactions!B:B,main_data!A166)</f>
        <v>45063</v>
      </c>
      <c r="M166" s="19">
        <f t="shared" si="27"/>
        <v>1.4182067077344285</v>
      </c>
      <c r="N166" s="19">
        <f t="shared" si="20"/>
        <v>7.2984834968777879</v>
      </c>
      <c r="O166" s="17">
        <f t="shared" si="28"/>
        <v>3035.3081034790366</v>
      </c>
      <c r="P166" s="17">
        <f t="shared" si="29"/>
        <v>910.59243104371092</v>
      </c>
    </row>
    <row r="167" spans="1:16" x14ac:dyDescent="0.3">
      <c r="A167" s="26" t="str">
        <v>C0166</v>
      </c>
      <c r="B167" s="26">
        <f>_xlfn.DAYS(DATE(2024,12,31),_xlfn.MAXIFS(ecommerce_transactions!$D$2:$D$9999, ecommerce_transactions!$B$2:$B$9999, A167))</f>
        <v>27</v>
      </c>
      <c r="C167" s="26">
        <f>COUNTIF(ecommerce_transactions!B:B,main_data!A167)</f>
        <v>15</v>
      </c>
      <c r="D167" s="35">
        <f>SUMIF(ecommerce_transactions!B:B,main_data!A167,ecommerce_transactions!E:E)</f>
        <v>3454.94</v>
      </c>
      <c r="E167" s="28">
        <f t="shared" si="21"/>
        <v>3</v>
      </c>
      <c r="F167" s="28">
        <f t="shared" si="22"/>
        <v>5</v>
      </c>
      <c r="G167" s="26">
        <f t="shared" si="23"/>
        <v>5</v>
      </c>
      <c r="H167" s="18" t="str">
        <f t="shared" si="24"/>
        <v>355</v>
      </c>
      <c r="I167" s="26" t="str">
        <f t="shared" si="25"/>
        <v>Loyal Customers</v>
      </c>
      <c r="J167" s="17">
        <f t="shared" si="26"/>
        <v>230.32933333333332</v>
      </c>
      <c r="K167" s="36">
        <f>_xlfn.MAXIFS(ecommerce_transactions!D:D,ecommerce_transactions!B:B,main_data!A167)</f>
        <v>45630</v>
      </c>
      <c r="L167" s="36">
        <f>_xlfn.MINIFS(ecommerce_transactions!D:D,ecommerce_transactions!B:B,main_data!A167)</f>
        <v>45404</v>
      </c>
      <c r="M167" s="19">
        <f t="shared" si="27"/>
        <v>0.61875427789185489</v>
      </c>
      <c r="N167" s="19">
        <f t="shared" si="20"/>
        <v>13.407769960232487</v>
      </c>
      <c r="O167" s="17">
        <f t="shared" si="28"/>
        <v>1910.8386417864788</v>
      </c>
      <c r="P167" s="17">
        <f t="shared" si="29"/>
        <v>573.25159253594359</v>
      </c>
    </row>
    <row r="168" spans="1:16" x14ac:dyDescent="0.3">
      <c r="A168" s="26" t="str">
        <v>C0167</v>
      </c>
      <c r="B168" s="26">
        <f>_xlfn.DAYS(DATE(2024,12,31),_xlfn.MAXIFS(ecommerce_transactions!$D$2:$D$9999, ecommerce_transactions!$B$2:$B$9999, A168))</f>
        <v>67</v>
      </c>
      <c r="C168" s="26">
        <f>COUNTIF(ecommerce_transactions!B:B,main_data!A168)</f>
        <v>12</v>
      </c>
      <c r="D168" s="35">
        <f>SUMIF(ecommerce_transactions!B:B,main_data!A168,ecommerce_transactions!E:E)</f>
        <v>2146.06</v>
      </c>
      <c r="E168" s="28">
        <f t="shared" si="21"/>
        <v>2</v>
      </c>
      <c r="F168" s="28">
        <f t="shared" si="22"/>
        <v>5</v>
      </c>
      <c r="G168" s="26">
        <f t="shared" si="23"/>
        <v>3</v>
      </c>
      <c r="H168" s="18" t="str">
        <f t="shared" si="24"/>
        <v>253</v>
      </c>
      <c r="I168" s="26" t="str">
        <f t="shared" si="25"/>
        <v>At Risk</v>
      </c>
      <c r="J168" s="17">
        <f t="shared" si="26"/>
        <v>178.83833333333334</v>
      </c>
      <c r="K168" s="36">
        <f>_xlfn.MAXIFS(ecommerce_transactions!D:D,ecommerce_transactions!B:B,main_data!A168)</f>
        <v>45590</v>
      </c>
      <c r="L168" s="36">
        <f>_xlfn.MINIFS(ecommerce_transactions!D:D,ecommerce_transactions!B:B,main_data!A168)</f>
        <v>45487</v>
      </c>
      <c r="M168" s="19">
        <f t="shared" si="27"/>
        <v>0.28199863107460643</v>
      </c>
      <c r="N168" s="19">
        <f t="shared" si="20"/>
        <v>15.345295404814005</v>
      </c>
      <c r="O168" s="17">
        <f t="shared" si="28"/>
        <v>773.89647264770247</v>
      </c>
      <c r="P168" s="17">
        <f t="shared" si="29"/>
        <v>232.16894179431074</v>
      </c>
    </row>
    <row r="169" spans="1:16" x14ac:dyDescent="0.3">
      <c r="A169" s="26" t="str">
        <v>C0168</v>
      </c>
      <c r="B169" s="26">
        <f>_xlfn.DAYS(DATE(2024,12,31),_xlfn.MAXIFS(ecommerce_transactions!$D$2:$D$9999, ecommerce_transactions!$B$2:$B$9999, A169))</f>
        <v>17</v>
      </c>
      <c r="C169" s="26">
        <f>COUNTIF(ecommerce_transactions!B:B,main_data!A169)</f>
        <v>8</v>
      </c>
      <c r="D169" s="35">
        <f>SUMIF(ecommerce_transactions!B:B,main_data!A169,ecommerce_transactions!E:E)</f>
        <v>1214.31</v>
      </c>
      <c r="E169" s="28">
        <f t="shared" si="21"/>
        <v>4</v>
      </c>
      <c r="F169" s="28">
        <f t="shared" si="22"/>
        <v>3</v>
      </c>
      <c r="G169" s="26">
        <f t="shared" si="23"/>
        <v>2</v>
      </c>
      <c r="H169" s="18" t="str">
        <f t="shared" si="24"/>
        <v>432</v>
      </c>
      <c r="I169" s="26" t="str">
        <f t="shared" si="25"/>
        <v>Potential Loyalists</v>
      </c>
      <c r="J169" s="17">
        <f t="shared" si="26"/>
        <v>151.78874999999999</v>
      </c>
      <c r="K169" s="36">
        <f>_xlfn.MAXIFS(ecommerce_transactions!D:D,ecommerce_transactions!B:B,main_data!A169)</f>
        <v>45640</v>
      </c>
      <c r="L169" s="36">
        <f>_xlfn.MINIFS(ecommerce_transactions!D:D,ecommerce_transactions!B:B,main_data!A169)</f>
        <v>45278</v>
      </c>
      <c r="M169" s="19">
        <f t="shared" si="27"/>
        <v>0.99110198494182067</v>
      </c>
      <c r="N169" s="19">
        <f t="shared" si="20"/>
        <v>5.3651595134266703</v>
      </c>
      <c r="O169" s="17">
        <f t="shared" si="28"/>
        <v>807.12457195317882</v>
      </c>
      <c r="P169" s="17">
        <f t="shared" si="29"/>
        <v>242.13737158595364</v>
      </c>
    </row>
    <row r="170" spans="1:16" x14ac:dyDescent="0.3">
      <c r="A170" s="26" t="str">
        <v>C0169</v>
      </c>
      <c r="B170" s="26">
        <f>_xlfn.DAYS(DATE(2024,12,31),_xlfn.MAXIFS(ecommerce_transactions!$D$2:$D$9999, ecommerce_transactions!$B$2:$B$9999, A170))</f>
        <v>18</v>
      </c>
      <c r="C170" s="26">
        <f>COUNTIF(ecommerce_transactions!B:B,main_data!A170)</f>
        <v>6</v>
      </c>
      <c r="D170" s="35">
        <f>SUMIF(ecommerce_transactions!B:B,main_data!A170,ecommerce_transactions!E:E)</f>
        <v>1409.45</v>
      </c>
      <c r="E170" s="28">
        <f t="shared" si="21"/>
        <v>4</v>
      </c>
      <c r="F170" s="28">
        <f t="shared" si="22"/>
        <v>3</v>
      </c>
      <c r="G170" s="26">
        <f t="shared" si="23"/>
        <v>2</v>
      </c>
      <c r="H170" s="18" t="str">
        <f t="shared" si="24"/>
        <v>432</v>
      </c>
      <c r="I170" s="26" t="str">
        <f t="shared" si="25"/>
        <v>Potential Loyalists</v>
      </c>
      <c r="J170" s="17">
        <f t="shared" si="26"/>
        <v>234.90833333333333</v>
      </c>
      <c r="K170" s="36">
        <f>_xlfn.MAXIFS(ecommerce_transactions!D:D,ecommerce_transactions!B:B,main_data!A170)</f>
        <v>45639</v>
      </c>
      <c r="L170" s="36">
        <f>_xlfn.MINIFS(ecommerce_transactions!D:D,ecommerce_transactions!B:B,main_data!A170)</f>
        <v>45256</v>
      </c>
      <c r="M170" s="19">
        <f t="shared" si="27"/>
        <v>1.0485968514715949</v>
      </c>
      <c r="N170" s="19">
        <f t="shared" si="20"/>
        <v>3.874475138121547</v>
      </c>
      <c r="O170" s="17">
        <f t="shared" si="28"/>
        <v>954.37675138121551</v>
      </c>
      <c r="P170" s="17">
        <f t="shared" si="29"/>
        <v>286.31302541436463</v>
      </c>
    </row>
    <row r="171" spans="1:16" x14ac:dyDescent="0.3">
      <c r="A171" s="26" t="str">
        <v>C0170</v>
      </c>
      <c r="B171" s="26">
        <f>_xlfn.DAYS(DATE(2024,12,31),_xlfn.MAXIFS(ecommerce_transactions!$D$2:$D$9999, ecommerce_transactions!$B$2:$B$9999, A171))</f>
        <v>20</v>
      </c>
      <c r="C171" s="26">
        <f>COUNTIF(ecommerce_transactions!B:B,main_data!A171)</f>
        <v>4</v>
      </c>
      <c r="D171" s="35">
        <f>SUMIF(ecommerce_transactions!B:B,main_data!A171,ecommerce_transactions!E:E)</f>
        <v>1409.5</v>
      </c>
      <c r="E171" s="28">
        <f t="shared" si="21"/>
        <v>4</v>
      </c>
      <c r="F171" s="28">
        <f t="shared" si="22"/>
        <v>2</v>
      </c>
      <c r="G171" s="26">
        <f t="shared" si="23"/>
        <v>2</v>
      </c>
      <c r="H171" s="18" t="str">
        <f t="shared" si="24"/>
        <v>422</v>
      </c>
      <c r="I171" s="26" t="str">
        <f t="shared" si="25"/>
        <v>New Customers</v>
      </c>
      <c r="J171" s="17">
        <f t="shared" si="26"/>
        <v>352.375</v>
      </c>
      <c r="K171" s="36">
        <f>_xlfn.MAXIFS(ecommerce_transactions!D:D,ecommerce_transactions!B:B,main_data!A171)</f>
        <v>45637</v>
      </c>
      <c r="L171" s="36">
        <f>_xlfn.MINIFS(ecommerce_transactions!D:D,ecommerce_transactions!B:B,main_data!A171)</f>
        <v>45619</v>
      </c>
      <c r="M171" s="19">
        <f t="shared" si="27"/>
        <v>4.9281314168377825E-2</v>
      </c>
      <c r="N171" s="19">
        <f t="shared" si="20"/>
        <v>7.2822429906542059</v>
      </c>
      <c r="O171" s="17">
        <f t="shared" si="28"/>
        <v>126.45981308411217</v>
      </c>
      <c r="P171" s="17">
        <f t="shared" si="29"/>
        <v>37.937943925233647</v>
      </c>
    </row>
    <row r="172" spans="1:16" x14ac:dyDescent="0.3">
      <c r="A172" s="26" t="str">
        <v>C0171</v>
      </c>
      <c r="B172" s="26">
        <f>_xlfn.DAYS(DATE(2024,12,31),_xlfn.MAXIFS(ecommerce_transactions!$D$2:$D$9999, ecommerce_transactions!$B$2:$B$9999, A172))</f>
        <v>164</v>
      </c>
      <c r="C172" s="26">
        <f>COUNTIF(ecommerce_transactions!B:B,main_data!A172)</f>
        <v>4</v>
      </c>
      <c r="D172" s="35">
        <f>SUMIF(ecommerce_transactions!B:B,main_data!A172,ecommerce_transactions!E:E)</f>
        <v>369.81999999999994</v>
      </c>
      <c r="E172" s="28">
        <f t="shared" si="21"/>
        <v>1</v>
      </c>
      <c r="F172" s="28">
        <f t="shared" si="22"/>
        <v>2</v>
      </c>
      <c r="G172" s="26">
        <f t="shared" si="23"/>
        <v>1</v>
      </c>
      <c r="H172" s="18" t="str">
        <f t="shared" si="24"/>
        <v>121</v>
      </c>
      <c r="I172" s="26" t="str">
        <f t="shared" si="25"/>
        <v>About to Sleep</v>
      </c>
      <c r="J172" s="17">
        <f t="shared" si="26"/>
        <v>92.454999999999984</v>
      </c>
      <c r="K172" s="36">
        <f>_xlfn.MAXIFS(ecommerce_transactions!D:D,ecommerce_transactions!B:B,main_data!A172)</f>
        <v>45493</v>
      </c>
      <c r="L172" s="36">
        <f>_xlfn.MINIFS(ecommerce_transactions!D:D,ecommerce_transactions!B:B,main_data!A172)</f>
        <v>45070</v>
      </c>
      <c r="M172" s="19">
        <f t="shared" si="27"/>
        <v>1.1581108829568789</v>
      </c>
      <c r="N172" s="19">
        <f t="shared" si="20"/>
        <v>2.4123839009287926</v>
      </c>
      <c r="O172" s="17">
        <f t="shared" si="28"/>
        <v>258.30152321981421</v>
      </c>
      <c r="P172" s="17">
        <f t="shared" si="29"/>
        <v>77.490456965944261</v>
      </c>
    </row>
    <row r="173" spans="1:16" x14ac:dyDescent="0.3">
      <c r="A173" s="26" t="str">
        <v>C0172</v>
      </c>
      <c r="B173" s="26">
        <f>_xlfn.DAYS(DATE(2024,12,31),_xlfn.MAXIFS(ecommerce_transactions!$D$2:$D$9999, ecommerce_transactions!$B$2:$B$9999, A173))</f>
        <v>20</v>
      </c>
      <c r="C173" s="26">
        <f>COUNTIF(ecommerce_transactions!B:B,main_data!A173)</f>
        <v>15</v>
      </c>
      <c r="D173" s="35">
        <f>SUMIF(ecommerce_transactions!B:B,main_data!A173,ecommerce_transactions!E:E)</f>
        <v>4115.8900000000003</v>
      </c>
      <c r="E173" s="28">
        <f t="shared" si="21"/>
        <v>4</v>
      </c>
      <c r="F173" s="28">
        <f t="shared" si="22"/>
        <v>5</v>
      </c>
      <c r="G173" s="26">
        <f t="shared" si="23"/>
        <v>5</v>
      </c>
      <c r="H173" s="18" t="str">
        <f t="shared" si="24"/>
        <v>455</v>
      </c>
      <c r="I173" s="26" t="str">
        <f t="shared" si="25"/>
        <v>Champions</v>
      </c>
      <c r="J173" s="17">
        <f t="shared" si="26"/>
        <v>274.39266666666668</v>
      </c>
      <c r="K173" s="36">
        <f>_xlfn.MAXIFS(ecommerce_transactions!D:D,ecommerce_transactions!B:B,main_data!A173)</f>
        <v>45637</v>
      </c>
      <c r="L173" s="36">
        <f>_xlfn.MINIFS(ecommerce_transactions!D:D,ecommerce_transactions!B:B,main_data!A173)</f>
        <v>45114</v>
      </c>
      <c r="M173" s="19">
        <f t="shared" si="27"/>
        <v>1.431895961670089</v>
      </c>
      <c r="N173" s="19">
        <f t="shared" si="20"/>
        <v>7.7643932683790959</v>
      </c>
      <c r="O173" s="17">
        <f t="shared" si="28"/>
        <v>3050.6437130203722</v>
      </c>
      <c r="P173" s="17">
        <f t="shared" si="29"/>
        <v>915.19311390611165</v>
      </c>
    </row>
    <row r="174" spans="1:16" x14ac:dyDescent="0.3">
      <c r="A174" s="26" t="str">
        <v>C0173</v>
      </c>
      <c r="B174" s="26">
        <f>_xlfn.DAYS(DATE(2024,12,31),_xlfn.MAXIFS(ecommerce_transactions!$D$2:$D$9999, ecommerce_transactions!$B$2:$B$9999, A174))</f>
        <v>18</v>
      </c>
      <c r="C174" s="26">
        <f>COUNTIF(ecommerce_transactions!B:B,main_data!A174)</f>
        <v>13</v>
      </c>
      <c r="D174" s="35">
        <f>SUMIF(ecommerce_transactions!B:B,main_data!A174,ecommerce_transactions!E:E)</f>
        <v>4029.11</v>
      </c>
      <c r="E174" s="28">
        <f t="shared" si="21"/>
        <v>4</v>
      </c>
      <c r="F174" s="28">
        <f t="shared" si="22"/>
        <v>5</v>
      </c>
      <c r="G174" s="26">
        <f t="shared" si="23"/>
        <v>5</v>
      </c>
      <c r="H174" s="18" t="str">
        <f t="shared" si="24"/>
        <v>455</v>
      </c>
      <c r="I174" s="26" t="str">
        <f t="shared" si="25"/>
        <v>Champions</v>
      </c>
      <c r="J174" s="17">
        <f t="shared" si="26"/>
        <v>309.93153846153848</v>
      </c>
      <c r="K174" s="36">
        <f>_xlfn.MAXIFS(ecommerce_transactions!D:D,ecommerce_transactions!B:B,main_data!A174)</f>
        <v>45639</v>
      </c>
      <c r="L174" s="36">
        <f>_xlfn.MINIFS(ecommerce_transactions!D:D,ecommerce_transactions!B:B,main_data!A174)</f>
        <v>45478</v>
      </c>
      <c r="M174" s="19">
        <f t="shared" si="27"/>
        <v>0.44079397672826831</v>
      </c>
      <c r="N174" s="19">
        <f t="shared" si="20"/>
        <v>13.818115678428521</v>
      </c>
      <c r="O174" s="17">
        <f t="shared" si="28"/>
        <v>1887.7750745725721</v>
      </c>
      <c r="P174" s="17">
        <f t="shared" si="29"/>
        <v>566.33252237177157</v>
      </c>
    </row>
    <row r="175" spans="1:16" x14ac:dyDescent="0.3">
      <c r="A175" s="26" t="str">
        <v>C0174</v>
      </c>
      <c r="B175" s="26">
        <f>_xlfn.DAYS(DATE(2024,12,31),_xlfn.MAXIFS(ecommerce_transactions!$D$2:$D$9999, ecommerce_transactions!$B$2:$B$9999, A175))</f>
        <v>103</v>
      </c>
      <c r="C175" s="26">
        <f>COUNTIF(ecommerce_transactions!B:B,main_data!A175)</f>
        <v>5</v>
      </c>
      <c r="D175" s="35">
        <f>SUMIF(ecommerce_transactions!B:B,main_data!A175,ecommerce_transactions!E:E)</f>
        <v>1937.52</v>
      </c>
      <c r="E175" s="28">
        <f t="shared" si="21"/>
        <v>1</v>
      </c>
      <c r="F175" s="28">
        <f t="shared" si="22"/>
        <v>2</v>
      </c>
      <c r="G175" s="26">
        <f t="shared" si="23"/>
        <v>3</v>
      </c>
      <c r="H175" s="18" t="str">
        <f t="shared" si="24"/>
        <v>123</v>
      </c>
      <c r="I175" s="26" t="str">
        <f t="shared" si="25"/>
        <v>About to Sleep</v>
      </c>
      <c r="J175" s="17">
        <f t="shared" si="26"/>
        <v>387.50400000000002</v>
      </c>
      <c r="K175" s="36">
        <f>_xlfn.MAXIFS(ecommerce_transactions!D:D,ecommerce_transactions!B:B,main_data!A175)</f>
        <v>45554</v>
      </c>
      <c r="L175" s="36">
        <f>_xlfn.MINIFS(ecommerce_transactions!D:D,ecommerce_transactions!B:B,main_data!A175)</f>
        <v>45252</v>
      </c>
      <c r="M175" s="19">
        <f t="shared" si="27"/>
        <v>0.8268309377138946</v>
      </c>
      <c r="N175" s="19">
        <f t="shared" si="20"/>
        <v>3.768377611555326</v>
      </c>
      <c r="O175" s="17">
        <f t="shared" si="28"/>
        <v>1207.3893010059323</v>
      </c>
      <c r="P175" s="17">
        <f t="shared" si="29"/>
        <v>362.21679030177967</v>
      </c>
    </row>
    <row r="176" spans="1:16" x14ac:dyDescent="0.3">
      <c r="A176" s="26" t="str">
        <v>C0175</v>
      </c>
      <c r="B176" s="26">
        <f>_xlfn.DAYS(DATE(2024,12,31),_xlfn.MAXIFS(ecommerce_transactions!$D$2:$D$9999, ecommerce_transactions!$B$2:$B$9999, A176))</f>
        <v>29</v>
      </c>
      <c r="C176" s="26">
        <f>COUNTIF(ecommerce_transactions!B:B,main_data!A176)</f>
        <v>2</v>
      </c>
      <c r="D176" s="35">
        <f>SUMIF(ecommerce_transactions!B:B,main_data!A176,ecommerce_transactions!E:E)</f>
        <v>355.62</v>
      </c>
      <c r="E176" s="28">
        <f t="shared" si="21"/>
        <v>3</v>
      </c>
      <c r="F176" s="28">
        <f t="shared" si="22"/>
        <v>1</v>
      </c>
      <c r="G176" s="26">
        <f t="shared" si="23"/>
        <v>1</v>
      </c>
      <c r="H176" s="18" t="str">
        <f t="shared" si="24"/>
        <v>311</v>
      </c>
      <c r="I176" s="26" t="str">
        <f t="shared" si="25"/>
        <v>Lost</v>
      </c>
      <c r="J176" s="17">
        <f t="shared" si="26"/>
        <v>177.81</v>
      </c>
      <c r="K176" s="36">
        <f>_xlfn.MAXIFS(ecommerce_transactions!D:D,ecommerce_transactions!B:B,main_data!A176)</f>
        <v>45628</v>
      </c>
      <c r="L176" s="36">
        <f>_xlfn.MINIFS(ecommerce_transactions!D:D,ecommerce_transactions!B:B,main_data!A176)</f>
        <v>45454</v>
      </c>
      <c r="M176" s="19">
        <f t="shared" si="27"/>
        <v>0.47638603696098564</v>
      </c>
      <c r="N176" s="19">
        <f t="shared" si="20"/>
        <v>2.0483701366982126</v>
      </c>
      <c r="O176" s="17">
        <f t="shared" si="28"/>
        <v>173.50965299684546</v>
      </c>
      <c r="P176" s="17">
        <f t="shared" si="29"/>
        <v>52.052895899053638</v>
      </c>
    </row>
    <row r="177" spans="1:16" x14ac:dyDescent="0.3">
      <c r="A177" s="26" t="str">
        <v>C0176</v>
      </c>
      <c r="B177" s="26">
        <f>_xlfn.DAYS(DATE(2024,12,31),_xlfn.MAXIFS(ecommerce_transactions!$D$2:$D$9999, ecommerce_transactions!$B$2:$B$9999, A177))</f>
        <v>18</v>
      </c>
      <c r="C177" s="26">
        <f>COUNTIF(ecommerce_transactions!B:B,main_data!A177)</f>
        <v>14</v>
      </c>
      <c r="D177" s="35">
        <f>SUMIF(ecommerce_transactions!B:B,main_data!A177,ecommerce_transactions!E:E)</f>
        <v>3365.7199999999993</v>
      </c>
      <c r="E177" s="28">
        <f t="shared" si="21"/>
        <v>4</v>
      </c>
      <c r="F177" s="28">
        <f t="shared" si="22"/>
        <v>5</v>
      </c>
      <c r="G177" s="26">
        <f t="shared" si="23"/>
        <v>5</v>
      </c>
      <c r="H177" s="18" t="str">
        <f t="shared" si="24"/>
        <v>455</v>
      </c>
      <c r="I177" s="26" t="str">
        <f t="shared" si="25"/>
        <v>Champions</v>
      </c>
      <c r="J177" s="17">
        <f t="shared" si="26"/>
        <v>240.40857142857138</v>
      </c>
      <c r="K177" s="36">
        <f>_xlfn.MAXIFS(ecommerce_transactions!D:D,ecommerce_transactions!B:B,main_data!A177)</f>
        <v>45639</v>
      </c>
      <c r="L177" s="36">
        <f>_xlfn.MINIFS(ecommerce_transactions!D:D,ecommerce_transactions!B:B,main_data!A177)</f>
        <v>45249</v>
      </c>
      <c r="M177" s="19">
        <f t="shared" si="27"/>
        <v>1.0677618069815196</v>
      </c>
      <c r="N177" s="19">
        <f t="shared" si="20"/>
        <v>8.9299279633267847</v>
      </c>
      <c r="O177" s="17">
        <f t="shared" si="28"/>
        <v>2292.3043876882771</v>
      </c>
      <c r="P177" s="17">
        <f t="shared" si="29"/>
        <v>687.69131630648315</v>
      </c>
    </row>
    <row r="178" spans="1:16" x14ac:dyDescent="0.3">
      <c r="A178" s="26" t="str">
        <v>C0177</v>
      </c>
      <c r="B178" s="26">
        <f>_xlfn.DAYS(DATE(2024,12,31),_xlfn.MAXIFS(ecommerce_transactions!$D$2:$D$9999, ecommerce_transactions!$B$2:$B$9999, A178))</f>
        <v>96</v>
      </c>
      <c r="C178" s="26">
        <f>COUNTIF(ecommerce_transactions!B:B,main_data!A178)</f>
        <v>12</v>
      </c>
      <c r="D178" s="35">
        <f>SUMIF(ecommerce_transactions!B:B,main_data!A178,ecommerce_transactions!E:E)</f>
        <v>3072.8099999999995</v>
      </c>
      <c r="E178" s="28">
        <f t="shared" si="21"/>
        <v>1</v>
      </c>
      <c r="F178" s="28">
        <f t="shared" si="22"/>
        <v>5</v>
      </c>
      <c r="G178" s="26">
        <f t="shared" si="23"/>
        <v>4</v>
      </c>
      <c r="H178" s="18" t="str">
        <f t="shared" si="24"/>
        <v>154</v>
      </c>
      <c r="I178" s="26" t="str">
        <f t="shared" si="25"/>
        <v>At Risk</v>
      </c>
      <c r="J178" s="17">
        <f t="shared" si="26"/>
        <v>256.06749999999994</v>
      </c>
      <c r="K178" s="36">
        <f>_xlfn.MAXIFS(ecommerce_transactions!D:D,ecommerce_transactions!B:B,main_data!A178)</f>
        <v>45561</v>
      </c>
      <c r="L178" s="36">
        <f>_xlfn.MINIFS(ecommerce_transactions!D:D,ecommerce_transactions!B:B,main_data!A178)</f>
        <v>45150</v>
      </c>
      <c r="M178" s="19">
        <f t="shared" si="27"/>
        <v>1.1252566735112937</v>
      </c>
      <c r="N178" s="19">
        <f t="shared" si="20"/>
        <v>7.3834491471888821</v>
      </c>
      <c r="O178" s="17">
        <f t="shared" si="28"/>
        <v>2127.4793177511051</v>
      </c>
      <c r="P178" s="17">
        <f t="shared" si="29"/>
        <v>638.24379532533146</v>
      </c>
    </row>
    <row r="179" spans="1:16" x14ac:dyDescent="0.3">
      <c r="A179" s="26" t="str">
        <v>C0178</v>
      </c>
      <c r="B179" s="26">
        <f>_xlfn.DAYS(DATE(2024,12,31),_xlfn.MAXIFS(ecommerce_transactions!$D$2:$D$9999, ecommerce_transactions!$B$2:$B$9999, A179))</f>
        <v>235</v>
      </c>
      <c r="C179" s="26">
        <f>COUNTIF(ecommerce_transactions!B:B,main_data!A179)</f>
        <v>2</v>
      </c>
      <c r="D179" s="35">
        <f>SUMIF(ecommerce_transactions!B:B,main_data!A179,ecommerce_transactions!E:E)</f>
        <v>299.41999999999996</v>
      </c>
      <c r="E179" s="28">
        <f t="shared" si="21"/>
        <v>1</v>
      </c>
      <c r="F179" s="28">
        <f t="shared" si="22"/>
        <v>1</v>
      </c>
      <c r="G179" s="26">
        <f t="shared" si="23"/>
        <v>1</v>
      </c>
      <c r="H179" s="18" t="str">
        <f t="shared" si="24"/>
        <v>111</v>
      </c>
      <c r="I179" s="26" t="str">
        <f t="shared" si="25"/>
        <v>About to Sleep</v>
      </c>
      <c r="J179" s="17">
        <f t="shared" si="26"/>
        <v>149.70999999999998</v>
      </c>
      <c r="K179" s="36">
        <f>_xlfn.MAXIFS(ecommerce_transactions!D:D,ecommerce_transactions!B:B,main_data!A179)</f>
        <v>45422</v>
      </c>
      <c r="L179" s="36">
        <f>_xlfn.MINIFS(ecommerce_transactions!D:D,ecommerce_transactions!B:B,main_data!A179)</f>
        <v>45194</v>
      </c>
      <c r="M179" s="19">
        <f t="shared" si="27"/>
        <v>0.62422997946611913</v>
      </c>
      <c r="N179" s="19">
        <f t="shared" si="20"/>
        <v>1.7789954337899545</v>
      </c>
      <c r="O179" s="17">
        <f t="shared" si="28"/>
        <v>166.25329680365294</v>
      </c>
      <c r="P179" s="17">
        <f t="shared" si="29"/>
        <v>49.875989041095885</v>
      </c>
    </row>
    <row r="180" spans="1:16" x14ac:dyDescent="0.3">
      <c r="A180" s="26" t="str">
        <v>C0179</v>
      </c>
      <c r="B180" s="26">
        <f>_xlfn.DAYS(DATE(2024,12,31),_xlfn.MAXIFS(ecommerce_transactions!$D$2:$D$9999, ecommerce_transactions!$B$2:$B$9999, A180))</f>
        <v>73</v>
      </c>
      <c r="C180" s="26">
        <f>COUNTIF(ecommerce_transactions!B:B,main_data!A180)</f>
        <v>6</v>
      </c>
      <c r="D180" s="35">
        <f>SUMIF(ecommerce_transactions!B:B,main_data!A180,ecommerce_transactions!E:E)</f>
        <v>1460.58</v>
      </c>
      <c r="E180" s="28">
        <f t="shared" si="21"/>
        <v>2</v>
      </c>
      <c r="F180" s="28">
        <f t="shared" si="22"/>
        <v>3</v>
      </c>
      <c r="G180" s="26">
        <f t="shared" si="23"/>
        <v>2</v>
      </c>
      <c r="H180" s="18" t="str">
        <f t="shared" si="24"/>
        <v>232</v>
      </c>
      <c r="I180" s="26" t="str">
        <f t="shared" si="25"/>
        <v>At Risk</v>
      </c>
      <c r="J180" s="17">
        <f t="shared" si="26"/>
        <v>243.42999999999998</v>
      </c>
      <c r="K180" s="36">
        <f>_xlfn.MAXIFS(ecommerce_transactions!D:D,ecommerce_transactions!B:B,main_data!A180)</f>
        <v>45584</v>
      </c>
      <c r="L180" s="36">
        <f>_xlfn.MINIFS(ecommerce_transactions!D:D,ecommerce_transactions!B:B,main_data!A180)</f>
        <v>45228</v>
      </c>
      <c r="M180" s="19">
        <f t="shared" si="27"/>
        <v>0.97467488021902804</v>
      </c>
      <c r="N180" s="19">
        <f t="shared" si="20"/>
        <v>4.0686934323508934</v>
      </c>
      <c r="O180" s="17">
        <f t="shared" si="28"/>
        <v>965.35897888141096</v>
      </c>
      <c r="P180" s="17">
        <f t="shared" si="29"/>
        <v>289.60769366442327</v>
      </c>
    </row>
    <row r="181" spans="1:16" x14ac:dyDescent="0.3">
      <c r="A181" s="26" t="str">
        <v>C0180</v>
      </c>
      <c r="B181" s="26">
        <f>_xlfn.DAYS(DATE(2024,12,31),_xlfn.MAXIFS(ecommerce_transactions!$D$2:$D$9999, ecommerce_transactions!$B$2:$B$9999, A181))</f>
        <v>3</v>
      </c>
      <c r="C181" s="26">
        <f>COUNTIF(ecommerce_transactions!B:B,main_data!A181)</f>
        <v>12</v>
      </c>
      <c r="D181" s="35">
        <f>SUMIF(ecommerce_transactions!B:B,main_data!A181,ecommerce_transactions!E:E)</f>
        <v>2426.0100000000002</v>
      </c>
      <c r="E181" s="28">
        <f t="shared" si="21"/>
        <v>5</v>
      </c>
      <c r="F181" s="28">
        <f t="shared" si="22"/>
        <v>5</v>
      </c>
      <c r="G181" s="26">
        <f t="shared" si="23"/>
        <v>4</v>
      </c>
      <c r="H181" s="18" t="str">
        <f t="shared" si="24"/>
        <v>554</v>
      </c>
      <c r="I181" s="26" t="str">
        <f t="shared" si="25"/>
        <v>Champions</v>
      </c>
      <c r="J181" s="17">
        <f t="shared" si="26"/>
        <v>202.16750000000002</v>
      </c>
      <c r="K181" s="36">
        <f>_xlfn.MAXIFS(ecommerce_transactions!D:D,ecommerce_transactions!B:B,main_data!A181)</f>
        <v>45654</v>
      </c>
      <c r="L181" s="36">
        <f>_xlfn.MINIFS(ecommerce_transactions!D:D,ecommerce_transactions!B:B,main_data!A181)</f>
        <v>45432</v>
      </c>
      <c r="M181" s="19">
        <f t="shared" si="27"/>
        <v>0.6078028747433265</v>
      </c>
      <c r="N181" s="19">
        <f t="shared" si="20"/>
        <v>10.832252085264132</v>
      </c>
      <c r="O181" s="17">
        <f t="shared" si="28"/>
        <v>1331.0453382761816</v>
      </c>
      <c r="P181" s="17">
        <f t="shared" si="29"/>
        <v>399.31360148285449</v>
      </c>
    </row>
    <row r="182" spans="1:16" x14ac:dyDescent="0.3">
      <c r="A182" s="26" t="str">
        <v>C0181</v>
      </c>
      <c r="B182" s="26">
        <f>_xlfn.DAYS(DATE(2024,12,31),_xlfn.MAXIFS(ecommerce_transactions!$D$2:$D$9999, ecommerce_transactions!$B$2:$B$9999, A182))</f>
        <v>11</v>
      </c>
      <c r="C182" s="26">
        <f>COUNTIF(ecommerce_transactions!B:B,main_data!A182)</f>
        <v>9</v>
      </c>
      <c r="D182" s="35">
        <f>SUMIF(ecommerce_transactions!B:B,main_data!A182,ecommerce_transactions!E:E)</f>
        <v>2447.21</v>
      </c>
      <c r="E182" s="28">
        <f t="shared" si="21"/>
        <v>4</v>
      </c>
      <c r="F182" s="28">
        <f t="shared" si="22"/>
        <v>4</v>
      </c>
      <c r="G182" s="26">
        <f t="shared" si="23"/>
        <v>4</v>
      </c>
      <c r="H182" s="18" t="str">
        <f t="shared" si="24"/>
        <v>444</v>
      </c>
      <c r="I182" s="26" t="str">
        <f t="shared" si="25"/>
        <v>Champions</v>
      </c>
      <c r="J182" s="17">
        <f t="shared" si="26"/>
        <v>271.91222222222223</v>
      </c>
      <c r="K182" s="36">
        <f>_xlfn.MAXIFS(ecommerce_transactions!D:D,ecommerce_transactions!B:B,main_data!A182)</f>
        <v>45646</v>
      </c>
      <c r="L182" s="36">
        <f>_xlfn.MINIFS(ecommerce_transactions!D:D,ecommerce_transactions!B:B,main_data!A182)</f>
        <v>45262</v>
      </c>
      <c r="M182" s="19">
        <f t="shared" si="27"/>
        <v>1.0513347022587269</v>
      </c>
      <c r="N182" s="19">
        <f t="shared" si="20"/>
        <v>5.8014559894109858</v>
      </c>
      <c r="O182" s="17">
        <f t="shared" si="28"/>
        <v>1658.4666048974191</v>
      </c>
      <c r="P182" s="17">
        <f t="shared" si="29"/>
        <v>497.53998146922572</v>
      </c>
    </row>
    <row r="183" spans="1:16" x14ac:dyDescent="0.3">
      <c r="A183" s="26" t="str">
        <v>C0182</v>
      </c>
      <c r="B183" s="26">
        <f>_xlfn.DAYS(DATE(2024,12,31),_xlfn.MAXIFS(ecommerce_transactions!$D$2:$D$9999, ecommerce_transactions!$B$2:$B$9999, A183))</f>
        <v>188</v>
      </c>
      <c r="C183" s="26">
        <f>COUNTIF(ecommerce_transactions!B:B,main_data!A183)</f>
        <v>4</v>
      </c>
      <c r="D183" s="35">
        <f>SUMIF(ecommerce_transactions!B:B,main_data!A183,ecommerce_transactions!E:E)</f>
        <v>838.57999999999993</v>
      </c>
      <c r="E183" s="28">
        <f t="shared" si="21"/>
        <v>1</v>
      </c>
      <c r="F183" s="28">
        <f t="shared" si="22"/>
        <v>2</v>
      </c>
      <c r="G183" s="26">
        <f t="shared" si="23"/>
        <v>1</v>
      </c>
      <c r="H183" s="18" t="str">
        <f t="shared" si="24"/>
        <v>121</v>
      </c>
      <c r="I183" s="26" t="str">
        <f t="shared" si="25"/>
        <v>About to Sleep</v>
      </c>
      <c r="J183" s="17">
        <f t="shared" si="26"/>
        <v>209.64499999999998</v>
      </c>
      <c r="K183" s="36">
        <f>_xlfn.MAXIFS(ecommerce_transactions!D:D,ecommerce_transactions!B:B,main_data!A183)</f>
        <v>45469</v>
      </c>
      <c r="L183" s="36">
        <f>_xlfn.MINIFS(ecommerce_transactions!D:D,ecommerce_transactions!B:B,main_data!A183)</f>
        <v>45214</v>
      </c>
      <c r="M183" s="19">
        <f t="shared" si="27"/>
        <v>0.69815195071868585</v>
      </c>
      <c r="N183" s="19">
        <f t="shared" si="20"/>
        <v>3.338474721508141</v>
      </c>
      <c r="O183" s="17">
        <f t="shared" si="28"/>
        <v>488.63273350471297</v>
      </c>
      <c r="P183" s="17">
        <f t="shared" si="29"/>
        <v>146.58982005141388</v>
      </c>
    </row>
    <row r="184" spans="1:16" x14ac:dyDescent="0.3">
      <c r="A184" s="26" t="str">
        <v>C0183</v>
      </c>
      <c r="B184" s="26">
        <f>_xlfn.DAYS(DATE(2024,12,31),_xlfn.MAXIFS(ecommerce_transactions!$D$2:$D$9999, ecommerce_transactions!$B$2:$B$9999, A184))</f>
        <v>59</v>
      </c>
      <c r="C184" s="26">
        <f>COUNTIF(ecommerce_transactions!B:B,main_data!A184)</f>
        <v>2</v>
      </c>
      <c r="D184" s="35">
        <f>SUMIF(ecommerce_transactions!B:B,main_data!A184,ecommerce_transactions!E:E)</f>
        <v>803.99</v>
      </c>
      <c r="E184" s="28">
        <f t="shared" si="21"/>
        <v>2</v>
      </c>
      <c r="F184" s="28">
        <f t="shared" si="22"/>
        <v>1</v>
      </c>
      <c r="G184" s="26">
        <f t="shared" si="23"/>
        <v>1</v>
      </c>
      <c r="H184" s="18" t="str">
        <f t="shared" si="24"/>
        <v>211</v>
      </c>
      <c r="I184" s="26" t="str">
        <f t="shared" si="25"/>
        <v>About to Sleep</v>
      </c>
      <c r="J184" s="17">
        <f t="shared" si="26"/>
        <v>401.995</v>
      </c>
      <c r="K184" s="36">
        <f>_xlfn.MAXIFS(ecommerce_transactions!D:D,ecommerce_transactions!B:B,main_data!A184)</f>
        <v>45598</v>
      </c>
      <c r="L184" s="36">
        <f>_xlfn.MINIFS(ecommerce_transactions!D:D,ecommerce_transactions!B:B,main_data!A184)</f>
        <v>45435</v>
      </c>
      <c r="M184" s="19">
        <f t="shared" si="27"/>
        <v>0.4462696783025325</v>
      </c>
      <c r="N184" s="19">
        <f t="shared" si="20"/>
        <v>2.1135623869801083</v>
      </c>
      <c r="O184" s="17">
        <f t="shared" si="28"/>
        <v>379.16924412296561</v>
      </c>
      <c r="P184" s="17">
        <f t="shared" si="29"/>
        <v>113.75077323688969</v>
      </c>
    </row>
    <row r="185" spans="1:16" x14ac:dyDescent="0.3">
      <c r="A185" s="26" t="str">
        <v>C0184</v>
      </c>
      <c r="B185" s="26">
        <f>_xlfn.DAYS(DATE(2024,12,31),_xlfn.MAXIFS(ecommerce_transactions!$D$2:$D$9999, ecommerce_transactions!$B$2:$B$9999, A185))</f>
        <v>25</v>
      </c>
      <c r="C185" s="26">
        <f>COUNTIF(ecommerce_transactions!B:B,main_data!A185)</f>
        <v>15</v>
      </c>
      <c r="D185" s="35">
        <f>SUMIF(ecommerce_transactions!B:B,main_data!A185,ecommerce_transactions!E:E)</f>
        <v>4322.21</v>
      </c>
      <c r="E185" s="28">
        <f t="shared" si="21"/>
        <v>3</v>
      </c>
      <c r="F185" s="28">
        <f t="shared" si="22"/>
        <v>5</v>
      </c>
      <c r="G185" s="26">
        <f t="shared" si="23"/>
        <v>5</v>
      </c>
      <c r="H185" s="18" t="str">
        <f t="shared" si="24"/>
        <v>355</v>
      </c>
      <c r="I185" s="26" t="str">
        <f t="shared" si="25"/>
        <v>Loyal Customers</v>
      </c>
      <c r="J185" s="17">
        <f t="shared" si="26"/>
        <v>288.14733333333334</v>
      </c>
      <c r="K185" s="36">
        <f>_xlfn.MAXIFS(ecommerce_transactions!D:D,ecommerce_transactions!B:B,main_data!A185)</f>
        <v>45632</v>
      </c>
      <c r="L185" s="36">
        <f>_xlfn.MINIFS(ecommerce_transactions!D:D,ecommerce_transactions!B:B,main_data!A185)</f>
        <v>45216</v>
      </c>
      <c r="M185" s="19">
        <f t="shared" si="27"/>
        <v>1.1389459274469542</v>
      </c>
      <c r="N185" s="19">
        <f t="shared" si="20"/>
        <v>9.1522238463144703</v>
      </c>
      <c r="O185" s="17">
        <f t="shared" si="28"/>
        <v>3003.6155523073708</v>
      </c>
      <c r="P185" s="17">
        <f t="shared" si="29"/>
        <v>901.08466569221116</v>
      </c>
    </row>
    <row r="186" spans="1:16" x14ac:dyDescent="0.3">
      <c r="A186" s="26" t="str">
        <v>C0185</v>
      </c>
      <c r="B186" s="26">
        <f>_xlfn.DAYS(DATE(2024,12,31),_xlfn.MAXIFS(ecommerce_transactions!$D$2:$D$9999, ecommerce_transactions!$B$2:$B$9999, A186))</f>
        <v>42</v>
      </c>
      <c r="C186" s="26">
        <f>COUNTIF(ecommerce_transactions!B:B,main_data!A186)</f>
        <v>11</v>
      </c>
      <c r="D186" s="35">
        <f>SUMIF(ecommerce_transactions!B:B,main_data!A186,ecommerce_transactions!E:E)</f>
        <v>1835.2499999999998</v>
      </c>
      <c r="E186" s="28">
        <f t="shared" si="21"/>
        <v>3</v>
      </c>
      <c r="F186" s="28">
        <f t="shared" si="22"/>
        <v>4</v>
      </c>
      <c r="G186" s="26">
        <f t="shared" si="23"/>
        <v>3</v>
      </c>
      <c r="H186" s="18" t="str">
        <f t="shared" si="24"/>
        <v>343</v>
      </c>
      <c r="I186" s="26" t="str">
        <f t="shared" si="25"/>
        <v>Loyal Customers</v>
      </c>
      <c r="J186" s="17">
        <f t="shared" si="26"/>
        <v>166.84090909090907</v>
      </c>
      <c r="K186" s="36">
        <f>_xlfn.MAXIFS(ecommerce_transactions!D:D,ecommerce_transactions!B:B,main_data!A186)</f>
        <v>45615</v>
      </c>
      <c r="L186" s="36">
        <f>_xlfn.MINIFS(ecommerce_transactions!D:D,ecommerce_transactions!B:B,main_data!A186)</f>
        <v>45044</v>
      </c>
      <c r="M186" s="19">
        <f t="shared" si="27"/>
        <v>1.5633127994524298</v>
      </c>
      <c r="N186" s="19">
        <f t="shared" si="20"/>
        <v>5.3312323768452483</v>
      </c>
      <c r="O186" s="17">
        <f t="shared" si="28"/>
        <v>1390.5161718361253</v>
      </c>
      <c r="P186" s="17">
        <f t="shared" si="29"/>
        <v>417.15485155083758</v>
      </c>
    </row>
    <row r="187" spans="1:16" x14ac:dyDescent="0.3">
      <c r="A187" s="26" t="str">
        <v>C0186</v>
      </c>
      <c r="B187" s="26">
        <f>_xlfn.DAYS(DATE(2024,12,31),_xlfn.MAXIFS(ecommerce_transactions!$D$2:$D$9999, ecommerce_transactions!$B$2:$B$9999, A187))</f>
        <v>137</v>
      </c>
      <c r="C187" s="26">
        <f>COUNTIF(ecommerce_transactions!B:B,main_data!A187)</f>
        <v>1</v>
      </c>
      <c r="D187" s="35">
        <f>SUMIF(ecommerce_transactions!B:B,main_data!A187,ecommerce_transactions!E:E)</f>
        <v>134.27000000000001</v>
      </c>
      <c r="E187" s="28">
        <f t="shared" si="21"/>
        <v>1</v>
      </c>
      <c r="F187" s="28">
        <f t="shared" si="22"/>
        <v>1</v>
      </c>
      <c r="G187" s="26">
        <f t="shared" si="23"/>
        <v>1</v>
      </c>
      <c r="H187" s="18" t="str">
        <f t="shared" si="24"/>
        <v>111</v>
      </c>
      <c r="I187" s="26" t="str">
        <f t="shared" si="25"/>
        <v>About to Sleep</v>
      </c>
      <c r="J187" s="17">
        <f t="shared" si="26"/>
        <v>134.27000000000001</v>
      </c>
      <c r="K187" s="36">
        <f>_xlfn.MAXIFS(ecommerce_transactions!D:D,ecommerce_transactions!B:B,main_data!A187)</f>
        <v>45520</v>
      </c>
      <c r="L187" s="36">
        <f>_xlfn.MINIFS(ecommerce_transactions!D:D,ecommerce_transactions!B:B,main_data!A187)</f>
        <v>45520</v>
      </c>
      <c r="M187" s="19">
        <f t="shared" si="27"/>
        <v>0</v>
      </c>
      <c r="N187" s="19">
        <f t="shared" si="20"/>
        <v>2</v>
      </c>
      <c r="O187" s="17">
        <f t="shared" si="28"/>
        <v>0</v>
      </c>
      <c r="P187" s="17">
        <f t="shared" si="29"/>
        <v>0</v>
      </c>
    </row>
    <row r="188" spans="1:16" x14ac:dyDescent="0.3">
      <c r="A188" s="26" t="str">
        <v>C0187</v>
      </c>
      <c r="B188" s="26">
        <f>_xlfn.DAYS(DATE(2024,12,31),_xlfn.MAXIFS(ecommerce_transactions!$D$2:$D$9999, ecommerce_transactions!$B$2:$B$9999, A188))</f>
        <v>26</v>
      </c>
      <c r="C188" s="26">
        <f>COUNTIF(ecommerce_transactions!B:B,main_data!A188)</f>
        <v>9</v>
      </c>
      <c r="D188" s="35">
        <f>SUMIF(ecommerce_transactions!B:B,main_data!A188,ecommerce_transactions!E:E)</f>
        <v>2189.79</v>
      </c>
      <c r="E188" s="28">
        <f t="shared" si="21"/>
        <v>3</v>
      </c>
      <c r="F188" s="28">
        <f t="shared" si="22"/>
        <v>4</v>
      </c>
      <c r="G188" s="26">
        <f t="shared" si="23"/>
        <v>3</v>
      </c>
      <c r="H188" s="18" t="str">
        <f t="shared" si="24"/>
        <v>343</v>
      </c>
      <c r="I188" s="26" t="str">
        <f t="shared" si="25"/>
        <v>Loyal Customers</v>
      </c>
      <c r="J188" s="17">
        <f t="shared" si="26"/>
        <v>243.31</v>
      </c>
      <c r="K188" s="36">
        <f>_xlfn.MAXIFS(ecommerce_transactions!D:D,ecommerce_transactions!B:B,main_data!A188)</f>
        <v>45631</v>
      </c>
      <c r="L188" s="36">
        <f>_xlfn.MINIFS(ecommerce_transactions!D:D,ecommerce_transactions!B:B,main_data!A188)</f>
        <v>45237</v>
      </c>
      <c r="M188" s="19">
        <f t="shared" si="27"/>
        <v>1.0787132101300478</v>
      </c>
      <c r="N188" s="19">
        <f t="shared" si="20"/>
        <v>5.7008454368090185</v>
      </c>
      <c r="O188" s="17">
        <f t="shared" si="28"/>
        <v>1496.253648384999</v>
      </c>
      <c r="P188" s="17">
        <f t="shared" si="29"/>
        <v>448.87609451549969</v>
      </c>
    </row>
    <row r="189" spans="1:16" x14ac:dyDescent="0.3">
      <c r="A189" s="26" t="str">
        <v>C0188</v>
      </c>
      <c r="B189" s="26">
        <f>_xlfn.DAYS(DATE(2024,12,31),_xlfn.MAXIFS(ecommerce_transactions!$D$2:$D$9999, ecommerce_transactions!$B$2:$B$9999, A189))</f>
        <v>24</v>
      </c>
      <c r="C189" s="26">
        <f>COUNTIF(ecommerce_transactions!B:B,main_data!A189)</f>
        <v>9</v>
      </c>
      <c r="D189" s="35">
        <f>SUMIF(ecommerce_transactions!B:B,main_data!A189,ecommerce_transactions!E:E)</f>
        <v>1735.6900000000003</v>
      </c>
      <c r="E189" s="28">
        <f t="shared" si="21"/>
        <v>3</v>
      </c>
      <c r="F189" s="28">
        <f t="shared" si="22"/>
        <v>4</v>
      </c>
      <c r="G189" s="26">
        <f t="shared" si="23"/>
        <v>3</v>
      </c>
      <c r="H189" s="18" t="str">
        <f t="shared" si="24"/>
        <v>343</v>
      </c>
      <c r="I189" s="26" t="str">
        <f t="shared" si="25"/>
        <v>Loyal Customers</v>
      </c>
      <c r="J189" s="17">
        <f t="shared" si="26"/>
        <v>192.85444444444448</v>
      </c>
      <c r="K189" s="36">
        <f>_xlfn.MAXIFS(ecommerce_transactions!D:D,ecommerce_transactions!B:B,main_data!A189)</f>
        <v>45633</v>
      </c>
      <c r="L189" s="36">
        <f>_xlfn.MINIFS(ecommerce_transactions!D:D,ecommerce_transactions!B:B,main_data!A189)</f>
        <v>45157</v>
      </c>
      <c r="M189" s="19">
        <f t="shared" si="27"/>
        <v>1.3032169746748803</v>
      </c>
      <c r="N189" s="19">
        <f t="shared" si="20"/>
        <v>4.9910799013095462</v>
      </c>
      <c r="O189" s="17">
        <f t="shared" si="28"/>
        <v>1254.4140292275576</v>
      </c>
      <c r="P189" s="17">
        <f t="shared" si="29"/>
        <v>376.32420876826728</v>
      </c>
    </row>
    <row r="190" spans="1:16" x14ac:dyDescent="0.3">
      <c r="A190" s="26" t="str">
        <v>C0189</v>
      </c>
      <c r="B190" s="26">
        <f>_xlfn.DAYS(DATE(2024,12,31),_xlfn.MAXIFS(ecommerce_transactions!$D$2:$D$9999, ecommerce_transactions!$B$2:$B$9999, A190))</f>
        <v>14</v>
      </c>
      <c r="C190" s="26">
        <f>COUNTIF(ecommerce_transactions!B:B,main_data!A190)</f>
        <v>8</v>
      </c>
      <c r="D190" s="35">
        <f>SUMIF(ecommerce_transactions!B:B,main_data!A190,ecommerce_transactions!E:E)</f>
        <v>1473.99</v>
      </c>
      <c r="E190" s="28">
        <f t="shared" si="21"/>
        <v>4</v>
      </c>
      <c r="F190" s="28">
        <f t="shared" si="22"/>
        <v>3</v>
      </c>
      <c r="G190" s="26">
        <f t="shared" si="23"/>
        <v>2</v>
      </c>
      <c r="H190" s="18" t="str">
        <f t="shared" si="24"/>
        <v>432</v>
      </c>
      <c r="I190" s="26" t="str">
        <f t="shared" si="25"/>
        <v>Potential Loyalists</v>
      </c>
      <c r="J190" s="17">
        <f t="shared" si="26"/>
        <v>184.24875</v>
      </c>
      <c r="K190" s="36">
        <f>_xlfn.MAXIFS(ecommerce_transactions!D:D,ecommerce_transactions!B:B,main_data!A190)</f>
        <v>45643</v>
      </c>
      <c r="L190" s="36">
        <f>_xlfn.MINIFS(ecommerce_transactions!D:D,ecommerce_transactions!B:B,main_data!A190)</f>
        <v>44987</v>
      </c>
      <c r="M190" s="19">
        <f t="shared" si="27"/>
        <v>1.7960301163586585</v>
      </c>
      <c r="N190" s="19">
        <f t="shared" si="20"/>
        <v>3.4842748546728273</v>
      </c>
      <c r="O190" s="17">
        <f t="shared" si="28"/>
        <v>1153.00335668505</v>
      </c>
      <c r="P190" s="17">
        <f t="shared" si="29"/>
        <v>345.901007005515</v>
      </c>
    </row>
    <row r="191" spans="1:16" x14ac:dyDescent="0.3">
      <c r="A191" s="26" t="str">
        <v>C0190</v>
      </c>
      <c r="B191" s="26">
        <f>_xlfn.DAYS(DATE(2024,12,31),_xlfn.MAXIFS(ecommerce_transactions!$D$2:$D$9999, ecommerce_transactions!$B$2:$B$9999, A191))</f>
        <v>150</v>
      </c>
      <c r="C191" s="26">
        <f>COUNTIF(ecommerce_transactions!B:B,main_data!A191)</f>
        <v>2</v>
      </c>
      <c r="D191" s="35">
        <f>SUMIF(ecommerce_transactions!B:B,main_data!A191,ecommerce_transactions!E:E)</f>
        <v>588.1400000000001</v>
      </c>
      <c r="E191" s="28">
        <f t="shared" si="21"/>
        <v>1</v>
      </c>
      <c r="F191" s="28">
        <f t="shared" si="22"/>
        <v>1</v>
      </c>
      <c r="G191" s="26">
        <f t="shared" si="23"/>
        <v>1</v>
      </c>
      <c r="H191" s="18" t="str">
        <f t="shared" si="24"/>
        <v>111</v>
      </c>
      <c r="I191" s="26" t="str">
        <f t="shared" si="25"/>
        <v>About to Sleep</v>
      </c>
      <c r="J191" s="17">
        <f t="shared" si="26"/>
        <v>294.07000000000005</v>
      </c>
      <c r="K191" s="36">
        <f>_xlfn.MAXIFS(ecommerce_transactions!D:D,ecommerce_transactions!B:B,main_data!A191)</f>
        <v>45507</v>
      </c>
      <c r="L191" s="36">
        <f>_xlfn.MINIFS(ecommerce_transactions!D:D,ecommerce_transactions!B:B,main_data!A191)</f>
        <v>45232</v>
      </c>
      <c r="M191" s="19">
        <f t="shared" si="27"/>
        <v>0.75290896646132788</v>
      </c>
      <c r="N191" s="19">
        <f t="shared" si="20"/>
        <v>1.5962851679868886</v>
      </c>
      <c r="O191" s="17">
        <f t="shared" si="28"/>
        <v>353.43021032504782</v>
      </c>
      <c r="P191" s="17">
        <f t="shared" si="29"/>
        <v>106.02906309751434</v>
      </c>
    </row>
    <row r="192" spans="1:16" x14ac:dyDescent="0.3">
      <c r="A192" s="26" t="str">
        <v>C0191</v>
      </c>
      <c r="B192" s="26">
        <f>_xlfn.DAYS(DATE(2024,12,31),_xlfn.MAXIFS(ecommerce_transactions!$D$2:$D$9999, ecommerce_transactions!$B$2:$B$9999, A192))</f>
        <v>33</v>
      </c>
      <c r="C192" s="26">
        <f>COUNTIF(ecommerce_transactions!B:B,main_data!A192)</f>
        <v>8</v>
      </c>
      <c r="D192" s="35">
        <f>SUMIF(ecommerce_transactions!B:B,main_data!A192,ecommerce_transactions!E:E)</f>
        <v>2538.21</v>
      </c>
      <c r="E192" s="28">
        <f t="shared" si="21"/>
        <v>3</v>
      </c>
      <c r="F192" s="28">
        <f t="shared" si="22"/>
        <v>3</v>
      </c>
      <c r="G192" s="26">
        <f t="shared" si="23"/>
        <v>4</v>
      </c>
      <c r="H192" s="18" t="str">
        <f t="shared" si="24"/>
        <v>334</v>
      </c>
      <c r="I192" s="26" t="str">
        <f t="shared" si="25"/>
        <v>Loyal Customers</v>
      </c>
      <c r="J192" s="17">
        <f t="shared" si="26"/>
        <v>317.27625</v>
      </c>
      <c r="K192" s="36">
        <f>_xlfn.MAXIFS(ecommerce_transactions!D:D,ecommerce_transactions!B:B,main_data!A192)</f>
        <v>45624</v>
      </c>
      <c r="L192" s="36">
        <f>_xlfn.MINIFS(ecommerce_transactions!D:D,ecommerce_transactions!B:B,main_data!A192)</f>
        <v>45272</v>
      </c>
      <c r="M192" s="19">
        <f t="shared" si="27"/>
        <v>0.96372347707049966</v>
      </c>
      <c r="N192" s="19">
        <f t="shared" si="20"/>
        <v>5.4655132101940609</v>
      </c>
      <c r="O192" s="17">
        <f t="shared" si="28"/>
        <v>1671.1712321720831</v>
      </c>
      <c r="P192" s="17">
        <f t="shared" si="29"/>
        <v>501.35136965162491</v>
      </c>
    </row>
    <row r="193" spans="1:16" x14ac:dyDescent="0.3">
      <c r="A193" s="26" t="str">
        <v>C0192</v>
      </c>
      <c r="B193" s="26">
        <f>_xlfn.DAYS(DATE(2024,12,31),_xlfn.MAXIFS(ecommerce_transactions!$D$2:$D$9999, ecommerce_transactions!$B$2:$B$9999, A193))</f>
        <v>5</v>
      </c>
      <c r="C193" s="26">
        <f>COUNTIF(ecommerce_transactions!B:B,main_data!A193)</f>
        <v>14</v>
      </c>
      <c r="D193" s="35">
        <f>SUMIF(ecommerce_transactions!B:B,main_data!A193,ecommerce_transactions!E:E)</f>
        <v>3819.7700000000009</v>
      </c>
      <c r="E193" s="28">
        <f t="shared" si="21"/>
        <v>5</v>
      </c>
      <c r="F193" s="28">
        <f t="shared" si="22"/>
        <v>5</v>
      </c>
      <c r="G193" s="26">
        <f t="shared" si="23"/>
        <v>5</v>
      </c>
      <c r="H193" s="18" t="str">
        <f t="shared" si="24"/>
        <v>555</v>
      </c>
      <c r="I193" s="26" t="str">
        <f t="shared" si="25"/>
        <v>Champions</v>
      </c>
      <c r="J193" s="17">
        <f t="shared" si="26"/>
        <v>272.84071428571434</v>
      </c>
      <c r="K193" s="36">
        <f>_xlfn.MAXIFS(ecommerce_transactions!D:D,ecommerce_transactions!B:B,main_data!A193)</f>
        <v>45652</v>
      </c>
      <c r="L193" s="36">
        <f>_xlfn.MINIFS(ecommerce_transactions!D:D,ecommerce_transactions!B:B,main_data!A193)</f>
        <v>45223</v>
      </c>
      <c r="M193" s="19">
        <f t="shared" si="27"/>
        <v>1.1745379876796715</v>
      </c>
      <c r="N193" s="19">
        <f t="shared" si="20"/>
        <v>8.3605150214592268</v>
      </c>
      <c r="O193" s="17">
        <f t="shared" si="28"/>
        <v>2679.2255548743105</v>
      </c>
      <c r="P193" s="17">
        <f t="shared" si="29"/>
        <v>803.76766646229316</v>
      </c>
    </row>
    <row r="194" spans="1:16" x14ac:dyDescent="0.3">
      <c r="A194" s="26" t="str">
        <v>C0193</v>
      </c>
      <c r="B194" s="26">
        <f>_xlfn.DAYS(DATE(2024,12,31),_xlfn.MAXIFS(ecommerce_transactions!$D$2:$D$9999, ecommerce_transactions!$B$2:$B$9999, A194))</f>
        <v>175</v>
      </c>
      <c r="C194" s="26">
        <f>COUNTIF(ecommerce_transactions!B:B,main_data!A194)</f>
        <v>5</v>
      </c>
      <c r="D194" s="35">
        <f>SUMIF(ecommerce_transactions!B:B,main_data!A194,ecommerce_transactions!E:E)</f>
        <v>1427.39</v>
      </c>
      <c r="E194" s="28">
        <f t="shared" si="21"/>
        <v>1</v>
      </c>
      <c r="F194" s="28">
        <f t="shared" si="22"/>
        <v>2</v>
      </c>
      <c r="G194" s="26">
        <f t="shared" si="23"/>
        <v>2</v>
      </c>
      <c r="H194" s="18" t="str">
        <f t="shared" si="24"/>
        <v>122</v>
      </c>
      <c r="I194" s="26" t="str">
        <f t="shared" si="25"/>
        <v>About to Sleep</v>
      </c>
      <c r="J194" s="17">
        <f t="shared" si="26"/>
        <v>285.47800000000001</v>
      </c>
      <c r="K194" s="36">
        <f>_xlfn.MAXIFS(ecommerce_transactions!D:D,ecommerce_transactions!B:B,main_data!A194)</f>
        <v>45482</v>
      </c>
      <c r="L194" s="36">
        <f>_xlfn.MINIFS(ecommerce_transactions!D:D,ecommerce_transactions!B:B,main_data!A194)</f>
        <v>45117</v>
      </c>
      <c r="M194" s="19">
        <f t="shared" si="27"/>
        <v>0.99931553730321698</v>
      </c>
      <c r="N194" s="19">
        <f t="shared" ref="N194:N257" si="30">C194/(M194+0.5)</f>
        <v>3.3348550559233052</v>
      </c>
      <c r="O194" s="17">
        <f t="shared" si="28"/>
        <v>951.37612417256332</v>
      </c>
      <c r="P194" s="17">
        <f t="shared" si="29"/>
        <v>285.41283725176896</v>
      </c>
    </row>
    <row r="195" spans="1:16" x14ac:dyDescent="0.3">
      <c r="A195" s="26" t="str">
        <v>C0194</v>
      </c>
      <c r="B195" s="26">
        <f>_xlfn.DAYS(DATE(2024,12,31),_xlfn.MAXIFS(ecommerce_transactions!$D$2:$D$9999, ecommerce_transactions!$B$2:$B$9999, A195))</f>
        <v>71</v>
      </c>
      <c r="C195" s="26">
        <f>COUNTIF(ecommerce_transactions!B:B,main_data!A195)</f>
        <v>7</v>
      </c>
      <c r="D195" s="35">
        <f>SUMIF(ecommerce_transactions!B:B,main_data!A195,ecommerce_transactions!E:E)</f>
        <v>936.92</v>
      </c>
      <c r="E195" s="28">
        <f t="shared" ref="E195:E258" si="31">IF(B195&lt;=PERCENTILE($B$2:$B$501,0.2),5,IF(B195&lt;=PERCENTILE($B$2:$B$501,0.4),4,IF(B195&lt;=PERCENTILE($B$2:$B$501,0.6),3,IF(B195&lt;=PERCENTILE($B$2:$B$501,0.8),2,1))))</f>
        <v>2</v>
      </c>
      <c r="F195" s="28">
        <f t="shared" ref="F195:F258" si="32">IF(C195&gt;=PERCENTILE($C$2:$C$501, 0.8), 5,IF(C195&gt;=PERCENTILE($C$2:$C$501, 0.6), 4, IF(C195&gt;=PERCENTILE($C$2:$C$501, 0.4), 3, IF(C195&gt;=PERCENTILE($C$2:$C$501, 0.2), 2, 1))))</f>
        <v>3</v>
      </c>
      <c r="G195" s="26">
        <f t="shared" ref="G195:G258" si="33">IF(D195&gt;=PERCENTILE($D$2:$D$501,0.8),5,IF(D195&gt;=PERCENTILE($D$2:$D$501,0.6),4,IF(D195&gt;=PERCENTILE($D$2:$D$501,0.4),3,IF(D195&gt;=PERCENTILE($D$2:$D$501,0.2),2,1))))</f>
        <v>1</v>
      </c>
      <c r="H195" s="18" t="str">
        <f t="shared" ref="H195:H258" si="34">CONCATENATE(E195,F195,G195)</f>
        <v>231</v>
      </c>
      <c r="I195" s="26" t="str">
        <f t="shared" ref="I195:I258" si="35">IF(AND(E195&gt;=4, F195&gt;=4, G195&gt;=4), "Champions",
    IF(AND(E195&gt;=3, F195&gt;=3, G195&gt;=3), "Loyal Customers",
    IF(AND(E195&gt;=4, F195&lt;=2), "New Customers",
    IF(AND(E195&gt;=4, F195&gt;=2, G195&gt;=2), "Potential Loyalists",
    IF(AND(G195&gt;=4, E195&lt;=2, F195&lt;=2), "Cannot Lose Them",
    IF(AND(F195&gt;=3, E195&lt;=2), "At Risk",
    IF(AND(E195&lt;=2, F195&lt;=2), "About to Sleep",
    IF(AND(E195&lt;=2, F195&lt;=3), "Hibernating", "Lost"))))))))</f>
        <v>At Risk</v>
      </c>
      <c r="J195" s="17">
        <f t="shared" ref="J195:J258" si="36">D195/C195</f>
        <v>133.84571428571428</v>
      </c>
      <c r="K195" s="36">
        <f>_xlfn.MAXIFS(ecommerce_transactions!D:D,ecommerce_transactions!B:B,main_data!A195)</f>
        <v>45586</v>
      </c>
      <c r="L195" s="36">
        <f>_xlfn.MINIFS(ecommerce_transactions!D:D,ecommerce_transactions!B:B,main_data!A195)</f>
        <v>45037</v>
      </c>
      <c r="M195" s="19">
        <f t="shared" ref="M195:M258" si="37">(K195-L195)/365.25</f>
        <v>1.5030800821355237</v>
      </c>
      <c r="N195" s="19">
        <f t="shared" si="30"/>
        <v>3.4946181445412603</v>
      </c>
      <c r="O195" s="17">
        <f t="shared" ref="O195:O258" si="38">J195*N195*M195</f>
        <v>703.05016914402859</v>
      </c>
      <c r="P195" s="17">
        <f t="shared" ref="P195:P258" si="39">O195*0.3</f>
        <v>210.91505074320858</v>
      </c>
    </row>
    <row r="196" spans="1:16" x14ac:dyDescent="0.3">
      <c r="A196" s="26" t="str">
        <v>C0195</v>
      </c>
      <c r="B196" s="26">
        <f>_xlfn.DAYS(DATE(2024,12,31),_xlfn.MAXIFS(ecommerce_transactions!$D$2:$D$9999, ecommerce_transactions!$B$2:$B$9999, A196))</f>
        <v>11</v>
      </c>
      <c r="C196" s="26">
        <f>COUNTIF(ecommerce_transactions!B:B,main_data!A196)</f>
        <v>8</v>
      </c>
      <c r="D196" s="35">
        <f>SUMIF(ecommerce_transactions!B:B,main_data!A196,ecommerce_transactions!E:E)</f>
        <v>1684.1600000000003</v>
      </c>
      <c r="E196" s="28">
        <f t="shared" si="31"/>
        <v>4</v>
      </c>
      <c r="F196" s="28">
        <f t="shared" si="32"/>
        <v>3</v>
      </c>
      <c r="G196" s="26">
        <f t="shared" si="33"/>
        <v>3</v>
      </c>
      <c r="H196" s="18" t="str">
        <f t="shared" si="34"/>
        <v>433</v>
      </c>
      <c r="I196" s="26" t="str">
        <f t="shared" si="35"/>
        <v>Loyal Customers</v>
      </c>
      <c r="J196" s="17">
        <f t="shared" si="36"/>
        <v>210.52000000000004</v>
      </c>
      <c r="K196" s="36">
        <f>_xlfn.MAXIFS(ecommerce_transactions!D:D,ecommerce_transactions!B:B,main_data!A196)</f>
        <v>45646</v>
      </c>
      <c r="L196" s="36">
        <f>_xlfn.MINIFS(ecommerce_transactions!D:D,ecommerce_transactions!B:B,main_data!A196)</f>
        <v>45535</v>
      </c>
      <c r="M196" s="19">
        <f t="shared" si="37"/>
        <v>0.30390143737166325</v>
      </c>
      <c r="N196" s="19">
        <f t="shared" si="30"/>
        <v>9.951468710089399</v>
      </c>
      <c r="O196" s="17">
        <f t="shared" si="38"/>
        <v>636.66840357598994</v>
      </c>
      <c r="P196" s="17">
        <f t="shared" si="39"/>
        <v>191.00052107279697</v>
      </c>
    </row>
    <row r="197" spans="1:16" x14ac:dyDescent="0.3">
      <c r="A197" s="26" t="str">
        <v>C0196</v>
      </c>
      <c r="B197" s="26">
        <f>_xlfn.DAYS(DATE(2024,12,31),_xlfn.MAXIFS(ecommerce_transactions!$D$2:$D$9999, ecommerce_transactions!$B$2:$B$9999, A197))</f>
        <v>80</v>
      </c>
      <c r="C197" s="26">
        <f>COUNTIF(ecommerce_transactions!B:B,main_data!A197)</f>
        <v>6</v>
      </c>
      <c r="D197" s="35">
        <f>SUMIF(ecommerce_transactions!B:B,main_data!A197,ecommerce_transactions!E:E)</f>
        <v>1811.7900000000002</v>
      </c>
      <c r="E197" s="28">
        <f t="shared" si="31"/>
        <v>2</v>
      </c>
      <c r="F197" s="28">
        <f t="shared" si="32"/>
        <v>3</v>
      </c>
      <c r="G197" s="26">
        <f t="shared" si="33"/>
        <v>3</v>
      </c>
      <c r="H197" s="18" t="str">
        <f t="shared" si="34"/>
        <v>233</v>
      </c>
      <c r="I197" s="26" t="str">
        <f t="shared" si="35"/>
        <v>At Risk</v>
      </c>
      <c r="J197" s="17">
        <f t="shared" si="36"/>
        <v>301.96500000000003</v>
      </c>
      <c r="K197" s="36">
        <f>_xlfn.MAXIFS(ecommerce_transactions!D:D,ecommerce_transactions!B:B,main_data!A197)</f>
        <v>45577</v>
      </c>
      <c r="L197" s="36">
        <f>_xlfn.MINIFS(ecommerce_transactions!D:D,ecommerce_transactions!B:B,main_data!A197)</f>
        <v>45381</v>
      </c>
      <c r="M197" s="19">
        <f t="shared" si="37"/>
        <v>0.53661875427789185</v>
      </c>
      <c r="N197" s="19">
        <f t="shared" si="30"/>
        <v>5.7880488610102336</v>
      </c>
      <c r="O197" s="17">
        <f t="shared" si="38"/>
        <v>937.89591284252219</v>
      </c>
      <c r="P197" s="17">
        <f t="shared" si="39"/>
        <v>281.36877385275665</v>
      </c>
    </row>
    <row r="198" spans="1:16" x14ac:dyDescent="0.3">
      <c r="A198" s="26" t="str">
        <v>C0197</v>
      </c>
      <c r="B198" s="26">
        <f>_xlfn.DAYS(DATE(2024,12,31),_xlfn.MAXIFS(ecommerce_transactions!$D$2:$D$9999, ecommerce_transactions!$B$2:$B$9999, A198))</f>
        <v>157</v>
      </c>
      <c r="C198" s="26">
        <f>COUNTIF(ecommerce_transactions!B:B,main_data!A198)</f>
        <v>2</v>
      </c>
      <c r="D198" s="35">
        <f>SUMIF(ecommerce_transactions!B:B,main_data!A198,ecommerce_transactions!E:E)</f>
        <v>260.67</v>
      </c>
      <c r="E198" s="28">
        <f t="shared" si="31"/>
        <v>1</v>
      </c>
      <c r="F198" s="28">
        <f t="shared" si="32"/>
        <v>1</v>
      </c>
      <c r="G198" s="26">
        <f t="shared" si="33"/>
        <v>1</v>
      </c>
      <c r="H198" s="18" t="str">
        <f t="shared" si="34"/>
        <v>111</v>
      </c>
      <c r="I198" s="26" t="str">
        <f t="shared" si="35"/>
        <v>About to Sleep</v>
      </c>
      <c r="J198" s="17">
        <f t="shared" si="36"/>
        <v>130.33500000000001</v>
      </c>
      <c r="K198" s="36">
        <f>_xlfn.MAXIFS(ecommerce_transactions!D:D,ecommerce_transactions!B:B,main_data!A198)</f>
        <v>45500</v>
      </c>
      <c r="L198" s="36">
        <f>_xlfn.MINIFS(ecommerce_transactions!D:D,ecommerce_transactions!B:B,main_data!A198)</f>
        <v>45046</v>
      </c>
      <c r="M198" s="19">
        <f t="shared" si="37"/>
        <v>1.2429842573579739</v>
      </c>
      <c r="N198" s="19">
        <f t="shared" si="30"/>
        <v>1.147457294325545</v>
      </c>
      <c r="O198" s="17">
        <f t="shared" si="38"/>
        <v>185.89307677204008</v>
      </c>
      <c r="P198" s="17">
        <f t="shared" si="39"/>
        <v>55.767923031612021</v>
      </c>
    </row>
    <row r="199" spans="1:16" x14ac:dyDescent="0.3">
      <c r="A199" s="26" t="str">
        <v>C0198</v>
      </c>
      <c r="B199" s="26">
        <f>_xlfn.DAYS(DATE(2024,12,31),_xlfn.MAXIFS(ecommerce_transactions!$D$2:$D$9999, ecommerce_transactions!$B$2:$B$9999, A199))</f>
        <v>9</v>
      </c>
      <c r="C199" s="26">
        <f>COUNTIF(ecommerce_transactions!B:B,main_data!A199)</f>
        <v>11</v>
      </c>
      <c r="D199" s="35">
        <f>SUMIF(ecommerce_transactions!B:B,main_data!A199,ecommerce_transactions!E:E)</f>
        <v>2974.37</v>
      </c>
      <c r="E199" s="28">
        <f t="shared" si="31"/>
        <v>4</v>
      </c>
      <c r="F199" s="28">
        <f t="shared" si="32"/>
        <v>4</v>
      </c>
      <c r="G199" s="26">
        <f t="shared" si="33"/>
        <v>4</v>
      </c>
      <c r="H199" s="18" t="str">
        <f t="shared" si="34"/>
        <v>444</v>
      </c>
      <c r="I199" s="26" t="str">
        <f t="shared" si="35"/>
        <v>Champions</v>
      </c>
      <c r="J199" s="17">
        <f t="shared" si="36"/>
        <v>270.39727272727271</v>
      </c>
      <c r="K199" s="36">
        <f>_xlfn.MAXIFS(ecommerce_transactions!D:D,ecommerce_transactions!B:B,main_data!A199)</f>
        <v>45648</v>
      </c>
      <c r="L199" s="36">
        <f>_xlfn.MINIFS(ecommerce_transactions!D:D,ecommerce_transactions!B:B,main_data!A199)</f>
        <v>45397</v>
      </c>
      <c r="M199" s="19">
        <f t="shared" si="37"/>
        <v>0.68720054757015747</v>
      </c>
      <c r="N199" s="19">
        <f t="shared" si="30"/>
        <v>9.2654943787835116</v>
      </c>
      <c r="O199" s="17">
        <f t="shared" si="38"/>
        <v>1721.6877947535313</v>
      </c>
      <c r="P199" s="17">
        <f t="shared" si="39"/>
        <v>516.50633842605941</v>
      </c>
    </row>
    <row r="200" spans="1:16" x14ac:dyDescent="0.3">
      <c r="A200" s="26" t="str">
        <v>C0199</v>
      </c>
      <c r="B200" s="26">
        <f>_xlfn.DAYS(DATE(2024,12,31),_xlfn.MAXIFS(ecommerce_transactions!$D$2:$D$9999, ecommerce_transactions!$B$2:$B$9999, A200))</f>
        <v>61</v>
      </c>
      <c r="C200" s="26">
        <f>COUNTIF(ecommerce_transactions!B:B,main_data!A200)</f>
        <v>6</v>
      </c>
      <c r="D200" s="35">
        <f>SUMIF(ecommerce_transactions!B:B,main_data!A200,ecommerce_transactions!E:E)</f>
        <v>1346.26</v>
      </c>
      <c r="E200" s="28">
        <f t="shared" si="31"/>
        <v>2</v>
      </c>
      <c r="F200" s="28">
        <f t="shared" si="32"/>
        <v>3</v>
      </c>
      <c r="G200" s="26">
        <f t="shared" si="33"/>
        <v>2</v>
      </c>
      <c r="H200" s="18" t="str">
        <f t="shared" si="34"/>
        <v>232</v>
      </c>
      <c r="I200" s="26" t="str">
        <f t="shared" si="35"/>
        <v>At Risk</v>
      </c>
      <c r="J200" s="17">
        <f t="shared" si="36"/>
        <v>224.37666666666667</v>
      </c>
      <c r="K200" s="36">
        <f>_xlfn.MAXIFS(ecommerce_transactions!D:D,ecommerce_transactions!B:B,main_data!A200)</f>
        <v>45596</v>
      </c>
      <c r="L200" s="36">
        <f>_xlfn.MINIFS(ecommerce_transactions!D:D,ecommerce_transactions!B:B,main_data!A200)</f>
        <v>45210</v>
      </c>
      <c r="M200" s="19">
        <f t="shared" si="37"/>
        <v>1.0568104038329911</v>
      </c>
      <c r="N200" s="19">
        <f t="shared" si="30"/>
        <v>3.8540338535941965</v>
      </c>
      <c r="O200" s="17">
        <f t="shared" si="38"/>
        <v>913.88236535502301</v>
      </c>
      <c r="P200" s="17">
        <f t="shared" si="39"/>
        <v>274.1647096065069</v>
      </c>
    </row>
    <row r="201" spans="1:16" x14ac:dyDescent="0.3">
      <c r="A201" s="26" t="str">
        <v>C0200</v>
      </c>
      <c r="B201" s="26">
        <f>_xlfn.DAYS(DATE(2024,12,31),_xlfn.MAXIFS(ecommerce_transactions!$D$2:$D$9999, ecommerce_transactions!$B$2:$B$9999, A201))</f>
        <v>309</v>
      </c>
      <c r="C201" s="26">
        <f>COUNTIF(ecommerce_transactions!B:B,main_data!A201)</f>
        <v>1</v>
      </c>
      <c r="D201" s="35">
        <f>SUMIF(ecommerce_transactions!B:B,main_data!A201,ecommerce_transactions!E:E)</f>
        <v>48.15</v>
      </c>
      <c r="E201" s="28">
        <f t="shared" si="31"/>
        <v>1</v>
      </c>
      <c r="F201" s="28">
        <f t="shared" si="32"/>
        <v>1</v>
      </c>
      <c r="G201" s="26">
        <f t="shared" si="33"/>
        <v>1</v>
      </c>
      <c r="H201" s="18" t="str">
        <f t="shared" si="34"/>
        <v>111</v>
      </c>
      <c r="I201" s="26" t="str">
        <f t="shared" si="35"/>
        <v>About to Sleep</v>
      </c>
      <c r="J201" s="17">
        <f t="shared" si="36"/>
        <v>48.15</v>
      </c>
      <c r="K201" s="36">
        <f>_xlfn.MAXIFS(ecommerce_transactions!D:D,ecommerce_transactions!B:B,main_data!A201)</f>
        <v>45348</v>
      </c>
      <c r="L201" s="36">
        <f>_xlfn.MINIFS(ecommerce_transactions!D:D,ecommerce_transactions!B:B,main_data!A201)</f>
        <v>45348</v>
      </c>
      <c r="M201" s="19">
        <f t="shared" si="37"/>
        <v>0</v>
      </c>
      <c r="N201" s="19">
        <f t="shared" si="30"/>
        <v>2</v>
      </c>
      <c r="O201" s="17">
        <f t="shared" si="38"/>
        <v>0</v>
      </c>
      <c r="P201" s="17">
        <f t="shared" si="39"/>
        <v>0</v>
      </c>
    </row>
    <row r="202" spans="1:16" x14ac:dyDescent="0.3">
      <c r="A202" s="26" t="str">
        <v>C0201</v>
      </c>
      <c r="B202" s="26">
        <f>_xlfn.DAYS(DATE(2024,12,31),_xlfn.MAXIFS(ecommerce_transactions!$D$2:$D$9999, ecommerce_transactions!$B$2:$B$9999, A202))</f>
        <v>20</v>
      </c>
      <c r="C202" s="26">
        <f>COUNTIF(ecommerce_transactions!B:B,main_data!A202)</f>
        <v>11</v>
      </c>
      <c r="D202" s="35">
        <f>SUMIF(ecommerce_transactions!B:B,main_data!A202,ecommerce_transactions!E:E)</f>
        <v>2110.44</v>
      </c>
      <c r="E202" s="28">
        <f t="shared" si="31"/>
        <v>4</v>
      </c>
      <c r="F202" s="28">
        <f t="shared" si="32"/>
        <v>4</v>
      </c>
      <c r="G202" s="26">
        <f t="shared" si="33"/>
        <v>3</v>
      </c>
      <c r="H202" s="18" t="str">
        <f t="shared" si="34"/>
        <v>443</v>
      </c>
      <c r="I202" s="26" t="str">
        <f t="shared" si="35"/>
        <v>Loyal Customers</v>
      </c>
      <c r="J202" s="17">
        <f t="shared" si="36"/>
        <v>191.85818181818183</v>
      </c>
      <c r="K202" s="36">
        <f>_xlfn.MAXIFS(ecommerce_transactions!D:D,ecommerce_transactions!B:B,main_data!A202)</f>
        <v>45637</v>
      </c>
      <c r="L202" s="36">
        <f>_xlfn.MINIFS(ecommerce_transactions!D:D,ecommerce_transactions!B:B,main_data!A202)</f>
        <v>45109</v>
      </c>
      <c r="M202" s="19">
        <f t="shared" si="37"/>
        <v>1.4455852156057496</v>
      </c>
      <c r="N202" s="19">
        <f t="shared" si="30"/>
        <v>5.6538258575197888</v>
      </c>
      <c r="O202" s="17">
        <f t="shared" si="38"/>
        <v>1568.0736253298157</v>
      </c>
      <c r="P202" s="17">
        <f t="shared" si="39"/>
        <v>470.4220875989447</v>
      </c>
    </row>
    <row r="203" spans="1:16" x14ac:dyDescent="0.3">
      <c r="A203" s="26" t="str">
        <v>C0202</v>
      </c>
      <c r="B203" s="26">
        <f>_xlfn.DAYS(DATE(2024,12,31),_xlfn.MAXIFS(ecommerce_transactions!$D$2:$D$9999, ecommerce_transactions!$B$2:$B$9999, A203))</f>
        <v>11</v>
      </c>
      <c r="C203" s="26">
        <f>COUNTIF(ecommerce_transactions!B:B,main_data!A203)</f>
        <v>15</v>
      </c>
      <c r="D203" s="35">
        <f>SUMIF(ecommerce_transactions!B:B,main_data!A203,ecommerce_transactions!E:E)</f>
        <v>3369.64</v>
      </c>
      <c r="E203" s="28">
        <f t="shared" si="31"/>
        <v>4</v>
      </c>
      <c r="F203" s="28">
        <f t="shared" si="32"/>
        <v>5</v>
      </c>
      <c r="G203" s="26">
        <f t="shared" si="33"/>
        <v>5</v>
      </c>
      <c r="H203" s="18" t="str">
        <f t="shared" si="34"/>
        <v>455</v>
      </c>
      <c r="I203" s="26" t="str">
        <f t="shared" si="35"/>
        <v>Champions</v>
      </c>
      <c r="J203" s="17">
        <f t="shared" si="36"/>
        <v>224.64266666666666</v>
      </c>
      <c r="K203" s="36">
        <f>_xlfn.MAXIFS(ecommerce_transactions!D:D,ecommerce_transactions!B:B,main_data!A203)</f>
        <v>45646</v>
      </c>
      <c r="L203" s="36">
        <f>_xlfn.MINIFS(ecommerce_transactions!D:D,ecommerce_transactions!B:B,main_data!A203)</f>
        <v>45593</v>
      </c>
      <c r="M203" s="19">
        <f t="shared" si="37"/>
        <v>0.14510609171800137</v>
      </c>
      <c r="N203" s="19">
        <f t="shared" si="30"/>
        <v>23.251989389920425</v>
      </c>
      <c r="O203" s="17">
        <f t="shared" si="38"/>
        <v>757.94554907161796</v>
      </c>
      <c r="P203" s="17">
        <f t="shared" si="39"/>
        <v>227.38366472148539</v>
      </c>
    </row>
    <row r="204" spans="1:16" x14ac:dyDescent="0.3">
      <c r="A204" s="26" t="str">
        <v>C0203</v>
      </c>
      <c r="B204" s="26">
        <f>_xlfn.DAYS(DATE(2024,12,31),_xlfn.MAXIFS(ecommerce_transactions!$D$2:$D$9999, ecommerce_transactions!$B$2:$B$9999, A204))</f>
        <v>2</v>
      </c>
      <c r="C204" s="26">
        <f>COUNTIF(ecommerce_transactions!B:B,main_data!A204)</f>
        <v>7</v>
      </c>
      <c r="D204" s="35">
        <f>SUMIF(ecommerce_transactions!B:B,main_data!A204,ecommerce_transactions!E:E)</f>
        <v>928.04</v>
      </c>
      <c r="E204" s="28">
        <f t="shared" si="31"/>
        <v>5</v>
      </c>
      <c r="F204" s="28">
        <f t="shared" si="32"/>
        <v>3</v>
      </c>
      <c r="G204" s="26">
        <f t="shared" si="33"/>
        <v>1</v>
      </c>
      <c r="H204" s="18" t="str">
        <f t="shared" si="34"/>
        <v>531</v>
      </c>
      <c r="I204" s="26" t="str">
        <f t="shared" si="35"/>
        <v>Lost</v>
      </c>
      <c r="J204" s="17">
        <f t="shared" si="36"/>
        <v>132.57714285714286</v>
      </c>
      <c r="K204" s="36">
        <f>_xlfn.MAXIFS(ecommerce_transactions!D:D,ecommerce_transactions!B:B,main_data!A204)</f>
        <v>45655</v>
      </c>
      <c r="L204" s="36">
        <f>_xlfn.MINIFS(ecommerce_transactions!D:D,ecommerce_transactions!B:B,main_data!A204)</f>
        <v>45616</v>
      </c>
      <c r="M204" s="19">
        <f t="shared" si="37"/>
        <v>0.10677618069815195</v>
      </c>
      <c r="N204" s="19">
        <f t="shared" si="30"/>
        <v>11.536379018612521</v>
      </c>
      <c r="O204" s="17">
        <f t="shared" si="38"/>
        <v>163.30991539763116</v>
      </c>
      <c r="P204" s="17">
        <f t="shared" si="39"/>
        <v>48.992974619289349</v>
      </c>
    </row>
    <row r="205" spans="1:16" x14ac:dyDescent="0.3">
      <c r="A205" s="26" t="str">
        <v>C0204</v>
      </c>
      <c r="B205" s="26">
        <f>_xlfn.DAYS(DATE(2024,12,31),_xlfn.MAXIFS(ecommerce_transactions!$D$2:$D$9999, ecommerce_transactions!$B$2:$B$9999, A205))</f>
        <v>186</v>
      </c>
      <c r="C205" s="26">
        <f>COUNTIF(ecommerce_transactions!B:B,main_data!A205)</f>
        <v>5</v>
      </c>
      <c r="D205" s="35">
        <f>SUMIF(ecommerce_transactions!B:B,main_data!A205,ecommerce_transactions!E:E)</f>
        <v>1515.52</v>
      </c>
      <c r="E205" s="28">
        <f t="shared" si="31"/>
        <v>1</v>
      </c>
      <c r="F205" s="28">
        <f t="shared" si="32"/>
        <v>2</v>
      </c>
      <c r="G205" s="26">
        <f t="shared" si="33"/>
        <v>2</v>
      </c>
      <c r="H205" s="18" t="str">
        <f t="shared" si="34"/>
        <v>122</v>
      </c>
      <c r="I205" s="26" t="str">
        <f t="shared" si="35"/>
        <v>About to Sleep</v>
      </c>
      <c r="J205" s="17">
        <f t="shared" si="36"/>
        <v>303.10399999999998</v>
      </c>
      <c r="K205" s="36">
        <f>_xlfn.MAXIFS(ecommerce_transactions!D:D,ecommerce_transactions!B:B,main_data!A205)</f>
        <v>45471</v>
      </c>
      <c r="L205" s="36">
        <f>_xlfn.MINIFS(ecommerce_transactions!D:D,ecommerce_transactions!B:B,main_data!A205)</f>
        <v>45332</v>
      </c>
      <c r="M205" s="19">
        <f t="shared" si="37"/>
        <v>0.3805612594113621</v>
      </c>
      <c r="N205" s="19">
        <f t="shared" si="30"/>
        <v>5.678196657598134</v>
      </c>
      <c r="O205" s="17">
        <f t="shared" si="38"/>
        <v>654.97794014768749</v>
      </c>
      <c r="P205" s="17">
        <f t="shared" si="39"/>
        <v>196.49338204430623</v>
      </c>
    </row>
    <row r="206" spans="1:16" x14ac:dyDescent="0.3">
      <c r="A206" s="26" t="str">
        <v>C0205</v>
      </c>
      <c r="B206" s="26">
        <f>_xlfn.DAYS(DATE(2024,12,31),_xlfn.MAXIFS(ecommerce_transactions!$D$2:$D$9999, ecommerce_transactions!$B$2:$B$9999, A206))</f>
        <v>121</v>
      </c>
      <c r="C206" s="26">
        <f>COUNTIF(ecommerce_transactions!B:B,main_data!A206)</f>
        <v>4</v>
      </c>
      <c r="D206" s="35">
        <f>SUMIF(ecommerce_transactions!B:B,main_data!A206,ecommerce_transactions!E:E)</f>
        <v>1419.55</v>
      </c>
      <c r="E206" s="28">
        <f t="shared" si="31"/>
        <v>1</v>
      </c>
      <c r="F206" s="28">
        <f t="shared" si="32"/>
        <v>2</v>
      </c>
      <c r="G206" s="26">
        <f t="shared" si="33"/>
        <v>2</v>
      </c>
      <c r="H206" s="18" t="str">
        <f t="shared" si="34"/>
        <v>122</v>
      </c>
      <c r="I206" s="26" t="str">
        <f t="shared" si="35"/>
        <v>About to Sleep</v>
      </c>
      <c r="J206" s="17">
        <f t="shared" si="36"/>
        <v>354.88749999999999</v>
      </c>
      <c r="K206" s="36">
        <f>_xlfn.MAXIFS(ecommerce_transactions!D:D,ecommerce_transactions!B:B,main_data!A206)</f>
        <v>45536</v>
      </c>
      <c r="L206" s="36">
        <f>_xlfn.MINIFS(ecommerce_transactions!D:D,ecommerce_transactions!B:B,main_data!A206)</f>
        <v>45336</v>
      </c>
      <c r="M206" s="19">
        <f t="shared" si="37"/>
        <v>0.54757015742642023</v>
      </c>
      <c r="N206" s="19">
        <f t="shared" si="30"/>
        <v>3.818360013067625</v>
      </c>
      <c r="O206" s="17">
        <f t="shared" si="38"/>
        <v>742.0058804312315</v>
      </c>
      <c r="P206" s="17">
        <f t="shared" si="39"/>
        <v>222.60176412936946</v>
      </c>
    </row>
    <row r="207" spans="1:16" x14ac:dyDescent="0.3">
      <c r="A207" s="26" t="str">
        <v>C0206</v>
      </c>
      <c r="B207" s="26">
        <f>_xlfn.DAYS(DATE(2024,12,31),_xlfn.MAXIFS(ecommerce_transactions!$D$2:$D$9999, ecommerce_transactions!$B$2:$B$9999, A207))</f>
        <v>187</v>
      </c>
      <c r="C207" s="26">
        <f>COUNTIF(ecommerce_transactions!B:B,main_data!A207)</f>
        <v>1</v>
      </c>
      <c r="D207" s="35">
        <f>SUMIF(ecommerce_transactions!B:B,main_data!A207,ecommerce_transactions!E:E)</f>
        <v>103.27</v>
      </c>
      <c r="E207" s="28">
        <f t="shared" si="31"/>
        <v>1</v>
      </c>
      <c r="F207" s="28">
        <f t="shared" si="32"/>
        <v>1</v>
      </c>
      <c r="G207" s="26">
        <f t="shared" si="33"/>
        <v>1</v>
      </c>
      <c r="H207" s="18" t="str">
        <f t="shared" si="34"/>
        <v>111</v>
      </c>
      <c r="I207" s="26" t="str">
        <f t="shared" si="35"/>
        <v>About to Sleep</v>
      </c>
      <c r="J207" s="17">
        <f t="shared" si="36"/>
        <v>103.27</v>
      </c>
      <c r="K207" s="36">
        <f>_xlfn.MAXIFS(ecommerce_transactions!D:D,ecommerce_transactions!B:B,main_data!A207)</f>
        <v>45470</v>
      </c>
      <c r="L207" s="36">
        <f>_xlfn.MINIFS(ecommerce_transactions!D:D,ecommerce_transactions!B:B,main_data!A207)</f>
        <v>45470</v>
      </c>
      <c r="M207" s="19">
        <f t="shared" si="37"/>
        <v>0</v>
      </c>
      <c r="N207" s="19">
        <f t="shared" si="30"/>
        <v>2</v>
      </c>
      <c r="O207" s="17">
        <f t="shared" si="38"/>
        <v>0</v>
      </c>
      <c r="P207" s="17">
        <f t="shared" si="39"/>
        <v>0</v>
      </c>
    </row>
    <row r="208" spans="1:16" x14ac:dyDescent="0.3">
      <c r="A208" s="26" t="str">
        <v>C0207</v>
      </c>
      <c r="B208" s="26">
        <f>_xlfn.DAYS(DATE(2024,12,31),_xlfn.MAXIFS(ecommerce_transactions!$D$2:$D$9999, ecommerce_transactions!$B$2:$B$9999, A208))</f>
        <v>185</v>
      </c>
      <c r="C208" s="26">
        <f>COUNTIF(ecommerce_transactions!B:B,main_data!A208)</f>
        <v>3</v>
      </c>
      <c r="D208" s="35">
        <f>SUMIF(ecommerce_transactions!B:B,main_data!A208,ecommerce_transactions!E:E)</f>
        <v>1148.9099999999999</v>
      </c>
      <c r="E208" s="28">
        <f t="shared" si="31"/>
        <v>1</v>
      </c>
      <c r="F208" s="28">
        <f t="shared" si="32"/>
        <v>1</v>
      </c>
      <c r="G208" s="26">
        <f t="shared" si="33"/>
        <v>2</v>
      </c>
      <c r="H208" s="18" t="str">
        <f t="shared" si="34"/>
        <v>112</v>
      </c>
      <c r="I208" s="26" t="str">
        <f t="shared" si="35"/>
        <v>About to Sleep</v>
      </c>
      <c r="J208" s="17">
        <f t="shared" si="36"/>
        <v>382.96999999999997</v>
      </c>
      <c r="K208" s="36">
        <f>_xlfn.MAXIFS(ecommerce_transactions!D:D,ecommerce_transactions!B:B,main_data!A208)</f>
        <v>45472</v>
      </c>
      <c r="L208" s="36">
        <f>_xlfn.MINIFS(ecommerce_transactions!D:D,ecommerce_transactions!B:B,main_data!A208)</f>
        <v>45403</v>
      </c>
      <c r="M208" s="19">
        <f t="shared" si="37"/>
        <v>0.18891170431211499</v>
      </c>
      <c r="N208" s="19">
        <f t="shared" si="30"/>
        <v>4.3546944858420265</v>
      </c>
      <c r="O208" s="17">
        <f t="shared" si="38"/>
        <v>315.05132637853944</v>
      </c>
      <c r="P208" s="17">
        <f t="shared" si="39"/>
        <v>94.515397913561827</v>
      </c>
    </row>
    <row r="209" spans="1:16" x14ac:dyDescent="0.3">
      <c r="A209" s="26" t="str">
        <v>C0208</v>
      </c>
      <c r="B209" s="26">
        <f>_xlfn.DAYS(DATE(2024,12,31),_xlfn.MAXIFS(ecommerce_transactions!$D$2:$D$9999, ecommerce_transactions!$B$2:$B$9999, A209))</f>
        <v>58</v>
      </c>
      <c r="C209" s="26">
        <f>COUNTIF(ecommerce_transactions!B:B,main_data!A209)</f>
        <v>8</v>
      </c>
      <c r="D209" s="35">
        <f>SUMIF(ecommerce_transactions!B:B,main_data!A209,ecommerce_transactions!E:E)</f>
        <v>1566.1299999999999</v>
      </c>
      <c r="E209" s="28">
        <f t="shared" si="31"/>
        <v>2</v>
      </c>
      <c r="F209" s="28">
        <f t="shared" si="32"/>
        <v>3</v>
      </c>
      <c r="G209" s="26">
        <f t="shared" si="33"/>
        <v>3</v>
      </c>
      <c r="H209" s="18" t="str">
        <f t="shared" si="34"/>
        <v>233</v>
      </c>
      <c r="I209" s="26" t="str">
        <f t="shared" si="35"/>
        <v>At Risk</v>
      </c>
      <c r="J209" s="17">
        <f t="shared" si="36"/>
        <v>195.76624999999999</v>
      </c>
      <c r="K209" s="36">
        <f>_xlfn.MAXIFS(ecommerce_transactions!D:D,ecommerce_transactions!B:B,main_data!A209)</f>
        <v>45599</v>
      </c>
      <c r="L209" s="36">
        <f>_xlfn.MINIFS(ecommerce_transactions!D:D,ecommerce_transactions!B:B,main_data!A209)</f>
        <v>45448</v>
      </c>
      <c r="M209" s="19">
        <f t="shared" si="37"/>
        <v>0.4134154688569473</v>
      </c>
      <c r="N209" s="19">
        <f t="shared" si="30"/>
        <v>8.7583364556013485</v>
      </c>
      <c r="O209" s="17">
        <f t="shared" si="38"/>
        <v>708.83665792431611</v>
      </c>
      <c r="P209" s="17">
        <f t="shared" si="39"/>
        <v>212.65099737729483</v>
      </c>
    </row>
    <row r="210" spans="1:16" x14ac:dyDescent="0.3">
      <c r="A210" s="26" t="str">
        <v>C0209</v>
      </c>
      <c r="B210" s="26">
        <f>_xlfn.DAYS(DATE(2024,12,31),_xlfn.MAXIFS(ecommerce_transactions!$D$2:$D$9999, ecommerce_transactions!$B$2:$B$9999, A210))</f>
        <v>1</v>
      </c>
      <c r="C210" s="26">
        <f>COUNTIF(ecommerce_transactions!B:B,main_data!A210)</f>
        <v>14</v>
      </c>
      <c r="D210" s="35">
        <f>SUMIF(ecommerce_transactions!B:B,main_data!A210,ecommerce_transactions!E:E)</f>
        <v>3977.88</v>
      </c>
      <c r="E210" s="28">
        <f t="shared" si="31"/>
        <v>5</v>
      </c>
      <c r="F210" s="28">
        <f t="shared" si="32"/>
        <v>5</v>
      </c>
      <c r="G210" s="26">
        <f t="shared" si="33"/>
        <v>5</v>
      </c>
      <c r="H210" s="18" t="str">
        <f t="shared" si="34"/>
        <v>555</v>
      </c>
      <c r="I210" s="26" t="str">
        <f t="shared" si="35"/>
        <v>Champions</v>
      </c>
      <c r="J210" s="17">
        <f t="shared" si="36"/>
        <v>284.13428571428574</v>
      </c>
      <c r="K210" s="36">
        <f>_xlfn.MAXIFS(ecommerce_transactions!D:D,ecommerce_transactions!B:B,main_data!A210)</f>
        <v>45656</v>
      </c>
      <c r="L210" s="36">
        <f>_xlfn.MINIFS(ecommerce_transactions!D:D,ecommerce_transactions!B:B,main_data!A210)</f>
        <v>45084</v>
      </c>
      <c r="M210" s="19">
        <f t="shared" si="37"/>
        <v>1.5660506502395619</v>
      </c>
      <c r="N210" s="19">
        <f t="shared" si="30"/>
        <v>6.7762133510021538</v>
      </c>
      <c r="O210" s="17">
        <f t="shared" si="38"/>
        <v>3015.2027298326989</v>
      </c>
      <c r="P210" s="17">
        <f t="shared" si="39"/>
        <v>904.56081894980969</v>
      </c>
    </row>
    <row r="211" spans="1:16" x14ac:dyDescent="0.3">
      <c r="A211" s="26" t="str">
        <v>C0210</v>
      </c>
      <c r="B211" s="26">
        <f>_xlfn.DAYS(DATE(2024,12,31),_xlfn.MAXIFS(ecommerce_transactions!$D$2:$D$9999, ecommerce_transactions!$B$2:$B$9999, A211))</f>
        <v>87</v>
      </c>
      <c r="C211" s="26">
        <f>COUNTIF(ecommerce_transactions!B:B,main_data!A211)</f>
        <v>15</v>
      </c>
      <c r="D211" s="35">
        <f>SUMIF(ecommerce_transactions!B:B,main_data!A211,ecommerce_transactions!E:E)</f>
        <v>3879.23</v>
      </c>
      <c r="E211" s="28">
        <f t="shared" si="31"/>
        <v>2</v>
      </c>
      <c r="F211" s="28">
        <f t="shared" si="32"/>
        <v>5</v>
      </c>
      <c r="G211" s="26">
        <f t="shared" si="33"/>
        <v>5</v>
      </c>
      <c r="H211" s="18" t="str">
        <f t="shared" si="34"/>
        <v>255</v>
      </c>
      <c r="I211" s="26" t="str">
        <f t="shared" si="35"/>
        <v>At Risk</v>
      </c>
      <c r="J211" s="17">
        <f t="shared" si="36"/>
        <v>258.61533333333335</v>
      </c>
      <c r="K211" s="36">
        <f>_xlfn.MAXIFS(ecommerce_transactions!D:D,ecommerce_transactions!B:B,main_data!A211)</f>
        <v>45570</v>
      </c>
      <c r="L211" s="36">
        <f>_xlfn.MINIFS(ecommerce_transactions!D:D,ecommerce_transactions!B:B,main_data!A211)</f>
        <v>45242</v>
      </c>
      <c r="M211" s="19">
        <f t="shared" si="37"/>
        <v>0.89801505817932925</v>
      </c>
      <c r="N211" s="19">
        <f t="shared" si="30"/>
        <v>10.729498164014688</v>
      </c>
      <c r="O211" s="17">
        <f t="shared" si="38"/>
        <v>2491.823627906977</v>
      </c>
      <c r="P211" s="17">
        <f t="shared" si="39"/>
        <v>747.54708837209307</v>
      </c>
    </row>
    <row r="212" spans="1:16" x14ac:dyDescent="0.3">
      <c r="A212" s="26" t="str">
        <v>C0211</v>
      </c>
      <c r="B212" s="26">
        <f>_xlfn.DAYS(DATE(2024,12,31),_xlfn.MAXIFS(ecommerce_transactions!$D$2:$D$9999, ecommerce_transactions!$B$2:$B$9999, A212))</f>
        <v>4</v>
      </c>
      <c r="C212" s="26">
        <f>COUNTIF(ecommerce_transactions!B:B,main_data!A212)</f>
        <v>12</v>
      </c>
      <c r="D212" s="35">
        <f>SUMIF(ecommerce_transactions!B:B,main_data!A212,ecommerce_transactions!E:E)</f>
        <v>3180.5699999999988</v>
      </c>
      <c r="E212" s="28">
        <f t="shared" si="31"/>
        <v>5</v>
      </c>
      <c r="F212" s="28">
        <f t="shared" si="32"/>
        <v>5</v>
      </c>
      <c r="G212" s="26">
        <f t="shared" si="33"/>
        <v>5</v>
      </c>
      <c r="H212" s="18" t="str">
        <f t="shared" si="34"/>
        <v>555</v>
      </c>
      <c r="I212" s="26" t="str">
        <f t="shared" si="35"/>
        <v>Champions</v>
      </c>
      <c r="J212" s="17">
        <f t="shared" si="36"/>
        <v>265.0474999999999</v>
      </c>
      <c r="K212" s="36">
        <f>_xlfn.MAXIFS(ecommerce_transactions!D:D,ecommerce_transactions!B:B,main_data!A212)</f>
        <v>45653</v>
      </c>
      <c r="L212" s="36">
        <f>_xlfn.MINIFS(ecommerce_transactions!D:D,ecommerce_transactions!B:B,main_data!A212)</f>
        <v>45388</v>
      </c>
      <c r="M212" s="19">
        <f t="shared" si="37"/>
        <v>0.72553045859000687</v>
      </c>
      <c r="N212" s="19">
        <f t="shared" si="30"/>
        <v>9.7916783021502365</v>
      </c>
      <c r="O212" s="17">
        <f t="shared" si="38"/>
        <v>1882.9400726054166</v>
      </c>
      <c r="P212" s="17">
        <f t="shared" si="39"/>
        <v>564.88202178162499</v>
      </c>
    </row>
    <row r="213" spans="1:16" x14ac:dyDescent="0.3">
      <c r="A213" s="26" t="str">
        <v>C0212</v>
      </c>
      <c r="B213" s="26">
        <f>_xlfn.DAYS(DATE(2024,12,31),_xlfn.MAXIFS(ecommerce_transactions!$D$2:$D$9999, ecommerce_transactions!$B$2:$B$9999, A213))</f>
        <v>158</v>
      </c>
      <c r="C213" s="26">
        <f>COUNTIF(ecommerce_transactions!B:B,main_data!A213)</f>
        <v>2</v>
      </c>
      <c r="D213" s="35">
        <f>SUMIF(ecommerce_transactions!B:B,main_data!A213,ecommerce_transactions!E:E)</f>
        <v>202.45</v>
      </c>
      <c r="E213" s="28">
        <f t="shared" si="31"/>
        <v>1</v>
      </c>
      <c r="F213" s="28">
        <f t="shared" si="32"/>
        <v>1</v>
      </c>
      <c r="G213" s="26">
        <f t="shared" si="33"/>
        <v>1</v>
      </c>
      <c r="H213" s="18" t="str">
        <f t="shared" si="34"/>
        <v>111</v>
      </c>
      <c r="I213" s="26" t="str">
        <f t="shared" si="35"/>
        <v>About to Sleep</v>
      </c>
      <c r="J213" s="17">
        <f t="shared" si="36"/>
        <v>101.22499999999999</v>
      </c>
      <c r="K213" s="36">
        <f>_xlfn.MAXIFS(ecommerce_transactions!D:D,ecommerce_transactions!B:B,main_data!A213)</f>
        <v>45499</v>
      </c>
      <c r="L213" s="36">
        <f>_xlfn.MINIFS(ecommerce_transactions!D:D,ecommerce_transactions!B:B,main_data!A213)</f>
        <v>45326</v>
      </c>
      <c r="M213" s="19">
        <f t="shared" si="37"/>
        <v>0.47364818617385351</v>
      </c>
      <c r="N213" s="19">
        <f t="shared" si="30"/>
        <v>2.0541300527240773</v>
      </c>
      <c r="O213" s="17">
        <f t="shared" si="38"/>
        <v>98.485342706502621</v>
      </c>
      <c r="P213" s="17">
        <f t="shared" si="39"/>
        <v>29.545602811950786</v>
      </c>
    </row>
    <row r="214" spans="1:16" x14ac:dyDescent="0.3">
      <c r="A214" s="26" t="str">
        <v>C0213</v>
      </c>
      <c r="B214" s="26">
        <f>_xlfn.DAYS(DATE(2024,12,31),_xlfn.MAXIFS(ecommerce_transactions!$D$2:$D$9999, ecommerce_transactions!$B$2:$B$9999, A214))</f>
        <v>59</v>
      </c>
      <c r="C214" s="26">
        <f>COUNTIF(ecommerce_transactions!B:B,main_data!A214)</f>
        <v>12</v>
      </c>
      <c r="D214" s="35">
        <f>SUMIF(ecommerce_transactions!B:B,main_data!A214,ecommerce_transactions!E:E)</f>
        <v>2609.2000000000003</v>
      </c>
      <c r="E214" s="28">
        <f t="shared" si="31"/>
        <v>2</v>
      </c>
      <c r="F214" s="28">
        <f t="shared" si="32"/>
        <v>5</v>
      </c>
      <c r="G214" s="26">
        <f t="shared" si="33"/>
        <v>4</v>
      </c>
      <c r="H214" s="18" t="str">
        <f t="shared" si="34"/>
        <v>254</v>
      </c>
      <c r="I214" s="26" t="str">
        <f t="shared" si="35"/>
        <v>At Risk</v>
      </c>
      <c r="J214" s="17">
        <f t="shared" si="36"/>
        <v>217.43333333333337</v>
      </c>
      <c r="K214" s="36">
        <f>_xlfn.MAXIFS(ecommerce_transactions!D:D,ecommerce_transactions!B:B,main_data!A214)</f>
        <v>45598</v>
      </c>
      <c r="L214" s="36">
        <f>_xlfn.MINIFS(ecommerce_transactions!D:D,ecommerce_transactions!B:B,main_data!A214)</f>
        <v>45336</v>
      </c>
      <c r="M214" s="19">
        <f t="shared" si="37"/>
        <v>0.71731690622861055</v>
      </c>
      <c r="N214" s="19">
        <f t="shared" si="30"/>
        <v>9.8577452909755401</v>
      </c>
      <c r="O214" s="17">
        <f t="shared" si="38"/>
        <v>1537.4987911161093</v>
      </c>
      <c r="P214" s="17">
        <f t="shared" si="39"/>
        <v>461.24963733483276</v>
      </c>
    </row>
    <row r="215" spans="1:16" x14ac:dyDescent="0.3">
      <c r="A215" s="26" t="str">
        <v>C0214</v>
      </c>
      <c r="B215" s="26">
        <f>_xlfn.DAYS(DATE(2024,12,31),_xlfn.MAXIFS(ecommerce_transactions!$D$2:$D$9999, ecommerce_transactions!$B$2:$B$9999, A215))</f>
        <v>36</v>
      </c>
      <c r="C215" s="26">
        <f>COUNTIF(ecommerce_transactions!B:B,main_data!A215)</f>
        <v>8</v>
      </c>
      <c r="D215" s="35">
        <f>SUMIF(ecommerce_transactions!B:B,main_data!A215,ecommerce_transactions!E:E)</f>
        <v>1530.66</v>
      </c>
      <c r="E215" s="28">
        <f t="shared" si="31"/>
        <v>3</v>
      </c>
      <c r="F215" s="28">
        <f t="shared" si="32"/>
        <v>3</v>
      </c>
      <c r="G215" s="26">
        <f t="shared" si="33"/>
        <v>2</v>
      </c>
      <c r="H215" s="18" t="str">
        <f t="shared" si="34"/>
        <v>332</v>
      </c>
      <c r="I215" s="26" t="str">
        <f t="shared" si="35"/>
        <v>Lost</v>
      </c>
      <c r="J215" s="17">
        <f t="shared" si="36"/>
        <v>191.33250000000001</v>
      </c>
      <c r="K215" s="36">
        <f>_xlfn.MAXIFS(ecommerce_transactions!D:D,ecommerce_transactions!B:B,main_data!A215)</f>
        <v>45621</v>
      </c>
      <c r="L215" s="36">
        <f>_xlfn.MINIFS(ecommerce_transactions!D:D,ecommerce_transactions!B:B,main_data!A215)</f>
        <v>45428</v>
      </c>
      <c r="M215" s="19">
        <f t="shared" si="37"/>
        <v>0.52840520191649554</v>
      </c>
      <c r="N215" s="19">
        <f t="shared" si="30"/>
        <v>7.7790349417637268</v>
      </c>
      <c r="O215" s="17">
        <f t="shared" si="38"/>
        <v>786.46889850249579</v>
      </c>
      <c r="P215" s="17">
        <f t="shared" si="39"/>
        <v>235.94066955074874</v>
      </c>
    </row>
    <row r="216" spans="1:16" x14ac:dyDescent="0.3">
      <c r="A216" s="26" t="str">
        <v>C0215</v>
      </c>
      <c r="B216" s="26">
        <f>_xlfn.DAYS(DATE(2024,12,31),_xlfn.MAXIFS(ecommerce_transactions!$D$2:$D$9999, ecommerce_transactions!$B$2:$B$9999, A216))</f>
        <v>41</v>
      </c>
      <c r="C216" s="26">
        <f>COUNTIF(ecommerce_transactions!B:B,main_data!A216)</f>
        <v>13</v>
      </c>
      <c r="D216" s="35">
        <f>SUMIF(ecommerce_transactions!B:B,main_data!A216,ecommerce_transactions!E:E)</f>
        <v>4119.2700000000004</v>
      </c>
      <c r="E216" s="28">
        <f t="shared" si="31"/>
        <v>3</v>
      </c>
      <c r="F216" s="28">
        <f t="shared" si="32"/>
        <v>5</v>
      </c>
      <c r="G216" s="26">
        <f t="shared" si="33"/>
        <v>5</v>
      </c>
      <c r="H216" s="18" t="str">
        <f t="shared" si="34"/>
        <v>355</v>
      </c>
      <c r="I216" s="26" t="str">
        <f t="shared" si="35"/>
        <v>Loyal Customers</v>
      </c>
      <c r="J216" s="17">
        <f t="shared" si="36"/>
        <v>316.86692307692311</v>
      </c>
      <c r="K216" s="36">
        <f>_xlfn.MAXIFS(ecommerce_transactions!D:D,ecommerce_transactions!B:B,main_data!A216)</f>
        <v>45616</v>
      </c>
      <c r="L216" s="36">
        <f>_xlfn.MINIFS(ecommerce_transactions!D:D,ecommerce_transactions!B:B,main_data!A216)</f>
        <v>45394</v>
      </c>
      <c r="M216" s="19">
        <f t="shared" si="37"/>
        <v>0.6078028747433265</v>
      </c>
      <c r="N216" s="19">
        <f t="shared" si="30"/>
        <v>11.734939759036143</v>
      </c>
      <c r="O216" s="17">
        <f t="shared" si="38"/>
        <v>2260.0628730305839</v>
      </c>
      <c r="P216" s="17">
        <f t="shared" si="39"/>
        <v>678.01886190917514</v>
      </c>
    </row>
    <row r="217" spans="1:16" x14ac:dyDescent="0.3">
      <c r="A217" s="26" t="str">
        <v>C0216</v>
      </c>
      <c r="B217" s="26">
        <f>_xlfn.DAYS(DATE(2024,12,31),_xlfn.MAXIFS(ecommerce_transactions!$D$2:$D$9999, ecommerce_transactions!$B$2:$B$9999, A217))</f>
        <v>215</v>
      </c>
      <c r="C217" s="26">
        <f>COUNTIF(ecommerce_transactions!B:B,main_data!A217)</f>
        <v>7</v>
      </c>
      <c r="D217" s="35">
        <f>SUMIF(ecommerce_transactions!B:B,main_data!A217,ecommerce_transactions!E:E)</f>
        <v>1573.31</v>
      </c>
      <c r="E217" s="28">
        <f t="shared" si="31"/>
        <v>1</v>
      </c>
      <c r="F217" s="28">
        <f t="shared" si="32"/>
        <v>3</v>
      </c>
      <c r="G217" s="26">
        <f t="shared" si="33"/>
        <v>3</v>
      </c>
      <c r="H217" s="18" t="str">
        <f t="shared" si="34"/>
        <v>133</v>
      </c>
      <c r="I217" s="26" t="str">
        <f t="shared" si="35"/>
        <v>At Risk</v>
      </c>
      <c r="J217" s="17">
        <f t="shared" si="36"/>
        <v>224.75857142857143</v>
      </c>
      <c r="K217" s="36">
        <f>_xlfn.MAXIFS(ecommerce_transactions!D:D,ecommerce_transactions!B:B,main_data!A217)</f>
        <v>45442</v>
      </c>
      <c r="L217" s="36">
        <f>_xlfn.MINIFS(ecommerce_transactions!D:D,ecommerce_transactions!B:B,main_data!A217)</f>
        <v>45045</v>
      </c>
      <c r="M217" s="19">
        <f t="shared" si="37"/>
        <v>1.0869267624914443</v>
      </c>
      <c r="N217" s="19">
        <f t="shared" si="30"/>
        <v>4.4110416217381925</v>
      </c>
      <c r="O217" s="17">
        <f t="shared" si="38"/>
        <v>1077.6002932930774</v>
      </c>
      <c r="P217" s="17">
        <f t="shared" si="39"/>
        <v>323.2800879879232</v>
      </c>
    </row>
    <row r="218" spans="1:16" x14ac:dyDescent="0.3">
      <c r="A218" s="26" t="str">
        <v>C0217</v>
      </c>
      <c r="B218" s="26">
        <f>_xlfn.DAYS(DATE(2024,12,31),_xlfn.MAXIFS(ecommerce_transactions!$D$2:$D$9999, ecommerce_transactions!$B$2:$B$9999, A218))</f>
        <v>9</v>
      </c>
      <c r="C218" s="26">
        <f>COUNTIF(ecommerce_transactions!B:B,main_data!A218)</f>
        <v>10</v>
      </c>
      <c r="D218" s="35">
        <f>SUMIF(ecommerce_transactions!B:B,main_data!A218,ecommerce_transactions!E:E)</f>
        <v>2468.7199999999998</v>
      </c>
      <c r="E218" s="28">
        <f t="shared" si="31"/>
        <v>4</v>
      </c>
      <c r="F218" s="28">
        <f t="shared" si="32"/>
        <v>4</v>
      </c>
      <c r="G218" s="26">
        <f t="shared" si="33"/>
        <v>4</v>
      </c>
      <c r="H218" s="18" t="str">
        <f t="shared" si="34"/>
        <v>444</v>
      </c>
      <c r="I218" s="26" t="str">
        <f t="shared" si="35"/>
        <v>Champions</v>
      </c>
      <c r="J218" s="17">
        <f t="shared" si="36"/>
        <v>246.87199999999999</v>
      </c>
      <c r="K218" s="36">
        <f>_xlfn.MAXIFS(ecommerce_transactions!D:D,ecommerce_transactions!B:B,main_data!A218)</f>
        <v>45648</v>
      </c>
      <c r="L218" s="36">
        <f>_xlfn.MINIFS(ecommerce_transactions!D:D,ecommerce_transactions!B:B,main_data!A218)</f>
        <v>45564</v>
      </c>
      <c r="M218" s="19">
        <f t="shared" si="37"/>
        <v>0.2299794661190965</v>
      </c>
      <c r="N218" s="19">
        <f t="shared" si="30"/>
        <v>13.699015471167371</v>
      </c>
      <c r="O218" s="17">
        <f t="shared" si="38"/>
        <v>777.76832630098454</v>
      </c>
      <c r="P218" s="17">
        <f t="shared" si="39"/>
        <v>233.33049789029536</v>
      </c>
    </row>
    <row r="219" spans="1:16" x14ac:dyDescent="0.3">
      <c r="A219" s="26" t="str">
        <v>C0218</v>
      </c>
      <c r="B219" s="26">
        <f>_xlfn.DAYS(DATE(2024,12,31),_xlfn.MAXIFS(ecommerce_transactions!$D$2:$D$9999, ecommerce_transactions!$B$2:$B$9999, A219))</f>
        <v>43</v>
      </c>
      <c r="C219" s="26">
        <f>COUNTIF(ecommerce_transactions!B:B,main_data!A219)</f>
        <v>4</v>
      </c>
      <c r="D219" s="35">
        <f>SUMIF(ecommerce_transactions!B:B,main_data!A219,ecommerce_transactions!E:E)</f>
        <v>1155.74</v>
      </c>
      <c r="E219" s="28">
        <f t="shared" si="31"/>
        <v>3</v>
      </c>
      <c r="F219" s="28">
        <f t="shared" si="32"/>
        <v>2</v>
      </c>
      <c r="G219" s="26">
        <f t="shared" si="33"/>
        <v>2</v>
      </c>
      <c r="H219" s="18" t="str">
        <f t="shared" si="34"/>
        <v>322</v>
      </c>
      <c r="I219" s="26" t="str">
        <f t="shared" si="35"/>
        <v>Lost</v>
      </c>
      <c r="J219" s="17">
        <f t="shared" si="36"/>
        <v>288.935</v>
      </c>
      <c r="K219" s="36">
        <f>_xlfn.MAXIFS(ecommerce_transactions!D:D,ecommerce_transactions!B:B,main_data!A219)</f>
        <v>45614</v>
      </c>
      <c r="L219" s="36">
        <f>_xlfn.MINIFS(ecommerce_transactions!D:D,ecommerce_transactions!B:B,main_data!A219)</f>
        <v>45600</v>
      </c>
      <c r="M219" s="19">
        <f t="shared" si="37"/>
        <v>3.8329911019849415E-2</v>
      </c>
      <c r="N219" s="19">
        <f t="shared" si="30"/>
        <v>7.4303877940241581</v>
      </c>
      <c r="O219" s="17">
        <f t="shared" si="38"/>
        <v>82.290451366815006</v>
      </c>
      <c r="P219" s="17">
        <f t="shared" si="39"/>
        <v>24.687135410044501</v>
      </c>
    </row>
    <row r="220" spans="1:16" x14ac:dyDescent="0.3">
      <c r="A220" s="26" t="str">
        <v>C0219</v>
      </c>
      <c r="B220" s="26">
        <f>_xlfn.DAYS(DATE(2024,12,31),_xlfn.MAXIFS(ecommerce_transactions!$D$2:$D$9999, ecommerce_transactions!$B$2:$B$9999, A220))</f>
        <v>190</v>
      </c>
      <c r="C220" s="26">
        <f>COUNTIF(ecommerce_transactions!B:B,main_data!A220)</f>
        <v>4</v>
      </c>
      <c r="D220" s="35">
        <f>SUMIF(ecommerce_transactions!B:B,main_data!A220,ecommerce_transactions!E:E)</f>
        <v>1161.7199999999998</v>
      </c>
      <c r="E220" s="28">
        <f t="shared" si="31"/>
        <v>1</v>
      </c>
      <c r="F220" s="28">
        <f t="shared" si="32"/>
        <v>2</v>
      </c>
      <c r="G220" s="26">
        <f t="shared" si="33"/>
        <v>2</v>
      </c>
      <c r="H220" s="18" t="str">
        <f t="shared" si="34"/>
        <v>122</v>
      </c>
      <c r="I220" s="26" t="str">
        <f t="shared" si="35"/>
        <v>About to Sleep</v>
      </c>
      <c r="J220" s="17">
        <f t="shared" si="36"/>
        <v>290.42999999999995</v>
      </c>
      <c r="K220" s="36">
        <f>_xlfn.MAXIFS(ecommerce_transactions!D:D,ecommerce_transactions!B:B,main_data!A220)</f>
        <v>45467</v>
      </c>
      <c r="L220" s="36">
        <f>_xlfn.MINIFS(ecommerce_transactions!D:D,ecommerce_transactions!B:B,main_data!A220)</f>
        <v>45193</v>
      </c>
      <c r="M220" s="19">
        <f t="shared" si="37"/>
        <v>0.75017111567419581</v>
      </c>
      <c r="N220" s="19">
        <f t="shared" si="30"/>
        <v>3.1995620038324661</v>
      </c>
      <c r="O220" s="17">
        <f t="shared" si="38"/>
        <v>697.09560361346826</v>
      </c>
      <c r="P220" s="17">
        <f t="shared" si="39"/>
        <v>209.12868108404047</v>
      </c>
    </row>
    <row r="221" spans="1:16" x14ac:dyDescent="0.3">
      <c r="A221" s="26" t="str">
        <v>C0220</v>
      </c>
      <c r="B221" s="26">
        <f>_xlfn.DAYS(DATE(2024,12,31),_xlfn.MAXIFS(ecommerce_transactions!$D$2:$D$9999, ecommerce_transactions!$B$2:$B$9999, A221))</f>
        <v>73</v>
      </c>
      <c r="C221" s="26">
        <f>COUNTIF(ecommerce_transactions!B:B,main_data!A221)</f>
        <v>10</v>
      </c>
      <c r="D221" s="35">
        <f>SUMIF(ecommerce_transactions!B:B,main_data!A221,ecommerce_transactions!E:E)</f>
        <v>1917.9099999999999</v>
      </c>
      <c r="E221" s="28">
        <f t="shared" si="31"/>
        <v>2</v>
      </c>
      <c r="F221" s="28">
        <f t="shared" si="32"/>
        <v>4</v>
      </c>
      <c r="G221" s="26">
        <f t="shared" si="33"/>
        <v>3</v>
      </c>
      <c r="H221" s="18" t="str">
        <f t="shared" si="34"/>
        <v>243</v>
      </c>
      <c r="I221" s="26" t="str">
        <f t="shared" si="35"/>
        <v>At Risk</v>
      </c>
      <c r="J221" s="17">
        <f t="shared" si="36"/>
        <v>191.791</v>
      </c>
      <c r="K221" s="36">
        <f>_xlfn.MAXIFS(ecommerce_transactions!D:D,ecommerce_transactions!B:B,main_data!A221)</f>
        <v>45584</v>
      </c>
      <c r="L221" s="36">
        <f>_xlfn.MINIFS(ecommerce_transactions!D:D,ecommerce_transactions!B:B,main_data!A221)</f>
        <v>45176</v>
      </c>
      <c r="M221" s="19">
        <f t="shared" si="37"/>
        <v>1.1170431211498972</v>
      </c>
      <c r="N221" s="19">
        <f t="shared" si="30"/>
        <v>6.1841269841269844</v>
      </c>
      <c r="O221" s="17">
        <f t="shared" si="38"/>
        <v>1324.8800507936508</v>
      </c>
      <c r="P221" s="17">
        <f t="shared" si="39"/>
        <v>397.46401523809521</v>
      </c>
    </row>
    <row r="222" spans="1:16" x14ac:dyDescent="0.3">
      <c r="A222" s="26" t="str">
        <v>C0221</v>
      </c>
      <c r="B222" s="26">
        <f>_xlfn.DAYS(DATE(2024,12,31),_xlfn.MAXIFS(ecommerce_transactions!$D$2:$D$9999, ecommerce_transactions!$B$2:$B$9999, A222))</f>
        <v>193</v>
      </c>
      <c r="C222" s="26">
        <f>COUNTIF(ecommerce_transactions!B:B,main_data!A222)</f>
        <v>4</v>
      </c>
      <c r="D222" s="35">
        <f>SUMIF(ecommerce_transactions!B:B,main_data!A222,ecommerce_transactions!E:E)</f>
        <v>1031.19</v>
      </c>
      <c r="E222" s="28">
        <f t="shared" si="31"/>
        <v>1</v>
      </c>
      <c r="F222" s="28">
        <f t="shared" si="32"/>
        <v>2</v>
      </c>
      <c r="G222" s="26">
        <f t="shared" si="33"/>
        <v>2</v>
      </c>
      <c r="H222" s="18" t="str">
        <f t="shared" si="34"/>
        <v>122</v>
      </c>
      <c r="I222" s="26" t="str">
        <f t="shared" si="35"/>
        <v>About to Sleep</v>
      </c>
      <c r="J222" s="17">
        <f t="shared" si="36"/>
        <v>257.79750000000001</v>
      </c>
      <c r="K222" s="36">
        <f>_xlfn.MAXIFS(ecommerce_transactions!D:D,ecommerce_transactions!B:B,main_data!A222)</f>
        <v>45464</v>
      </c>
      <c r="L222" s="36">
        <f>_xlfn.MINIFS(ecommerce_transactions!D:D,ecommerce_transactions!B:B,main_data!A222)</f>
        <v>45166</v>
      </c>
      <c r="M222" s="19">
        <f t="shared" si="37"/>
        <v>0.81587953456536622</v>
      </c>
      <c r="N222" s="19">
        <f t="shared" si="30"/>
        <v>3.0397919375812745</v>
      </c>
      <c r="O222" s="17">
        <f t="shared" si="38"/>
        <v>639.36461898569587</v>
      </c>
      <c r="P222" s="17">
        <f t="shared" si="39"/>
        <v>191.80938569570876</v>
      </c>
    </row>
    <row r="223" spans="1:16" x14ac:dyDescent="0.3">
      <c r="A223" s="26" t="str">
        <v>C0222</v>
      </c>
      <c r="B223" s="26">
        <f>_xlfn.DAYS(DATE(2024,12,31),_xlfn.MAXIFS(ecommerce_transactions!$D$2:$D$9999, ecommerce_transactions!$B$2:$B$9999, A223))</f>
        <v>1</v>
      </c>
      <c r="C223" s="26">
        <f>COUNTIF(ecommerce_transactions!B:B,main_data!A223)</f>
        <v>13</v>
      </c>
      <c r="D223" s="35">
        <f>SUMIF(ecommerce_transactions!B:B,main_data!A223,ecommerce_transactions!E:E)</f>
        <v>3478.87</v>
      </c>
      <c r="E223" s="28">
        <f t="shared" si="31"/>
        <v>5</v>
      </c>
      <c r="F223" s="28">
        <f t="shared" si="32"/>
        <v>5</v>
      </c>
      <c r="G223" s="26">
        <f t="shared" si="33"/>
        <v>5</v>
      </c>
      <c r="H223" s="18" t="str">
        <f t="shared" si="34"/>
        <v>555</v>
      </c>
      <c r="I223" s="26" t="str">
        <f t="shared" si="35"/>
        <v>Champions</v>
      </c>
      <c r="J223" s="17">
        <f t="shared" si="36"/>
        <v>267.60538461538459</v>
      </c>
      <c r="K223" s="36">
        <f>_xlfn.MAXIFS(ecommerce_transactions!D:D,ecommerce_transactions!B:B,main_data!A223)</f>
        <v>45656</v>
      </c>
      <c r="L223" s="36">
        <f>_xlfn.MINIFS(ecommerce_transactions!D:D,ecommerce_transactions!B:B,main_data!A223)</f>
        <v>45589</v>
      </c>
      <c r="M223" s="19">
        <f t="shared" si="37"/>
        <v>0.1834360027378508</v>
      </c>
      <c r="N223" s="19">
        <f t="shared" si="30"/>
        <v>19.021532298447671</v>
      </c>
      <c r="O223" s="17">
        <f t="shared" si="38"/>
        <v>933.7377666499749</v>
      </c>
      <c r="P223" s="17">
        <f t="shared" si="39"/>
        <v>280.12132999499244</v>
      </c>
    </row>
    <row r="224" spans="1:16" x14ac:dyDescent="0.3">
      <c r="A224" s="26" t="str">
        <v>C0223</v>
      </c>
      <c r="B224" s="26">
        <f>_xlfn.DAYS(DATE(2024,12,31),_xlfn.MAXIFS(ecommerce_transactions!$D$2:$D$9999, ecommerce_transactions!$B$2:$B$9999, A224))</f>
        <v>215</v>
      </c>
      <c r="C224" s="26">
        <f>COUNTIF(ecommerce_transactions!B:B,main_data!A224)</f>
        <v>2</v>
      </c>
      <c r="D224" s="35">
        <f>SUMIF(ecommerce_transactions!B:B,main_data!A224,ecommerce_transactions!E:E)</f>
        <v>434.6</v>
      </c>
      <c r="E224" s="28">
        <f t="shared" si="31"/>
        <v>1</v>
      </c>
      <c r="F224" s="28">
        <f t="shared" si="32"/>
        <v>1</v>
      </c>
      <c r="G224" s="26">
        <f t="shared" si="33"/>
        <v>1</v>
      </c>
      <c r="H224" s="18" t="str">
        <f t="shared" si="34"/>
        <v>111</v>
      </c>
      <c r="I224" s="26" t="str">
        <f t="shared" si="35"/>
        <v>About to Sleep</v>
      </c>
      <c r="J224" s="17">
        <f t="shared" si="36"/>
        <v>217.3</v>
      </c>
      <c r="K224" s="36">
        <f>_xlfn.MAXIFS(ecommerce_transactions!D:D,ecommerce_transactions!B:B,main_data!A224)</f>
        <v>45442</v>
      </c>
      <c r="L224" s="36">
        <f>_xlfn.MINIFS(ecommerce_transactions!D:D,ecommerce_transactions!B:B,main_data!A224)</f>
        <v>45433</v>
      </c>
      <c r="M224" s="19">
        <f t="shared" si="37"/>
        <v>2.4640657084188913E-2</v>
      </c>
      <c r="N224" s="19">
        <f t="shared" si="30"/>
        <v>3.8121330724070446</v>
      </c>
      <c r="O224" s="17">
        <f t="shared" si="38"/>
        <v>20.411741682974561</v>
      </c>
      <c r="P224" s="17">
        <f t="shared" si="39"/>
        <v>6.1235225048923683</v>
      </c>
    </row>
    <row r="225" spans="1:16" x14ac:dyDescent="0.3">
      <c r="A225" s="26" t="str">
        <v>C0224</v>
      </c>
      <c r="B225" s="26">
        <f>_xlfn.DAYS(DATE(2024,12,31),_xlfn.MAXIFS(ecommerce_transactions!$D$2:$D$9999, ecommerce_transactions!$B$2:$B$9999, A225))</f>
        <v>17</v>
      </c>
      <c r="C225" s="26">
        <f>COUNTIF(ecommerce_transactions!B:B,main_data!A225)</f>
        <v>12</v>
      </c>
      <c r="D225" s="35">
        <f>SUMIF(ecommerce_transactions!B:B,main_data!A225,ecommerce_transactions!E:E)</f>
        <v>3435.11</v>
      </c>
      <c r="E225" s="28">
        <f t="shared" si="31"/>
        <v>4</v>
      </c>
      <c r="F225" s="28">
        <f t="shared" si="32"/>
        <v>5</v>
      </c>
      <c r="G225" s="26">
        <f t="shared" si="33"/>
        <v>5</v>
      </c>
      <c r="H225" s="18" t="str">
        <f t="shared" si="34"/>
        <v>455</v>
      </c>
      <c r="I225" s="26" t="str">
        <f t="shared" si="35"/>
        <v>Champions</v>
      </c>
      <c r="J225" s="17">
        <f t="shared" si="36"/>
        <v>286.25916666666666</v>
      </c>
      <c r="K225" s="36">
        <f>_xlfn.MAXIFS(ecommerce_transactions!D:D,ecommerce_transactions!B:B,main_data!A225)</f>
        <v>45640</v>
      </c>
      <c r="L225" s="36">
        <f>_xlfn.MINIFS(ecommerce_transactions!D:D,ecommerce_transactions!B:B,main_data!A225)</f>
        <v>44931</v>
      </c>
      <c r="M225" s="19">
        <f t="shared" si="37"/>
        <v>1.9411362080766599</v>
      </c>
      <c r="N225" s="19">
        <f t="shared" si="30"/>
        <v>4.9157437263423516</v>
      </c>
      <c r="O225" s="17">
        <f t="shared" si="38"/>
        <v>2731.521648675171</v>
      </c>
      <c r="P225" s="17">
        <f t="shared" si="39"/>
        <v>819.45649460255129</v>
      </c>
    </row>
    <row r="226" spans="1:16" x14ac:dyDescent="0.3">
      <c r="A226" s="26" t="str">
        <v>C0225</v>
      </c>
      <c r="B226" s="26">
        <f>_xlfn.DAYS(DATE(2024,12,31),_xlfn.MAXIFS(ecommerce_transactions!$D$2:$D$9999, ecommerce_transactions!$B$2:$B$9999, A226))</f>
        <v>1</v>
      </c>
      <c r="C226" s="26">
        <f>COUNTIF(ecommerce_transactions!B:B,main_data!A226)</f>
        <v>12</v>
      </c>
      <c r="D226" s="35">
        <f>SUMIF(ecommerce_transactions!B:B,main_data!A226,ecommerce_transactions!E:E)</f>
        <v>3209.3300000000004</v>
      </c>
      <c r="E226" s="28">
        <f t="shared" si="31"/>
        <v>5</v>
      </c>
      <c r="F226" s="28">
        <f t="shared" si="32"/>
        <v>5</v>
      </c>
      <c r="G226" s="26">
        <f t="shared" si="33"/>
        <v>5</v>
      </c>
      <c r="H226" s="18" t="str">
        <f t="shared" si="34"/>
        <v>555</v>
      </c>
      <c r="I226" s="26" t="str">
        <f t="shared" si="35"/>
        <v>Champions</v>
      </c>
      <c r="J226" s="17">
        <f t="shared" si="36"/>
        <v>267.44416666666672</v>
      </c>
      <c r="K226" s="36">
        <f>_xlfn.MAXIFS(ecommerce_transactions!D:D,ecommerce_transactions!B:B,main_data!A226)</f>
        <v>45656</v>
      </c>
      <c r="L226" s="36">
        <f>_xlfn.MINIFS(ecommerce_transactions!D:D,ecommerce_transactions!B:B,main_data!A226)</f>
        <v>45450</v>
      </c>
      <c r="M226" s="19">
        <f t="shared" si="37"/>
        <v>0.56399726214921286</v>
      </c>
      <c r="N226" s="19">
        <f t="shared" si="30"/>
        <v>11.278224509488581</v>
      </c>
      <c r="O226" s="17">
        <f t="shared" si="38"/>
        <v>1701.1823222901257</v>
      </c>
      <c r="P226" s="17">
        <f t="shared" si="39"/>
        <v>510.35469668703769</v>
      </c>
    </row>
    <row r="227" spans="1:16" x14ac:dyDescent="0.3">
      <c r="A227" s="26" t="str">
        <v>C0226</v>
      </c>
      <c r="B227" s="26">
        <f>_xlfn.DAYS(DATE(2024,12,31),_xlfn.MAXIFS(ecommerce_transactions!$D$2:$D$9999, ecommerce_transactions!$B$2:$B$9999, A227))</f>
        <v>2</v>
      </c>
      <c r="C227" s="26">
        <f>COUNTIF(ecommerce_transactions!B:B,main_data!A227)</f>
        <v>6</v>
      </c>
      <c r="D227" s="35">
        <f>SUMIF(ecommerce_transactions!B:B,main_data!A227,ecommerce_transactions!E:E)</f>
        <v>1365.52</v>
      </c>
      <c r="E227" s="28">
        <f t="shared" si="31"/>
        <v>5</v>
      </c>
      <c r="F227" s="28">
        <f t="shared" si="32"/>
        <v>3</v>
      </c>
      <c r="G227" s="26">
        <f t="shared" si="33"/>
        <v>2</v>
      </c>
      <c r="H227" s="18" t="str">
        <f t="shared" si="34"/>
        <v>532</v>
      </c>
      <c r="I227" s="26" t="str">
        <f t="shared" si="35"/>
        <v>Potential Loyalists</v>
      </c>
      <c r="J227" s="17">
        <f t="shared" si="36"/>
        <v>227.58666666666667</v>
      </c>
      <c r="K227" s="36">
        <f>_xlfn.MAXIFS(ecommerce_transactions!D:D,ecommerce_transactions!B:B,main_data!A227)</f>
        <v>45655</v>
      </c>
      <c r="L227" s="36">
        <f>_xlfn.MINIFS(ecommerce_transactions!D:D,ecommerce_transactions!B:B,main_data!A227)</f>
        <v>45559</v>
      </c>
      <c r="M227" s="19">
        <f t="shared" si="37"/>
        <v>0.26283367556468173</v>
      </c>
      <c r="N227" s="19">
        <f t="shared" si="30"/>
        <v>7.8654104979811574</v>
      </c>
      <c r="O227" s="17">
        <f t="shared" si="38"/>
        <v>470.48872139973082</v>
      </c>
      <c r="P227" s="17">
        <f t="shared" si="39"/>
        <v>141.14661641991924</v>
      </c>
    </row>
    <row r="228" spans="1:16" x14ac:dyDescent="0.3">
      <c r="A228" s="26" t="str">
        <v>C0227</v>
      </c>
      <c r="B228" s="26">
        <f>_xlfn.DAYS(DATE(2024,12,31),_xlfn.MAXIFS(ecommerce_transactions!$D$2:$D$9999, ecommerce_transactions!$B$2:$B$9999, A228))</f>
        <v>52</v>
      </c>
      <c r="C228" s="26">
        <f>COUNTIF(ecommerce_transactions!B:B,main_data!A228)</f>
        <v>3</v>
      </c>
      <c r="D228" s="35">
        <f>SUMIF(ecommerce_transactions!B:B,main_data!A228,ecommerce_transactions!E:E)</f>
        <v>1043.02</v>
      </c>
      <c r="E228" s="28">
        <f t="shared" si="31"/>
        <v>2</v>
      </c>
      <c r="F228" s="28">
        <f t="shared" si="32"/>
        <v>1</v>
      </c>
      <c r="G228" s="26">
        <f t="shared" si="33"/>
        <v>2</v>
      </c>
      <c r="H228" s="18" t="str">
        <f t="shared" si="34"/>
        <v>212</v>
      </c>
      <c r="I228" s="26" t="str">
        <f t="shared" si="35"/>
        <v>About to Sleep</v>
      </c>
      <c r="J228" s="17">
        <f t="shared" si="36"/>
        <v>347.67333333333335</v>
      </c>
      <c r="K228" s="36">
        <f>_xlfn.MAXIFS(ecommerce_transactions!D:D,ecommerce_transactions!B:B,main_data!A228)</f>
        <v>45605</v>
      </c>
      <c r="L228" s="36">
        <f>_xlfn.MINIFS(ecommerce_transactions!D:D,ecommerce_transactions!B:B,main_data!A228)</f>
        <v>45359</v>
      </c>
      <c r="M228" s="19">
        <f t="shared" si="37"/>
        <v>0.67351129363449691</v>
      </c>
      <c r="N228" s="19">
        <f t="shared" si="30"/>
        <v>2.5564304461942258</v>
      </c>
      <c r="O228" s="17">
        <f t="shared" si="38"/>
        <v>598.61865266841642</v>
      </c>
      <c r="P228" s="17">
        <f t="shared" si="39"/>
        <v>179.58559580052491</v>
      </c>
    </row>
    <row r="229" spans="1:16" x14ac:dyDescent="0.3">
      <c r="A229" s="26" t="str">
        <v>C0228</v>
      </c>
      <c r="B229" s="26">
        <f>_xlfn.DAYS(DATE(2024,12,31),_xlfn.MAXIFS(ecommerce_transactions!$D$2:$D$9999, ecommerce_transactions!$B$2:$B$9999, A229))</f>
        <v>218</v>
      </c>
      <c r="C229" s="26">
        <f>COUNTIF(ecommerce_transactions!B:B,main_data!A229)</f>
        <v>1</v>
      </c>
      <c r="D229" s="35">
        <f>SUMIF(ecommerce_transactions!B:B,main_data!A229,ecommerce_transactions!E:E)</f>
        <v>123.88</v>
      </c>
      <c r="E229" s="28">
        <f t="shared" si="31"/>
        <v>1</v>
      </c>
      <c r="F229" s="28">
        <f t="shared" si="32"/>
        <v>1</v>
      </c>
      <c r="G229" s="26">
        <f t="shared" si="33"/>
        <v>1</v>
      </c>
      <c r="H229" s="18" t="str">
        <f t="shared" si="34"/>
        <v>111</v>
      </c>
      <c r="I229" s="26" t="str">
        <f t="shared" si="35"/>
        <v>About to Sleep</v>
      </c>
      <c r="J229" s="17">
        <f t="shared" si="36"/>
        <v>123.88</v>
      </c>
      <c r="K229" s="36">
        <f>_xlfn.MAXIFS(ecommerce_transactions!D:D,ecommerce_transactions!B:B,main_data!A229)</f>
        <v>45439</v>
      </c>
      <c r="L229" s="36">
        <f>_xlfn.MINIFS(ecommerce_transactions!D:D,ecommerce_transactions!B:B,main_data!A229)</f>
        <v>45439</v>
      </c>
      <c r="M229" s="19">
        <f t="shared" si="37"/>
        <v>0</v>
      </c>
      <c r="N229" s="19">
        <f t="shared" si="30"/>
        <v>2</v>
      </c>
      <c r="O229" s="17">
        <f t="shared" si="38"/>
        <v>0</v>
      </c>
      <c r="P229" s="17">
        <f t="shared" si="39"/>
        <v>0</v>
      </c>
    </row>
    <row r="230" spans="1:16" x14ac:dyDescent="0.3">
      <c r="A230" s="26" t="str">
        <v>C0229</v>
      </c>
      <c r="B230" s="26">
        <f>_xlfn.DAYS(DATE(2024,12,31),_xlfn.MAXIFS(ecommerce_transactions!$D$2:$D$9999, ecommerce_transactions!$B$2:$B$9999, A230))</f>
        <v>145</v>
      </c>
      <c r="C230" s="26">
        <f>COUNTIF(ecommerce_transactions!B:B,main_data!A230)</f>
        <v>2</v>
      </c>
      <c r="D230" s="35">
        <f>SUMIF(ecommerce_transactions!B:B,main_data!A230,ecommerce_transactions!E:E)</f>
        <v>348.31</v>
      </c>
      <c r="E230" s="28">
        <f t="shared" si="31"/>
        <v>1</v>
      </c>
      <c r="F230" s="28">
        <f t="shared" si="32"/>
        <v>1</v>
      </c>
      <c r="G230" s="26">
        <f t="shared" si="33"/>
        <v>1</v>
      </c>
      <c r="H230" s="18" t="str">
        <f t="shared" si="34"/>
        <v>111</v>
      </c>
      <c r="I230" s="26" t="str">
        <f t="shared" si="35"/>
        <v>About to Sleep</v>
      </c>
      <c r="J230" s="17">
        <f t="shared" si="36"/>
        <v>174.155</v>
      </c>
      <c r="K230" s="36">
        <f>_xlfn.MAXIFS(ecommerce_transactions!D:D,ecommerce_transactions!B:B,main_data!A230)</f>
        <v>45512</v>
      </c>
      <c r="L230" s="36">
        <f>_xlfn.MINIFS(ecommerce_transactions!D:D,ecommerce_transactions!B:B,main_data!A230)</f>
        <v>45218</v>
      </c>
      <c r="M230" s="19">
        <f t="shared" si="37"/>
        <v>0.80492813141683783</v>
      </c>
      <c r="N230" s="19">
        <f t="shared" si="30"/>
        <v>1.5326514555468136</v>
      </c>
      <c r="O230" s="17">
        <f t="shared" si="38"/>
        <v>214.85054287962237</v>
      </c>
      <c r="P230" s="17">
        <f t="shared" si="39"/>
        <v>64.455162863886713</v>
      </c>
    </row>
    <row r="231" spans="1:16" x14ac:dyDescent="0.3">
      <c r="A231" s="26" t="str">
        <v>C0230</v>
      </c>
      <c r="B231" s="26">
        <f>_xlfn.DAYS(DATE(2024,12,31),_xlfn.MAXIFS(ecommerce_transactions!$D$2:$D$9999, ecommerce_transactions!$B$2:$B$9999, A231))</f>
        <v>69</v>
      </c>
      <c r="C231" s="26">
        <f>COUNTIF(ecommerce_transactions!B:B,main_data!A231)</f>
        <v>3</v>
      </c>
      <c r="D231" s="35">
        <f>SUMIF(ecommerce_transactions!B:B,main_data!A231,ecommerce_transactions!E:E)</f>
        <v>1011.31</v>
      </c>
      <c r="E231" s="28">
        <f t="shared" si="31"/>
        <v>2</v>
      </c>
      <c r="F231" s="28">
        <f t="shared" si="32"/>
        <v>1</v>
      </c>
      <c r="G231" s="26">
        <f t="shared" si="33"/>
        <v>2</v>
      </c>
      <c r="H231" s="18" t="str">
        <f t="shared" si="34"/>
        <v>212</v>
      </c>
      <c r="I231" s="26" t="str">
        <f t="shared" si="35"/>
        <v>About to Sleep</v>
      </c>
      <c r="J231" s="17">
        <f t="shared" si="36"/>
        <v>337.1033333333333</v>
      </c>
      <c r="K231" s="36">
        <f>_xlfn.MAXIFS(ecommerce_transactions!D:D,ecommerce_transactions!B:B,main_data!A231)</f>
        <v>45588</v>
      </c>
      <c r="L231" s="36">
        <f>_xlfn.MINIFS(ecommerce_transactions!D:D,ecommerce_transactions!B:B,main_data!A231)</f>
        <v>45503</v>
      </c>
      <c r="M231" s="19">
        <f t="shared" si="37"/>
        <v>0.2327173169062286</v>
      </c>
      <c r="N231" s="19">
        <f t="shared" si="30"/>
        <v>4.0943484353106019</v>
      </c>
      <c r="O231" s="17">
        <f t="shared" si="38"/>
        <v>321.20074731433903</v>
      </c>
      <c r="P231" s="17">
        <f t="shared" si="39"/>
        <v>96.360224194301708</v>
      </c>
    </row>
    <row r="232" spans="1:16" x14ac:dyDescent="0.3">
      <c r="A232" s="26" t="str">
        <v>C0231</v>
      </c>
      <c r="B232" s="26">
        <f>_xlfn.DAYS(DATE(2024,12,31),_xlfn.MAXIFS(ecommerce_transactions!$D$2:$D$9999, ecommerce_transactions!$B$2:$B$9999, A232))</f>
        <v>1</v>
      </c>
      <c r="C232" s="26">
        <f>COUNTIF(ecommerce_transactions!B:B,main_data!A232)</f>
        <v>10</v>
      </c>
      <c r="D232" s="35">
        <f>SUMIF(ecommerce_transactions!B:B,main_data!A232,ecommerce_transactions!E:E)</f>
        <v>2444.9200000000005</v>
      </c>
      <c r="E232" s="28">
        <f t="shared" si="31"/>
        <v>5</v>
      </c>
      <c r="F232" s="28">
        <f t="shared" si="32"/>
        <v>4</v>
      </c>
      <c r="G232" s="26">
        <f t="shared" si="33"/>
        <v>4</v>
      </c>
      <c r="H232" s="18" t="str">
        <f t="shared" si="34"/>
        <v>544</v>
      </c>
      <c r="I232" s="26" t="str">
        <f t="shared" si="35"/>
        <v>Champions</v>
      </c>
      <c r="J232" s="17">
        <f t="shared" si="36"/>
        <v>244.49200000000005</v>
      </c>
      <c r="K232" s="36">
        <f>_xlfn.MAXIFS(ecommerce_transactions!D:D,ecommerce_transactions!B:B,main_data!A232)</f>
        <v>45656</v>
      </c>
      <c r="L232" s="36">
        <f>_xlfn.MINIFS(ecommerce_transactions!D:D,ecommerce_transactions!B:B,main_data!A232)</f>
        <v>45294</v>
      </c>
      <c r="M232" s="19">
        <f t="shared" si="37"/>
        <v>0.99110198494182067</v>
      </c>
      <c r="N232" s="19">
        <f t="shared" si="30"/>
        <v>6.7064493917833374</v>
      </c>
      <c r="O232" s="17">
        <f t="shared" si="38"/>
        <v>1625.0833876520546</v>
      </c>
      <c r="P232" s="17">
        <f t="shared" si="39"/>
        <v>487.52501629561635</v>
      </c>
    </row>
    <row r="233" spans="1:16" x14ac:dyDescent="0.3">
      <c r="A233" s="26" t="str">
        <v>C0232</v>
      </c>
      <c r="B233" s="26">
        <f>_xlfn.DAYS(DATE(2024,12,31),_xlfn.MAXIFS(ecommerce_transactions!$D$2:$D$9999, ecommerce_transactions!$B$2:$B$9999, A233))</f>
        <v>19</v>
      </c>
      <c r="C233" s="26">
        <f>COUNTIF(ecommerce_transactions!B:B,main_data!A233)</f>
        <v>8</v>
      </c>
      <c r="D233" s="35">
        <f>SUMIF(ecommerce_transactions!B:B,main_data!A233,ecommerce_transactions!E:E)</f>
        <v>1806.4499999999998</v>
      </c>
      <c r="E233" s="28">
        <f t="shared" si="31"/>
        <v>4</v>
      </c>
      <c r="F233" s="28">
        <f t="shared" si="32"/>
        <v>3</v>
      </c>
      <c r="G233" s="26">
        <f t="shared" si="33"/>
        <v>3</v>
      </c>
      <c r="H233" s="18" t="str">
        <f t="shared" si="34"/>
        <v>433</v>
      </c>
      <c r="I233" s="26" t="str">
        <f t="shared" si="35"/>
        <v>Loyal Customers</v>
      </c>
      <c r="J233" s="17">
        <f t="shared" si="36"/>
        <v>225.80624999999998</v>
      </c>
      <c r="K233" s="36">
        <f>_xlfn.MAXIFS(ecommerce_transactions!D:D,ecommerce_transactions!B:B,main_data!A233)</f>
        <v>45638</v>
      </c>
      <c r="L233" s="36">
        <f>_xlfn.MINIFS(ecommerce_transactions!D:D,ecommerce_transactions!B:B,main_data!A233)</f>
        <v>44999</v>
      </c>
      <c r="M233" s="19">
        <f t="shared" si="37"/>
        <v>1.7494866529774127</v>
      </c>
      <c r="N233" s="19">
        <f t="shared" si="30"/>
        <v>3.5563669557279782</v>
      </c>
      <c r="O233" s="17">
        <f t="shared" si="38"/>
        <v>1404.9250570515744</v>
      </c>
      <c r="P233" s="17">
        <f t="shared" si="39"/>
        <v>421.47751711547232</v>
      </c>
    </row>
    <row r="234" spans="1:16" x14ac:dyDescent="0.3">
      <c r="A234" s="26" t="str">
        <v>C0233</v>
      </c>
      <c r="B234" s="26">
        <f>_xlfn.DAYS(DATE(2024,12,31),_xlfn.MAXIFS(ecommerce_transactions!$D$2:$D$9999, ecommerce_transactions!$B$2:$B$9999, A234))</f>
        <v>65</v>
      </c>
      <c r="C234" s="26">
        <f>COUNTIF(ecommerce_transactions!B:B,main_data!A234)</f>
        <v>8</v>
      </c>
      <c r="D234" s="35">
        <f>SUMIF(ecommerce_transactions!B:B,main_data!A234,ecommerce_transactions!E:E)</f>
        <v>1598.13</v>
      </c>
      <c r="E234" s="28">
        <f t="shared" si="31"/>
        <v>2</v>
      </c>
      <c r="F234" s="28">
        <f t="shared" si="32"/>
        <v>3</v>
      </c>
      <c r="G234" s="26">
        <f t="shared" si="33"/>
        <v>3</v>
      </c>
      <c r="H234" s="18" t="str">
        <f t="shared" si="34"/>
        <v>233</v>
      </c>
      <c r="I234" s="26" t="str">
        <f t="shared" si="35"/>
        <v>At Risk</v>
      </c>
      <c r="J234" s="17">
        <f t="shared" si="36"/>
        <v>199.76625000000001</v>
      </c>
      <c r="K234" s="36">
        <f>_xlfn.MAXIFS(ecommerce_transactions!D:D,ecommerce_transactions!B:B,main_data!A234)</f>
        <v>45592</v>
      </c>
      <c r="L234" s="36">
        <f>_xlfn.MINIFS(ecommerce_transactions!D:D,ecommerce_transactions!B:B,main_data!A234)</f>
        <v>45441</v>
      </c>
      <c r="M234" s="19">
        <f t="shared" si="37"/>
        <v>0.4134154688569473</v>
      </c>
      <c r="N234" s="19">
        <f t="shared" si="30"/>
        <v>8.7583364556013485</v>
      </c>
      <c r="O234" s="17">
        <f t="shared" si="38"/>
        <v>723.31998501311352</v>
      </c>
      <c r="P234" s="17">
        <f t="shared" si="39"/>
        <v>216.99599550393404</v>
      </c>
    </row>
    <row r="235" spans="1:16" x14ac:dyDescent="0.3">
      <c r="A235" s="26" t="str">
        <v>C0234</v>
      </c>
      <c r="B235" s="26">
        <f>_xlfn.DAYS(DATE(2024,12,31),_xlfn.MAXIFS(ecommerce_transactions!$D$2:$D$9999, ecommerce_transactions!$B$2:$B$9999, A235))</f>
        <v>4</v>
      </c>
      <c r="C235" s="26">
        <f>COUNTIF(ecommerce_transactions!B:B,main_data!A235)</f>
        <v>11</v>
      </c>
      <c r="D235" s="35">
        <f>SUMIF(ecommerce_transactions!B:B,main_data!A235,ecommerce_transactions!E:E)</f>
        <v>3163.46</v>
      </c>
      <c r="E235" s="28">
        <f t="shared" si="31"/>
        <v>5</v>
      </c>
      <c r="F235" s="28">
        <f t="shared" si="32"/>
        <v>4</v>
      </c>
      <c r="G235" s="26">
        <f t="shared" si="33"/>
        <v>5</v>
      </c>
      <c r="H235" s="18" t="str">
        <f t="shared" si="34"/>
        <v>545</v>
      </c>
      <c r="I235" s="26" t="str">
        <f t="shared" si="35"/>
        <v>Champions</v>
      </c>
      <c r="J235" s="17">
        <f t="shared" si="36"/>
        <v>287.5872727272727</v>
      </c>
      <c r="K235" s="36">
        <f>_xlfn.MAXIFS(ecommerce_transactions!D:D,ecommerce_transactions!B:B,main_data!A235)</f>
        <v>45653</v>
      </c>
      <c r="L235" s="36">
        <f>_xlfn.MINIFS(ecommerce_transactions!D:D,ecommerce_transactions!B:B,main_data!A235)</f>
        <v>45607</v>
      </c>
      <c r="M235" s="19">
        <f t="shared" si="37"/>
        <v>0.12594113620807665</v>
      </c>
      <c r="N235" s="19">
        <f t="shared" si="30"/>
        <v>17.573537452159648</v>
      </c>
      <c r="O235" s="17">
        <f t="shared" si="38"/>
        <v>636.49714598141043</v>
      </c>
      <c r="P235" s="17">
        <f t="shared" si="39"/>
        <v>190.94914379442312</v>
      </c>
    </row>
    <row r="236" spans="1:16" x14ac:dyDescent="0.3">
      <c r="A236" s="26" t="str">
        <v>C0235</v>
      </c>
      <c r="B236" s="26">
        <f>_xlfn.DAYS(DATE(2024,12,31),_xlfn.MAXIFS(ecommerce_transactions!$D$2:$D$9999, ecommerce_transactions!$B$2:$B$9999, A236))</f>
        <v>54</v>
      </c>
      <c r="C236" s="26">
        <f>COUNTIF(ecommerce_transactions!B:B,main_data!A236)</f>
        <v>5</v>
      </c>
      <c r="D236" s="35">
        <f>SUMIF(ecommerce_transactions!B:B,main_data!A236,ecommerce_transactions!E:E)</f>
        <v>1032.79</v>
      </c>
      <c r="E236" s="28">
        <f t="shared" si="31"/>
        <v>2</v>
      </c>
      <c r="F236" s="28">
        <f t="shared" si="32"/>
        <v>2</v>
      </c>
      <c r="G236" s="26">
        <f t="shared" si="33"/>
        <v>2</v>
      </c>
      <c r="H236" s="18" t="str">
        <f t="shared" si="34"/>
        <v>222</v>
      </c>
      <c r="I236" s="26" t="str">
        <f t="shared" si="35"/>
        <v>About to Sleep</v>
      </c>
      <c r="J236" s="17">
        <f t="shared" si="36"/>
        <v>206.55799999999999</v>
      </c>
      <c r="K236" s="36">
        <f>_xlfn.MAXIFS(ecommerce_transactions!D:D,ecommerce_transactions!B:B,main_data!A236)</f>
        <v>45603</v>
      </c>
      <c r="L236" s="36">
        <f>_xlfn.MINIFS(ecommerce_transactions!D:D,ecommerce_transactions!B:B,main_data!A236)</f>
        <v>45328</v>
      </c>
      <c r="M236" s="19">
        <f t="shared" si="37"/>
        <v>0.75290896646132788</v>
      </c>
      <c r="N236" s="19">
        <f t="shared" si="30"/>
        <v>3.9907129199672218</v>
      </c>
      <c r="O236" s="17">
        <f t="shared" si="38"/>
        <v>620.63316033870524</v>
      </c>
      <c r="P236" s="17">
        <f t="shared" si="39"/>
        <v>186.18994810161158</v>
      </c>
    </row>
    <row r="237" spans="1:16" x14ac:dyDescent="0.3">
      <c r="A237" s="26" t="str">
        <v>C0236</v>
      </c>
      <c r="B237" s="26">
        <f>_xlfn.DAYS(DATE(2024,12,31),_xlfn.MAXIFS(ecommerce_transactions!$D$2:$D$9999, ecommerce_transactions!$B$2:$B$9999, A237))</f>
        <v>17</v>
      </c>
      <c r="C237" s="26">
        <f>COUNTIF(ecommerce_transactions!B:B,main_data!A237)</f>
        <v>10</v>
      </c>
      <c r="D237" s="35">
        <f>SUMIF(ecommerce_transactions!B:B,main_data!A237,ecommerce_transactions!E:E)</f>
        <v>1948.5800000000002</v>
      </c>
      <c r="E237" s="28">
        <f t="shared" si="31"/>
        <v>4</v>
      </c>
      <c r="F237" s="28">
        <f t="shared" si="32"/>
        <v>4</v>
      </c>
      <c r="G237" s="26">
        <f t="shared" si="33"/>
        <v>3</v>
      </c>
      <c r="H237" s="18" t="str">
        <f t="shared" si="34"/>
        <v>443</v>
      </c>
      <c r="I237" s="26" t="str">
        <f t="shared" si="35"/>
        <v>Loyal Customers</v>
      </c>
      <c r="J237" s="17">
        <f t="shared" si="36"/>
        <v>194.858</v>
      </c>
      <c r="K237" s="36">
        <f>_xlfn.MAXIFS(ecommerce_transactions!D:D,ecommerce_transactions!B:B,main_data!A237)</f>
        <v>45640</v>
      </c>
      <c r="L237" s="36">
        <f>_xlfn.MINIFS(ecommerce_transactions!D:D,ecommerce_transactions!B:B,main_data!A237)</f>
        <v>45300</v>
      </c>
      <c r="M237" s="19">
        <f t="shared" si="37"/>
        <v>0.9308692676249144</v>
      </c>
      <c r="N237" s="19">
        <f t="shared" si="30"/>
        <v>6.9887586701745992</v>
      </c>
      <c r="O237" s="17">
        <f t="shared" si="38"/>
        <v>1267.6722315235588</v>
      </c>
      <c r="P237" s="17">
        <f t="shared" si="39"/>
        <v>380.30166945706765</v>
      </c>
    </row>
    <row r="238" spans="1:16" x14ac:dyDescent="0.3">
      <c r="A238" s="26" t="str">
        <v>C0237</v>
      </c>
      <c r="B238" s="26">
        <f>_xlfn.DAYS(DATE(2024,12,31),_xlfn.MAXIFS(ecommerce_transactions!$D$2:$D$9999, ecommerce_transactions!$B$2:$B$9999, A238))</f>
        <v>12</v>
      </c>
      <c r="C238" s="26">
        <f>COUNTIF(ecommerce_transactions!B:B,main_data!A238)</f>
        <v>9</v>
      </c>
      <c r="D238" s="35">
        <f>SUMIF(ecommerce_transactions!B:B,main_data!A238,ecommerce_transactions!E:E)</f>
        <v>2075.0699999999997</v>
      </c>
      <c r="E238" s="28">
        <f t="shared" si="31"/>
        <v>4</v>
      </c>
      <c r="F238" s="28">
        <f t="shared" si="32"/>
        <v>4</v>
      </c>
      <c r="G238" s="26">
        <f t="shared" si="33"/>
        <v>3</v>
      </c>
      <c r="H238" s="18" t="str">
        <f t="shared" si="34"/>
        <v>443</v>
      </c>
      <c r="I238" s="26" t="str">
        <f t="shared" si="35"/>
        <v>Loyal Customers</v>
      </c>
      <c r="J238" s="17">
        <f t="shared" si="36"/>
        <v>230.5633333333333</v>
      </c>
      <c r="K238" s="36">
        <f>_xlfn.MAXIFS(ecommerce_transactions!D:D,ecommerce_transactions!B:B,main_data!A238)</f>
        <v>45645</v>
      </c>
      <c r="L238" s="36">
        <f>_xlfn.MINIFS(ecommerce_transactions!D:D,ecommerce_transactions!B:B,main_data!A238)</f>
        <v>45560</v>
      </c>
      <c r="M238" s="19">
        <f t="shared" si="37"/>
        <v>0.2327173169062286</v>
      </c>
      <c r="N238" s="19">
        <f t="shared" si="30"/>
        <v>12.283045305931807</v>
      </c>
      <c r="O238" s="17">
        <f t="shared" si="38"/>
        <v>659.06006539000452</v>
      </c>
      <c r="P238" s="17">
        <f t="shared" si="39"/>
        <v>197.71801961700135</v>
      </c>
    </row>
    <row r="239" spans="1:16" x14ac:dyDescent="0.3">
      <c r="A239" s="26" t="str">
        <v>C0238</v>
      </c>
      <c r="B239" s="26">
        <f>_xlfn.DAYS(DATE(2024,12,31),_xlfn.MAXIFS(ecommerce_transactions!$D$2:$D$9999, ecommerce_transactions!$B$2:$B$9999, A239))</f>
        <v>41</v>
      </c>
      <c r="C239" s="26">
        <f>COUNTIF(ecommerce_transactions!B:B,main_data!A239)</f>
        <v>2</v>
      </c>
      <c r="D239" s="35">
        <f>SUMIF(ecommerce_transactions!B:B,main_data!A239,ecommerce_transactions!E:E)</f>
        <v>540.23</v>
      </c>
      <c r="E239" s="28">
        <f t="shared" si="31"/>
        <v>3</v>
      </c>
      <c r="F239" s="28">
        <f t="shared" si="32"/>
        <v>1</v>
      </c>
      <c r="G239" s="26">
        <f t="shared" si="33"/>
        <v>1</v>
      </c>
      <c r="H239" s="18" t="str">
        <f t="shared" si="34"/>
        <v>311</v>
      </c>
      <c r="I239" s="26" t="str">
        <f t="shared" si="35"/>
        <v>Lost</v>
      </c>
      <c r="J239" s="17">
        <f t="shared" si="36"/>
        <v>270.11500000000001</v>
      </c>
      <c r="K239" s="36">
        <f>_xlfn.MAXIFS(ecommerce_transactions!D:D,ecommerce_transactions!B:B,main_data!A239)</f>
        <v>45616</v>
      </c>
      <c r="L239" s="36">
        <f>_xlfn.MINIFS(ecommerce_transactions!D:D,ecommerce_transactions!B:B,main_data!A239)</f>
        <v>45573</v>
      </c>
      <c r="M239" s="19">
        <f t="shared" si="37"/>
        <v>0.11772758384668036</v>
      </c>
      <c r="N239" s="19">
        <f t="shared" si="30"/>
        <v>3.2376731301939059</v>
      </c>
      <c r="O239" s="17">
        <f t="shared" si="38"/>
        <v>102.95796121883657</v>
      </c>
      <c r="P239" s="17">
        <f t="shared" si="39"/>
        <v>30.88738836565097</v>
      </c>
    </row>
    <row r="240" spans="1:16" x14ac:dyDescent="0.3">
      <c r="A240" s="26" t="str">
        <v>C0239</v>
      </c>
      <c r="B240" s="26">
        <f>_xlfn.DAYS(DATE(2024,12,31),_xlfn.MAXIFS(ecommerce_transactions!$D$2:$D$9999, ecommerce_transactions!$B$2:$B$9999, A240))</f>
        <v>98</v>
      </c>
      <c r="C240" s="26">
        <f>COUNTIF(ecommerce_transactions!B:B,main_data!A240)</f>
        <v>4</v>
      </c>
      <c r="D240" s="35">
        <f>SUMIF(ecommerce_transactions!B:B,main_data!A240,ecommerce_transactions!E:E)</f>
        <v>710.53</v>
      </c>
      <c r="E240" s="28">
        <f t="shared" si="31"/>
        <v>1</v>
      </c>
      <c r="F240" s="28">
        <f t="shared" si="32"/>
        <v>2</v>
      </c>
      <c r="G240" s="26">
        <f t="shared" si="33"/>
        <v>1</v>
      </c>
      <c r="H240" s="18" t="str">
        <f t="shared" si="34"/>
        <v>121</v>
      </c>
      <c r="I240" s="26" t="str">
        <f t="shared" si="35"/>
        <v>About to Sleep</v>
      </c>
      <c r="J240" s="17">
        <f t="shared" si="36"/>
        <v>177.63249999999999</v>
      </c>
      <c r="K240" s="36">
        <f>_xlfn.MAXIFS(ecommerce_transactions!D:D,ecommerce_transactions!B:B,main_data!A240)</f>
        <v>45559</v>
      </c>
      <c r="L240" s="36">
        <f>_xlfn.MINIFS(ecommerce_transactions!D:D,ecommerce_transactions!B:B,main_data!A240)</f>
        <v>45173</v>
      </c>
      <c r="M240" s="19">
        <f t="shared" si="37"/>
        <v>1.0568104038329911</v>
      </c>
      <c r="N240" s="19">
        <f t="shared" si="30"/>
        <v>2.569355902396131</v>
      </c>
      <c r="O240" s="17">
        <f t="shared" si="38"/>
        <v>482.32944383380959</v>
      </c>
      <c r="P240" s="17">
        <f t="shared" si="39"/>
        <v>144.69883315014286</v>
      </c>
    </row>
    <row r="241" spans="1:16" x14ac:dyDescent="0.3">
      <c r="A241" s="26" t="str">
        <v>C0240</v>
      </c>
      <c r="B241" s="26">
        <f>_xlfn.DAYS(DATE(2024,12,31),_xlfn.MAXIFS(ecommerce_transactions!$D$2:$D$9999, ecommerce_transactions!$B$2:$B$9999, A241))</f>
        <v>44</v>
      </c>
      <c r="C241" s="26">
        <f>COUNTIF(ecommerce_transactions!B:B,main_data!A241)</f>
        <v>3</v>
      </c>
      <c r="D241" s="35">
        <f>SUMIF(ecommerce_transactions!B:B,main_data!A241,ecommerce_transactions!E:E)</f>
        <v>1135.83</v>
      </c>
      <c r="E241" s="28">
        <f t="shared" si="31"/>
        <v>2</v>
      </c>
      <c r="F241" s="28">
        <f t="shared" si="32"/>
        <v>1</v>
      </c>
      <c r="G241" s="26">
        <f t="shared" si="33"/>
        <v>2</v>
      </c>
      <c r="H241" s="18" t="str">
        <f t="shared" si="34"/>
        <v>212</v>
      </c>
      <c r="I241" s="26" t="str">
        <f t="shared" si="35"/>
        <v>About to Sleep</v>
      </c>
      <c r="J241" s="17">
        <f t="shared" si="36"/>
        <v>378.60999999999996</v>
      </c>
      <c r="K241" s="36">
        <f>_xlfn.MAXIFS(ecommerce_transactions!D:D,ecommerce_transactions!B:B,main_data!A241)</f>
        <v>45613</v>
      </c>
      <c r="L241" s="36">
        <f>_xlfn.MINIFS(ecommerce_transactions!D:D,ecommerce_transactions!B:B,main_data!A241)</f>
        <v>45463</v>
      </c>
      <c r="M241" s="19">
        <f t="shared" si="37"/>
        <v>0.41067761806981518</v>
      </c>
      <c r="N241" s="19">
        <f t="shared" si="30"/>
        <v>3.294250281848929</v>
      </c>
      <c r="O241" s="17">
        <f t="shared" si="38"/>
        <v>512.21195039458848</v>
      </c>
      <c r="P241" s="17">
        <f t="shared" si="39"/>
        <v>153.66358511837655</v>
      </c>
    </row>
    <row r="242" spans="1:16" x14ac:dyDescent="0.3">
      <c r="A242" s="26" t="str">
        <v>C0241</v>
      </c>
      <c r="B242" s="26">
        <f>_xlfn.DAYS(DATE(2024,12,31),_xlfn.MAXIFS(ecommerce_transactions!$D$2:$D$9999, ecommerce_transactions!$B$2:$B$9999, A242))</f>
        <v>57</v>
      </c>
      <c r="C242" s="26">
        <f>COUNTIF(ecommerce_transactions!B:B,main_data!A242)</f>
        <v>11</v>
      </c>
      <c r="D242" s="35">
        <f>SUMIF(ecommerce_transactions!B:B,main_data!A242,ecommerce_transactions!E:E)</f>
        <v>2959.09</v>
      </c>
      <c r="E242" s="28">
        <f t="shared" si="31"/>
        <v>2</v>
      </c>
      <c r="F242" s="28">
        <f t="shared" si="32"/>
        <v>4</v>
      </c>
      <c r="G242" s="26">
        <f t="shared" si="33"/>
        <v>4</v>
      </c>
      <c r="H242" s="18" t="str">
        <f t="shared" si="34"/>
        <v>244</v>
      </c>
      <c r="I242" s="26" t="str">
        <f t="shared" si="35"/>
        <v>At Risk</v>
      </c>
      <c r="J242" s="17">
        <f t="shared" si="36"/>
        <v>269.00818181818181</v>
      </c>
      <c r="K242" s="36">
        <f>_xlfn.MAXIFS(ecommerce_transactions!D:D,ecommerce_transactions!B:B,main_data!A242)</f>
        <v>45600</v>
      </c>
      <c r="L242" s="36">
        <f>_xlfn.MINIFS(ecommerce_transactions!D:D,ecommerce_transactions!B:B,main_data!A242)</f>
        <v>45146</v>
      </c>
      <c r="M242" s="19">
        <f t="shared" si="37"/>
        <v>1.2429842573579739</v>
      </c>
      <c r="N242" s="19">
        <f t="shared" si="30"/>
        <v>6.3110151187904968</v>
      </c>
      <c r="O242" s="17">
        <f t="shared" si="38"/>
        <v>2110.2326487335554</v>
      </c>
      <c r="P242" s="17">
        <f t="shared" si="39"/>
        <v>633.06979462006655</v>
      </c>
    </row>
    <row r="243" spans="1:16" x14ac:dyDescent="0.3">
      <c r="A243" s="26" t="str">
        <v>C0242</v>
      </c>
      <c r="B243" s="26">
        <f>_xlfn.DAYS(DATE(2024,12,31),_xlfn.MAXIFS(ecommerce_transactions!$D$2:$D$9999, ecommerce_transactions!$B$2:$B$9999, A243))</f>
        <v>147</v>
      </c>
      <c r="C243" s="26">
        <f>COUNTIF(ecommerce_transactions!B:B,main_data!A243)</f>
        <v>4</v>
      </c>
      <c r="D243" s="35">
        <f>SUMIF(ecommerce_transactions!B:B,main_data!A243,ecommerce_transactions!E:E)</f>
        <v>1015.87</v>
      </c>
      <c r="E243" s="28">
        <f t="shared" si="31"/>
        <v>1</v>
      </c>
      <c r="F243" s="28">
        <f t="shared" si="32"/>
        <v>2</v>
      </c>
      <c r="G243" s="26">
        <f t="shared" si="33"/>
        <v>2</v>
      </c>
      <c r="H243" s="18" t="str">
        <f t="shared" si="34"/>
        <v>122</v>
      </c>
      <c r="I243" s="26" t="str">
        <f t="shared" si="35"/>
        <v>About to Sleep</v>
      </c>
      <c r="J243" s="17">
        <f t="shared" si="36"/>
        <v>253.9675</v>
      </c>
      <c r="K243" s="36">
        <f>_xlfn.MAXIFS(ecommerce_transactions!D:D,ecommerce_transactions!B:B,main_data!A243)</f>
        <v>45510</v>
      </c>
      <c r="L243" s="36">
        <f>_xlfn.MINIFS(ecommerce_transactions!D:D,ecommerce_transactions!B:B,main_data!A243)</f>
        <v>45017</v>
      </c>
      <c r="M243" s="19">
        <f t="shared" si="37"/>
        <v>1.3497604380561259</v>
      </c>
      <c r="N243" s="19">
        <f t="shared" si="30"/>
        <v>2.1624421831637375</v>
      </c>
      <c r="O243" s="17">
        <f t="shared" si="38"/>
        <v>741.27498242368176</v>
      </c>
      <c r="P243" s="17">
        <f t="shared" si="39"/>
        <v>222.38249472710453</v>
      </c>
    </row>
    <row r="244" spans="1:16" x14ac:dyDescent="0.3">
      <c r="A244" s="26" t="str">
        <v>C0243</v>
      </c>
      <c r="B244" s="26">
        <f>_xlfn.DAYS(DATE(2024,12,31),_xlfn.MAXIFS(ecommerce_transactions!$D$2:$D$9999, ecommerce_transactions!$B$2:$B$9999, A244))</f>
        <v>7</v>
      </c>
      <c r="C244" s="26">
        <f>COUNTIF(ecommerce_transactions!B:B,main_data!A244)</f>
        <v>5</v>
      </c>
      <c r="D244" s="35">
        <f>SUMIF(ecommerce_transactions!B:B,main_data!A244,ecommerce_transactions!E:E)</f>
        <v>755.09000000000015</v>
      </c>
      <c r="E244" s="28">
        <f t="shared" si="31"/>
        <v>5</v>
      </c>
      <c r="F244" s="28">
        <f t="shared" si="32"/>
        <v>2</v>
      </c>
      <c r="G244" s="26">
        <f t="shared" si="33"/>
        <v>1</v>
      </c>
      <c r="H244" s="18" t="str">
        <f t="shared" si="34"/>
        <v>521</v>
      </c>
      <c r="I244" s="26" t="str">
        <f t="shared" si="35"/>
        <v>New Customers</v>
      </c>
      <c r="J244" s="17">
        <f t="shared" si="36"/>
        <v>151.01800000000003</v>
      </c>
      <c r="K244" s="36">
        <f>_xlfn.MAXIFS(ecommerce_transactions!D:D,ecommerce_transactions!B:B,main_data!A244)</f>
        <v>45650</v>
      </c>
      <c r="L244" s="36">
        <f>_xlfn.MINIFS(ecommerce_transactions!D:D,ecommerce_transactions!B:B,main_data!A244)</f>
        <v>45293</v>
      </c>
      <c r="M244" s="19">
        <f t="shared" si="37"/>
        <v>0.97741273100616022</v>
      </c>
      <c r="N244" s="19">
        <f t="shared" si="30"/>
        <v>3.3842946490618484</v>
      </c>
      <c r="O244" s="17">
        <f t="shared" si="38"/>
        <v>499.54529534398898</v>
      </c>
      <c r="P244" s="17">
        <f t="shared" si="39"/>
        <v>149.86358860319669</v>
      </c>
    </row>
    <row r="245" spans="1:16" x14ac:dyDescent="0.3">
      <c r="A245" s="26" t="str">
        <v>C0244</v>
      </c>
      <c r="B245" s="26">
        <f>_xlfn.DAYS(DATE(2024,12,31),_xlfn.MAXIFS(ecommerce_transactions!$D$2:$D$9999, ecommerce_transactions!$B$2:$B$9999, A245))</f>
        <v>236</v>
      </c>
      <c r="C245" s="26">
        <f>COUNTIF(ecommerce_transactions!B:B,main_data!A245)</f>
        <v>5</v>
      </c>
      <c r="D245" s="35">
        <f>SUMIF(ecommerce_transactions!B:B,main_data!A245,ecommerce_transactions!E:E)</f>
        <v>1588.9399999999998</v>
      </c>
      <c r="E245" s="28">
        <f t="shared" si="31"/>
        <v>1</v>
      </c>
      <c r="F245" s="28">
        <f t="shared" si="32"/>
        <v>2</v>
      </c>
      <c r="G245" s="26">
        <f t="shared" si="33"/>
        <v>3</v>
      </c>
      <c r="H245" s="18" t="str">
        <f t="shared" si="34"/>
        <v>123</v>
      </c>
      <c r="I245" s="26" t="str">
        <f t="shared" si="35"/>
        <v>About to Sleep</v>
      </c>
      <c r="J245" s="17">
        <f t="shared" si="36"/>
        <v>317.78799999999995</v>
      </c>
      <c r="K245" s="36">
        <f>_xlfn.MAXIFS(ecommerce_transactions!D:D,ecommerce_transactions!B:B,main_data!A245)</f>
        <v>45421</v>
      </c>
      <c r="L245" s="36">
        <f>_xlfn.MINIFS(ecommerce_transactions!D:D,ecommerce_transactions!B:B,main_data!A245)</f>
        <v>45045</v>
      </c>
      <c r="M245" s="19">
        <f t="shared" si="37"/>
        <v>1.0294318959616702</v>
      </c>
      <c r="N245" s="19">
        <f t="shared" si="30"/>
        <v>3.2691877377489371</v>
      </c>
      <c r="O245" s="17">
        <f t="shared" si="38"/>
        <v>1069.4856835981202</v>
      </c>
      <c r="P245" s="17">
        <f t="shared" si="39"/>
        <v>320.84570507943607</v>
      </c>
    </row>
    <row r="246" spans="1:16" x14ac:dyDescent="0.3">
      <c r="A246" s="26" t="str">
        <v>C0245</v>
      </c>
      <c r="B246" s="26">
        <f>_xlfn.DAYS(DATE(2024,12,31),_xlfn.MAXIFS(ecommerce_transactions!$D$2:$D$9999, ecommerce_transactions!$B$2:$B$9999, A246))</f>
        <v>1</v>
      </c>
      <c r="C246" s="26">
        <f>COUNTIF(ecommerce_transactions!B:B,main_data!A246)</f>
        <v>13</v>
      </c>
      <c r="D246" s="35">
        <f>SUMIF(ecommerce_transactions!B:B,main_data!A246,ecommerce_transactions!E:E)</f>
        <v>3088.15</v>
      </c>
      <c r="E246" s="28">
        <f t="shared" si="31"/>
        <v>5</v>
      </c>
      <c r="F246" s="28">
        <f t="shared" si="32"/>
        <v>5</v>
      </c>
      <c r="G246" s="26">
        <f t="shared" si="33"/>
        <v>4</v>
      </c>
      <c r="H246" s="18" t="str">
        <f t="shared" si="34"/>
        <v>554</v>
      </c>
      <c r="I246" s="26" t="str">
        <f t="shared" si="35"/>
        <v>Champions</v>
      </c>
      <c r="J246" s="17">
        <f t="shared" si="36"/>
        <v>237.55</v>
      </c>
      <c r="K246" s="36">
        <f>_xlfn.MAXIFS(ecommerce_transactions!D:D,ecommerce_transactions!B:B,main_data!A246)</f>
        <v>45656</v>
      </c>
      <c r="L246" s="36">
        <f>_xlfn.MINIFS(ecommerce_transactions!D:D,ecommerce_transactions!B:B,main_data!A246)</f>
        <v>45516</v>
      </c>
      <c r="M246" s="19">
        <f t="shared" si="37"/>
        <v>0.38329911019849416</v>
      </c>
      <c r="N246" s="19">
        <f t="shared" si="30"/>
        <v>14.717551336691205</v>
      </c>
      <c r="O246" s="17">
        <f t="shared" si="38"/>
        <v>1340.0728399845023</v>
      </c>
      <c r="P246" s="17">
        <f t="shared" si="39"/>
        <v>402.02185199535069</v>
      </c>
    </row>
    <row r="247" spans="1:16" x14ac:dyDescent="0.3">
      <c r="A247" s="26" t="str">
        <v>C0246</v>
      </c>
      <c r="B247" s="26">
        <f>_xlfn.DAYS(DATE(2024,12,31),_xlfn.MAXIFS(ecommerce_transactions!$D$2:$D$9999, ecommerce_transactions!$B$2:$B$9999, A247))</f>
        <v>17</v>
      </c>
      <c r="C247" s="26">
        <f>COUNTIF(ecommerce_transactions!B:B,main_data!A247)</f>
        <v>13</v>
      </c>
      <c r="D247" s="35">
        <f>SUMIF(ecommerce_transactions!B:B,main_data!A247,ecommerce_transactions!E:E)</f>
        <v>3021.8700000000003</v>
      </c>
      <c r="E247" s="28">
        <f t="shared" si="31"/>
        <v>4</v>
      </c>
      <c r="F247" s="28">
        <f t="shared" si="32"/>
        <v>5</v>
      </c>
      <c r="G247" s="26">
        <f t="shared" si="33"/>
        <v>4</v>
      </c>
      <c r="H247" s="18" t="str">
        <f t="shared" si="34"/>
        <v>454</v>
      </c>
      <c r="I247" s="26" t="str">
        <f t="shared" si="35"/>
        <v>Champions</v>
      </c>
      <c r="J247" s="17">
        <f t="shared" si="36"/>
        <v>232.45153846153849</v>
      </c>
      <c r="K247" s="36">
        <f>_xlfn.MAXIFS(ecommerce_transactions!D:D,ecommerce_transactions!B:B,main_data!A247)</f>
        <v>45640</v>
      </c>
      <c r="L247" s="36">
        <f>_xlfn.MINIFS(ecommerce_transactions!D:D,ecommerce_transactions!B:B,main_data!A247)</f>
        <v>45371</v>
      </c>
      <c r="M247" s="19">
        <f t="shared" si="37"/>
        <v>0.73648186173853525</v>
      </c>
      <c r="N247" s="19">
        <f t="shared" si="30"/>
        <v>10.513700525878772</v>
      </c>
      <c r="O247" s="17">
        <f t="shared" si="38"/>
        <v>1799.907068917797</v>
      </c>
      <c r="P247" s="17">
        <f t="shared" si="39"/>
        <v>539.97212067533906</v>
      </c>
    </row>
    <row r="248" spans="1:16" x14ac:dyDescent="0.3">
      <c r="A248" s="26" t="str">
        <v>C0247</v>
      </c>
      <c r="B248" s="26">
        <f>_xlfn.DAYS(DATE(2024,12,31),_xlfn.MAXIFS(ecommerce_transactions!$D$2:$D$9999, ecommerce_transactions!$B$2:$B$9999, A248))</f>
        <v>12</v>
      </c>
      <c r="C248" s="26">
        <f>COUNTIF(ecommerce_transactions!B:B,main_data!A248)</f>
        <v>14</v>
      </c>
      <c r="D248" s="35">
        <f>SUMIF(ecommerce_transactions!B:B,main_data!A248,ecommerce_transactions!E:E)</f>
        <v>3408.72</v>
      </c>
      <c r="E248" s="28">
        <f t="shared" si="31"/>
        <v>4</v>
      </c>
      <c r="F248" s="28">
        <f t="shared" si="32"/>
        <v>5</v>
      </c>
      <c r="G248" s="26">
        <f t="shared" si="33"/>
        <v>5</v>
      </c>
      <c r="H248" s="18" t="str">
        <f t="shared" si="34"/>
        <v>455</v>
      </c>
      <c r="I248" s="26" t="str">
        <f t="shared" si="35"/>
        <v>Champions</v>
      </c>
      <c r="J248" s="17">
        <f t="shared" si="36"/>
        <v>243.48</v>
      </c>
      <c r="K248" s="36">
        <f>_xlfn.MAXIFS(ecommerce_transactions!D:D,ecommerce_transactions!B:B,main_data!A248)</f>
        <v>45645</v>
      </c>
      <c r="L248" s="36">
        <f>_xlfn.MINIFS(ecommerce_transactions!D:D,ecommerce_transactions!B:B,main_data!A248)</f>
        <v>45375</v>
      </c>
      <c r="M248" s="19">
        <f t="shared" si="37"/>
        <v>0.73921971252566732</v>
      </c>
      <c r="N248" s="19">
        <f t="shared" si="30"/>
        <v>11.297431648715826</v>
      </c>
      <c r="O248" s="17">
        <f t="shared" si="38"/>
        <v>2033.3706710853355</v>
      </c>
      <c r="P248" s="17">
        <f t="shared" si="39"/>
        <v>610.01120132560061</v>
      </c>
    </row>
    <row r="249" spans="1:16" x14ac:dyDescent="0.3">
      <c r="A249" s="26" t="str">
        <v>C0248</v>
      </c>
      <c r="B249" s="26">
        <f>_xlfn.DAYS(DATE(2024,12,31),_xlfn.MAXIFS(ecommerce_transactions!$D$2:$D$9999, ecommerce_transactions!$B$2:$B$9999, A249))</f>
        <v>25</v>
      </c>
      <c r="C249" s="26">
        <f>COUNTIF(ecommerce_transactions!B:B,main_data!A249)</f>
        <v>8</v>
      </c>
      <c r="D249" s="35">
        <f>SUMIF(ecommerce_transactions!B:B,main_data!A249,ecommerce_transactions!E:E)</f>
        <v>1799.6</v>
      </c>
      <c r="E249" s="28">
        <f t="shared" si="31"/>
        <v>3</v>
      </c>
      <c r="F249" s="28">
        <f t="shared" si="32"/>
        <v>3</v>
      </c>
      <c r="G249" s="26">
        <f t="shared" si="33"/>
        <v>3</v>
      </c>
      <c r="H249" s="18" t="str">
        <f t="shared" si="34"/>
        <v>333</v>
      </c>
      <c r="I249" s="26" t="str">
        <f t="shared" si="35"/>
        <v>Loyal Customers</v>
      </c>
      <c r="J249" s="17">
        <f t="shared" si="36"/>
        <v>224.95</v>
      </c>
      <c r="K249" s="36">
        <f>_xlfn.MAXIFS(ecommerce_transactions!D:D,ecommerce_transactions!B:B,main_data!A249)</f>
        <v>45632</v>
      </c>
      <c r="L249" s="36">
        <f>_xlfn.MINIFS(ecommerce_transactions!D:D,ecommerce_transactions!B:B,main_data!A249)</f>
        <v>45119</v>
      </c>
      <c r="M249" s="19">
        <f t="shared" si="37"/>
        <v>1.4045174537987679</v>
      </c>
      <c r="N249" s="19">
        <f t="shared" si="30"/>
        <v>4.2005390835579517</v>
      </c>
      <c r="O249" s="17">
        <f t="shared" si="38"/>
        <v>1327.1443665768193</v>
      </c>
      <c r="P249" s="17">
        <f t="shared" si="39"/>
        <v>398.14330997304575</v>
      </c>
    </row>
    <row r="250" spans="1:16" x14ac:dyDescent="0.3">
      <c r="A250" s="26" t="str">
        <v>C0249</v>
      </c>
      <c r="B250" s="26">
        <f>_xlfn.DAYS(DATE(2024,12,31),_xlfn.MAXIFS(ecommerce_transactions!$D$2:$D$9999, ecommerce_transactions!$B$2:$B$9999, A250))</f>
        <v>28</v>
      </c>
      <c r="C250" s="26">
        <f>COUNTIF(ecommerce_transactions!B:B,main_data!A250)</f>
        <v>6</v>
      </c>
      <c r="D250" s="35">
        <f>SUMIF(ecommerce_transactions!B:B,main_data!A250,ecommerce_transactions!E:E)</f>
        <v>1721.56</v>
      </c>
      <c r="E250" s="28">
        <f t="shared" si="31"/>
        <v>3</v>
      </c>
      <c r="F250" s="28">
        <f t="shared" si="32"/>
        <v>3</v>
      </c>
      <c r="G250" s="26">
        <f t="shared" si="33"/>
        <v>3</v>
      </c>
      <c r="H250" s="18" t="str">
        <f t="shared" si="34"/>
        <v>333</v>
      </c>
      <c r="I250" s="26" t="str">
        <f t="shared" si="35"/>
        <v>Loyal Customers</v>
      </c>
      <c r="J250" s="17">
        <f t="shared" si="36"/>
        <v>286.92666666666668</v>
      </c>
      <c r="K250" s="36">
        <f>_xlfn.MAXIFS(ecommerce_transactions!D:D,ecommerce_transactions!B:B,main_data!A250)</f>
        <v>45629</v>
      </c>
      <c r="L250" s="36">
        <f>_xlfn.MINIFS(ecommerce_transactions!D:D,ecommerce_transactions!B:B,main_data!A250)</f>
        <v>45508</v>
      </c>
      <c r="M250" s="19">
        <f t="shared" si="37"/>
        <v>0.33127994524298426</v>
      </c>
      <c r="N250" s="19">
        <f t="shared" si="30"/>
        <v>7.2177850967476331</v>
      </c>
      <c r="O250" s="17">
        <f t="shared" si="38"/>
        <v>686.0724907369289</v>
      </c>
      <c r="P250" s="17">
        <f t="shared" si="39"/>
        <v>205.82174722107865</v>
      </c>
    </row>
    <row r="251" spans="1:16" x14ac:dyDescent="0.3">
      <c r="A251" s="26" t="str">
        <v>C0250</v>
      </c>
      <c r="B251" s="26">
        <f>_xlfn.DAYS(DATE(2024,12,31),_xlfn.MAXIFS(ecommerce_transactions!$D$2:$D$9999, ecommerce_transactions!$B$2:$B$9999, A251))</f>
        <v>52</v>
      </c>
      <c r="C251" s="26">
        <f>COUNTIF(ecommerce_transactions!B:B,main_data!A251)</f>
        <v>7</v>
      </c>
      <c r="D251" s="35">
        <f>SUMIF(ecommerce_transactions!B:B,main_data!A251,ecommerce_transactions!E:E)</f>
        <v>1216.3800000000001</v>
      </c>
      <c r="E251" s="28">
        <f t="shared" si="31"/>
        <v>2</v>
      </c>
      <c r="F251" s="28">
        <f t="shared" si="32"/>
        <v>3</v>
      </c>
      <c r="G251" s="26">
        <f t="shared" si="33"/>
        <v>2</v>
      </c>
      <c r="H251" s="18" t="str">
        <f t="shared" si="34"/>
        <v>232</v>
      </c>
      <c r="I251" s="26" t="str">
        <f t="shared" si="35"/>
        <v>At Risk</v>
      </c>
      <c r="J251" s="17">
        <f t="shared" si="36"/>
        <v>173.76857142857145</v>
      </c>
      <c r="K251" s="36">
        <f>_xlfn.MAXIFS(ecommerce_transactions!D:D,ecommerce_transactions!B:B,main_data!A251)</f>
        <v>45605</v>
      </c>
      <c r="L251" s="36">
        <f>_xlfn.MINIFS(ecommerce_transactions!D:D,ecommerce_transactions!B:B,main_data!A251)</f>
        <v>45482</v>
      </c>
      <c r="M251" s="19">
        <f t="shared" si="37"/>
        <v>0.33675564681724846</v>
      </c>
      <c r="N251" s="19">
        <f t="shared" si="30"/>
        <v>8.3656441717791417</v>
      </c>
      <c r="O251" s="17">
        <f t="shared" si="38"/>
        <v>489.53698159509207</v>
      </c>
      <c r="P251" s="17">
        <f t="shared" si="39"/>
        <v>146.8610944785276</v>
      </c>
    </row>
    <row r="252" spans="1:16" x14ac:dyDescent="0.3">
      <c r="A252" s="26" t="str">
        <v>C0251</v>
      </c>
      <c r="B252" s="26">
        <f>_xlfn.DAYS(DATE(2024,12,31),_xlfn.MAXIFS(ecommerce_transactions!$D$2:$D$9999, ecommerce_transactions!$B$2:$B$9999, A252))</f>
        <v>89</v>
      </c>
      <c r="C252" s="26">
        <f>COUNTIF(ecommerce_transactions!B:B,main_data!A252)</f>
        <v>6</v>
      </c>
      <c r="D252" s="35">
        <f>SUMIF(ecommerce_transactions!B:B,main_data!A252,ecommerce_transactions!E:E)</f>
        <v>2150.91</v>
      </c>
      <c r="E252" s="28">
        <f t="shared" si="31"/>
        <v>2</v>
      </c>
      <c r="F252" s="28">
        <f t="shared" si="32"/>
        <v>3</v>
      </c>
      <c r="G252" s="26">
        <f t="shared" si="33"/>
        <v>3</v>
      </c>
      <c r="H252" s="18" t="str">
        <f t="shared" si="34"/>
        <v>233</v>
      </c>
      <c r="I252" s="26" t="str">
        <f t="shared" si="35"/>
        <v>At Risk</v>
      </c>
      <c r="J252" s="17">
        <f t="shared" si="36"/>
        <v>358.48499999999996</v>
      </c>
      <c r="K252" s="36">
        <f>_xlfn.MAXIFS(ecommerce_transactions!D:D,ecommerce_transactions!B:B,main_data!A252)</f>
        <v>45568</v>
      </c>
      <c r="L252" s="36">
        <f>_xlfn.MINIFS(ecommerce_transactions!D:D,ecommerce_transactions!B:B,main_data!A252)</f>
        <v>45177</v>
      </c>
      <c r="M252" s="19">
        <f t="shared" si="37"/>
        <v>1.0704996577686516</v>
      </c>
      <c r="N252" s="19">
        <f t="shared" si="30"/>
        <v>3.8204401830464154</v>
      </c>
      <c r="O252" s="17">
        <f t="shared" si="38"/>
        <v>1466.1247504903026</v>
      </c>
      <c r="P252" s="17">
        <f t="shared" si="39"/>
        <v>439.83742514709076</v>
      </c>
    </row>
    <row r="253" spans="1:16" x14ac:dyDescent="0.3">
      <c r="A253" s="26" t="str">
        <v>C0252</v>
      </c>
      <c r="B253" s="26">
        <f>_xlfn.DAYS(DATE(2024,12,31),_xlfn.MAXIFS(ecommerce_transactions!$D$2:$D$9999, ecommerce_transactions!$B$2:$B$9999, A253))</f>
        <v>22</v>
      </c>
      <c r="C253" s="26">
        <f>COUNTIF(ecommerce_transactions!B:B,main_data!A253)</f>
        <v>11</v>
      </c>
      <c r="D253" s="35">
        <f>SUMIF(ecommerce_transactions!B:B,main_data!A253,ecommerce_transactions!E:E)</f>
        <v>2488.42</v>
      </c>
      <c r="E253" s="28">
        <f t="shared" si="31"/>
        <v>3</v>
      </c>
      <c r="F253" s="28">
        <f t="shared" si="32"/>
        <v>4</v>
      </c>
      <c r="G253" s="26">
        <f t="shared" si="33"/>
        <v>4</v>
      </c>
      <c r="H253" s="18" t="str">
        <f t="shared" si="34"/>
        <v>344</v>
      </c>
      <c r="I253" s="26" t="str">
        <f t="shared" si="35"/>
        <v>Loyal Customers</v>
      </c>
      <c r="J253" s="17">
        <f t="shared" si="36"/>
        <v>226.22</v>
      </c>
      <c r="K253" s="36">
        <f>_xlfn.MAXIFS(ecommerce_transactions!D:D,ecommerce_transactions!B:B,main_data!A253)</f>
        <v>45635</v>
      </c>
      <c r="L253" s="36">
        <f>_xlfn.MINIFS(ecommerce_transactions!D:D,ecommerce_transactions!B:B,main_data!A253)</f>
        <v>44956</v>
      </c>
      <c r="M253" s="19">
        <f t="shared" si="37"/>
        <v>1.8590006844626967</v>
      </c>
      <c r="N253" s="19">
        <f t="shared" si="30"/>
        <v>4.6629914405919051</v>
      </c>
      <c r="O253" s="17">
        <f t="shared" si="38"/>
        <v>1960.9890381546495</v>
      </c>
      <c r="P253" s="17">
        <f t="shared" si="39"/>
        <v>588.29671144639485</v>
      </c>
    </row>
    <row r="254" spans="1:16" x14ac:dyDescent="0.3">
      <c r="A254" s="26" t="str">
        <v>C0253</v>
      </c>
      <c r="B254" s="26">
        <f>_xlfn.DAYS(DATE(2024,12,31),_xlfn.MAXIFS(ecommerce_transactions!$D$2:$D$9999, ecommerce_transactions!$B$2:$B$9999, A254))</f>
        <v>10</v>
      </c>
      <c r="C254" s="26">
        <f>COUNTIF(ecommerce_transactions!B:B,main_data!A254)</f>
        <v>12</v>
      </c>
      <c r="D254" s="35">
        <f>SUMIF(ecommerce_transactions!B:B,main_data!A254,ecommerce_transactions!E:E)</f>
        <v>2398.8199999999997</v>
      </c>
      <c r="E254" s="28">
        <f t="shared" si="31"/>
        <v>4</v>
      </c>
      <c r="F254" s="28">
        <f t="shared" si="32"/>
        <v>5</v>
      </c>
      <c r="G254" s="26">
        <f t="shared" si="33"/>
        <v>4</v>
      </c>
      <c r="H254" s="18" t="str">
        <f t="shared" si="34"/>
        <v>454</v>
      </c>
      <c r="I254" s="26" t="str">
        <f t="shared" si="35"/>
        <v>Champions</v>
      </c>
      <c r="J254" s="17">
        <f t="shared" si="36"/>
        <v>199.90166666666664</v>
      </c>
      <c r="K254" s="36">
        <f>_xlfn.MAXIFS(ecommerce_transactions!D:D,ecommerce_transactions!B:B,main_data!A254)</f>
        <v>45647</v>
      </c>
      <c r="L254" s="36">
        <f>_xlfn.MINIFS(ecommerce_transactions!D:D,ecommerce_transactions!B:B,main_data!A254)</f>
        <v>45175</v>
      </c>
      <c r="M254" s="19">
        <f t="shared" si="37"/>
        <v>1.2922655715263518</v>
      </c>
      <c r="N254" s="19">
        <f t="shared" si="30"/>
        <v>6.6954363185029599</v>
      </c>
      <c r="O254" s="17">
        <f t="shared" si="38"/>
        <v>1729.6055604353637</v>
      </c>
      <c r="P254" s="17">
        <f t="shared" si="39"/>
        <v>518.88166813060911</v>
      </c>
    </row>
    <row r="255" spans="1:16" x14ac:dyDescent="0.3">
      <c r="A255" s="26" t="str">
        <v>C0254</v>
      </c>
      <c r="B255" s="26">
        <f>_xlfn.DAYS(DATE(2024,12,31),_xlfn.MAXIFS(ecommerce_transactions!$D$2:$D$9999, ecommerce_transactions!$B$2:$B$9999, A255))</f>
        <v>17</v>
      </c>
      <c r="C255" s="26">
        <f>COUNTIF(ecommerce_transactions!B:B,main_data!A255)</f>
        <v>15</v>
      </c>
      <c r="D255" s="35">
        <f>SUMIF(ecommerce_transactions!B:B,main_data!A255,ecommerce_transactions!E:E)</f>
        <v>4046.0099999999998</v>
      </c>
      <c r="E255" s="28">
        <f t="shared" si="31"/>
        <v>4</v>
      </c>
      <c r="F255" s="28">
        <f t="shared" si="32"/>
        <v>5</v>
      </c>
      <c r="G255" s="26">
        <f t="shared" si="33"/>
        <v>5</v>
      </c>
      <c r="H255" s="18" t="str">
        <f t="shared" si="34"/>
        <v>455</v>
      </c>
      <c r="I255" s="26" t="str">
        <f t="shared" si="35"/>
        <v>Champions</v>
      </c>
      <c r="J255" s="17">
        <f t="shared" si="36"/>
        <v>269.73399999999998</v>
      </c>
      <c r="K255" s="36">
        <f>_xlfn.MAXIFS(ecommerce_transactions!D:D,ecommerce_transactions!B:B,main_data!A255)</f>
        <v>45640</v>
      </c>
      <c r="L255" s="36">
        <f>_xlfn.MINIFS(ecommerce_transactions!D:D,ecommerce_transactions!B:B,main_data!A255)</f>
        <v>45210</v>
      </c>
      <c r="M255" s="19">
        <f t="shared" si="37"/>
        <v>1.1772758384668036</v>
      </c>
      <c r="N255" s="19">
        <f t="shared" si="30"/>
        <v>8.9430728422770862</v>
      </c>
      <c r="O255" s="17">
        <f t="shared" si="38"/>
        <v>2839.8845949806159</v>
      </c>
      <c r="P255" s="17">
        <f t="shared" si="39"/>
        <v>851.96537849418473</v>
      </c>
    </row>
    <row r="256" spans="1:16" x14ac:dyDescent="0.3">
      <c r="A256" s="26" t="str">
        <v>C0255</v>
      </c>
      <c r="B256" s="26">
        <f>_xlfn.DAYS(DATE(2024,12,31),_xlfn.MAXIFS(ecommerce_transactions!$D$2:$D$9999, ecommerce_transactions!$B$2:$B$9999, A256))</f>
        <v>101</v>
      </c>
      <c r="C256" s="26">
        <f>COUNTIF(ecommerce_transactions!B:B,main_data!A256)</f>
        <v>12</v>
      </c>
      <c r="D256" s="35">
        <f>SUMIF(ecommerce_transactions!B:B,main_data!A256,ecommerce_transactions!E:E)</f>
        <v>3023.6</v>
      </c>
      <c r="E256" s="28">
        <f t="shared" si="31"/>
        <v>1</v>
      </c>
      <c r="F256" s="28">
        <f t="shared" si="32"/>
        <v>5</v>
      </c>
      <c r="G256" s="26">
        <f t="shared" si="33"/>
        <v>4</v>
      </c>
      <c r="H256" s="18" t="str">
        <f t="shared" si="34"/>
        <v>154</v>
      </c>
      <c r="I256" s="26" t="str">
        <f t="shared" si="35"/>
        <v>At Risk</v>
      </c>
      <c r="J256" s="17">
        <f t="shared" si="36"/>
        <v>251.96666666666667</v>
      </c>
      <c r="K256" s="36">
        <f>_xlfn.MAXIFS(ecommerce_transactions!D:D,ecommerce_transactions!B:B,main_data!A256)</f>
        <v>45556</v>
      </c>
      <c r="L256" s="36">
        <f>_xlfn.MINIFS(ecommerce_transactions!D:D,ecommerce_transactions!B:B,main_data!A256)</f>
        <v>45214</v>
      </c>
      <c r="M256" s="19">
        <f t="shared" si="37"/>
        <v>0.93634496919917864</v>
      </c>
      <c r="N256" s="19">
        <f t="shared" si="30"/>
        <v>8.3545389563974268</v>
      </c>
      <c r="O256" s="17">
        <f t="shared" si="38"/>
        <v>1971.0673338098643</v>
      </c>
      <c r="P256" s="17">
        <f t="shared" si="39"/>
        <v>591.32020014295927</v>
      </c>
    </row>
    <row r="257" spans="1:16" x14ac:dyDescent="0.3">
      <c r="A257" s="26" t="str">
        <v>C0256</v>
      </c>
      <c r="B257" s="26">
        <f>_xlfn.DAYS(DATE(2024,12,31),_xlfn.MAXIFS(ecommerce_transactions!$D$2:$D$9999, ecommerce_transactions!$B$2:$B$9999, A257))</f>
        <v>36</v>
      </c>
      <c r="C257" s="26">
        <f>COUNTIF(ecommerce_transactions!B:B,main_data!A257)</f>
        <v>12</v>
      </c>
      <c r="D257" s="35">
        <f>SUMIF(ecommerce_transactions!B:B,main_data!A257,ecommerce_transactions!E:E)</f>
        <v>3447.73</v>
      </c>
      <c r="E257" s="28">
        <f t="shared" si="31"/>
        <v>3</v>
      </c>
      <c r="F257" s="28">
        <f t="shared" si="32"/>
        <v>5</v>
      </c>
      <c r="G257" s="26">
        <f t="shared" si="33"/>
        <v>5</v>
      </c>
      <c r="H257" s="18" t="str">
        <f t="shared" si="34"/>
        <v>355</v>
      </c>
      <c r="I257" s="26" t="str">
        <f t="shared" si="35"/>
        <v>Loyal Customers</v>
      </c>
      <c r="J257" s="17">
        <f t="shared" si="36"/>
        <v>287.31083333333333</v>
      </c>
      <c r="K257" s="36">
        <f>_xlfn.MAXIFS(ecommerce_transactions!D:D,ecommerce_transactions!B:B,main_data!A257)</f>
        <v>45621</v>
      </c>
      <c r="L257" s="36">
        <f>_xlfn.MINIFS(ecommerce_transactions!D:D,ecommerce_transactions!B:B,main_data!A257)</f>
        <v>45407</v>
      </c>
      <c r="M257" s="19">
        <f t="shared" si="37"/>
        <v>0.58590006844626963</v>
      </c>
      <c r="N257" s="19">
        <f t="shared" si="30"/>
        <v>11.050740624015129</v>
      </c>
      <c r="O257" s="17">
        <f t="shared" si="38"/>
        <v>1860.2312511818468</v>
      </c>
      <c r="P257" s="17">
        <f t="shared" si="39"/>
        <v>558.06937535455404</v>
      </c>
    </row>
    <row r="258" spans="1:16" x14ac:dyDescent="0.3">
      <c r="A258" s="26" t="str">
        <v>C0257</v>
      </c>
      <c r="B258" s="26">
        <f>_xlfn.DAYS(DATE(2024,12,31),_xlfn.MAXIFS(ecommerce_transactions!$D$2:$D$9999, ecommerce_transactions!$B$2:$B$9999, A258))</f>
        <v>40</v>
      </c>
      <c r="C258" s="26">
        <f>COUNTIF(ecommerce_transactions!B:B,main_data!A258)</f>
        <v>2</v>
      </c>
      <c r="D258" s="35">
        <f>SUMIF(ecommerce_transactions!B:B,main_data!A258,ecommerce_transactions!E:E)</f>
        <v>555.79999999999995</v>
      </c>
      <c r="E258" s="28">
        <f t="shared" si="31"/>
        <v>3</v>
      </c>
      <c r="F258" s="28">
        <f t="shared" si="32"/>
        <v>1</v>
      </c>
      <c r="G258" s="26">
        <f t="shared" si="33"/>
        <v>1</v>
      </c>
      <c r="H258" s="18" t="str">
        <f t="shared" si="34"/>
        <v>311</v>
      </c>
      <c r="I258" s="26" t="str">
        <f t="shared" si="35"/>
        <v>Lost</v>
      </c>
      <c r="J258" s="17">
        <f t="shared" si="36"/>
        <v>277.89999999999998</v>
      </c>
      <c r="K258" s="36">
        <f>_xlfn.MAXIFS(ecommerce_transactions!D:D,ecommerce_transactions!B:B,main_data!A258)</f>
        <v>45617</v>
      </c>
      <c r="L258" s="36">
        <f>_xlfn.MINIFS(ecommerce_transactions!D:D,ecommerce_transactions!B:B,main_data!A258)</f>
        <v>45485</v>
      </c>
      <c r="M258" s="19">
        <f t="shared" si="37"/>
        <v>0.3613963039014374</v>
      </c>
      <c r="N258" s="19">
        <f t="shared" ref="N258:N321" si="40">C258/(M258+0.5)</f>
        <v>2.3218116805721096</v>
      </c>
      <c r="O258" s="17">
        <f t="shared" si="38"/>
        <v>233.18426698450534</v>
      </c>
      <c r="P258" s="17">
        <f t="shared" si="39"/>
        <v>69.955280095351597</v>
      </c>
    </row>
    <row r="259" spans="1:16" x14ac:dyDescent="0.3">
      <c r="A259" s="26" t="str">
        <v>C0258</v>
      </c>
      <c r="B259" s="26">
        <f>_xlfn.DAYS(DATE(2024,12,31),_xlfn.MAXIFS(ecommerce_transactions!$D$2:$D$9999, ecommerce_transactions!$B$2:$B$9999, A259))</f>
        <v>41</v>
      </c>
      <c r="C259" s="26">
        <f>COUNTIF(ecommerce_transactions!B:B,main_data!A259)</f>
        <v>5</v>
      </c>
      <c r="D259" s="35">
        <f>SUMIF(ecommerce_transactions!B:B,main_data!A259,ecommerce_transactions!E:E)</f>
        <v>1214.8900000000001</v>
      </c>
      <c r="E259" s="28">
        <f t="shared" ref="E259:E322" si="41">IF(B259&lt;=PERCENTILE($B$2:$B$501,0.2),5,IF(B259&lt;=PERCENTILE($B$2:$B$501,0.4),4,IF(B259&lt;=PERCENTILE($B$2:$B$501,0.6),3,IF(B259&lt;=PERCENTILE($B$2:$B$501,0.8),2,1))))</f>
        <v>3</v>
      </c>
      <c r="F259" s="28">
        <f t="shared" ref="F259:F322" si="42">IF(C259&gt;=PERCENTILE($C$2:$C$501, 0.8), 5,IF(C259&gt;=PERCENTILE($C$2:$C$501, 0.6), 4, IF(C259&gt;=PERCENTILE($C$2:$C$501, 0.4), 3, IF(C259&gt;=PERCENTILE($C$2:$C$501, 0.2), 2, 1))))</f>
        <v>2</v>
      </c>
      <c r="G259" s="26">
        <f t="shared" ref="G259:G322" si="43">IF(D259&gt;=PERCENTILE($D$2:$D$501,0.8),5,IF(D259&gt;=PERCENTILE($D$2:$D$501,0.6),4,IF(D259&gt;=PERCENTILE($D$2:$D$501,0.4),3,IF(D259&gt;=PERCENTILE($D$2:$D$501,0.2),2,1))))</f>
        <v>2</v>
      </c>
      <c r="H259" s="18" t="str">
        <f t="shared" ref="H259:H322" si="44">CONCATENATE(E259,F259,G259)</f>
        <v>322</v>
      </c>
      <c r="I259" s="26" t="str">
        <f t="shared" ref="I259:I322" si="45">IF(AND(E259&gt;=4, F259&gt;=4, G259&gt;=4), "Champions",
    IF(AND(E259&gt;=3, F259&gt;=3, G259&gt;=3), "Loyal Customers",
    IF(AND(E259&gt;=4, F259&lt;=2), "New Customers",
    IF(AND(E259&gt;=4, F259&gt;=2, G259&gt;=2), "Potential Loyalists",
    IF(AND(G259&gt;=4, E259&lt;=2, F259&lt;=2), "Cannot Lose Them",
    IF(AND(F259&gt;=3, E259&lt;=2), "At Risk",
    IF(AND(E259&lt;=2, F259&lt;=2), "About to Sleep",
    IF(AND(E259&lt;=2, F259&lt;=3), "Hibernating", "Lost"))))))))</f>
        <v>Lost</v>
      </c>
      <c r="J259" s="17">
        <f t="shared" ref="J259:J322" si="46">D259/C259</f>
        <v>242.97800000000001</v>
      </c>
      <c r="K259" s="36">
        <f>_xlfn.MAXIFS(ecommerce_transactions!D:D,ecommerce_transactions!B:B,main_data!A259)</f>
        <v>45616</v>
      </c>
      <c r="L259" s="36">
        <f>_xlfn.MINIFS(ecommerce_transactions!D:D,ecommerce_transactions!B:B,main_data!A259)</f>
        <v>45036</v>
      </c>
      <c r="M259" s="19">
        <f t="shared" ref="M259:M322" si="47">(K259-L259)/365.25</f>
        <v>1.5879534565366187</v>
      </c>
      <c r="N259" s="19">
        <f t="shared" si="40"/>
        <v>2.3946893951811177</v>
      </c>
      <c r="O259" s="17">
        <f t="shared" ref="O259:O322" si="48">J259*N259*M259</f>
        <v>923.96158006884116</v>
      </c>
      <c r="P259" s="17">
        <f t="shared" ref="P259:P322" si="49">O259*0.3</f>
        <v>277.18847402065234</v>
      </c>
    </row>
    <row r="260" spans="1:16" x14ac:dyDescent="0.3">
      <c r="A260" s="26" t="str">
        <v>C0259</v>
      </c>
      <c r="B260" s="26">
        <f>_xlfn.DAYS(DATE(2024,12,31),_xlfn.MAXIFS(ecommerce_transactions!$D$2:$D$9999, ecommerce_transactions!$B$2:$B$9999, A260))</f>
        <v>51</v>
      </c>
      <c r="C260" s="26">
        <f>COUNTIF(ecommerce_transactions!B:B,main_data!A260)</f>
        <v>14</v>
      </c>
      <c r="D260" s="35">
        <f>SUMIF(ecommerce_transactions!B:B,main_data!A260,ecommerce_transactions!E:E)</f>
        <v>3482.53</v>
      </c>
      <c r="E260" s="28">
        <f t="shared" si="41"/>
        <v>2</v>
      </c>
      <c r="F260" s="28">
        <f t="shared" si="42"/>
        <v>5</v>
      </c>
      <c r="G260" s="26">
        <f t="shared" si="43"/>
        <v>5</v>
      </c>
      <c r="H260" s="18" t="str">
        <f t="shared" si="44"/>
        <v>255</v>
      </c>
      <c r="I260" s="26" t="str">
        <f t="shared" si="45"/>
        <v>At Risk</v>
      </c>
      <c r="J260" s="17">
        <f t="shared" si="46"/>
        <v>248.75214285714287</v>
      </c>
      <c r="K260" s="36">
        <f>_xlfn.MAXIFS(ecommerce_transactions!D:D,ecommerce_transactions!B:B,main_data!A260)</f>
        <v>45606</v>
      </c>
      <c r="L260" s="36">
        <f>_xlfn.MINIFS(ecommerce_transactions!D:D,ecommerce_transactions!B:B,main_data!A260)</f>
        <v>45304</v>
      </c>
      <c r="M260" s="19">
        <f t="shared" si="47"/>
        <v>0.8268309377138946</v>
      </c>
      <c r="N260" s="19">
        <f t="shared" si="40"/>
        <v>10.551457312354913</v>
      </c>
      <c r="O260" s="17">
        <f t="shared" si="48"/>
        <v>2170.1811916430229</v>
      </c>
      <c r="P260" s="17">
        <f t="shared" si="49"/>
        <v>651.05435749290689</v>
      </c>
    </row>
    <row r="261" spans="1:16" x14ac:dyDescent="0.3">
      <c r="A261" s="26" t="str">
        <v>C0260</v>
      </c>
      <c r="B261" s="26">
        <f>_xlfn.DAYS(DATE(2024,12,31),_xlfn.MAXIFS(ecommerce_transactions!$D$2:$D$9999, ecommerce_transactions!$B$2:$B$9999, A261))</f>
        <v>26</v>
      </c>
      <c r="C261" s="26">
        <f>COUNTIF(ecommerce_transactions!B:B,main_data!A261)</f>
        <v>2</v>
      </c>
      <c r="D261" s="35">
        <f>SUMIF(ecommerce_transactions!B:B,main_data!A261,ecommerce_transactions!E:E)</f>
        <v>674.04</v>
      </c>
      <c r="E261" s="28">
        <f t="shared" si="41"/>
        <v>3</v>
      </c>
      <c r="F261" s="28">
        <f t="shared" si="42"/>
        <v>1</v>
      </c>
      <c r="G261" s="26">
        <f t="shared" si="43"/>
        <v>1</v>
      </c>
      <c r="H261" s="18" t="str">
        <f t="shared" si="44"/>
        <v>311</v>
      </c>
      <c r="I261" s="26" t="str">
        <f t="shared" si="45"/>
        <v>Lost</v>
      </c>
      <c r="J261" s="17">
        <f t="shared" si="46"/>
        <v>337.02</v>
      </c>
      <c r="K261" s="36">
        <f>_xlfn.MAXIFS(ecommerce_transactions!D:D,ecommerce_transactions!B:B,main_data!A261)</f>
        <v>45631</v>
      </c>
      <c r="L261" s="36">
        <f>_xlfn.MINIFS(ecommerce_transactions!D:D,ecommerce_transactions!B:B,main_data!A261)</f>
        <v>45338</v>
      </c>
      <c r="M261" s="19">
        <f t="shared" si="47"/>
        <v>0.80219028062970565</v>
      </c>
      <c r="N261" s="19">
        <f t="shared" si="40"/>
        <v>1.5358738501971092</v>
      </c>
      <c r="O261" s="17">
        <f t="shared" si="48"/>
        <v>415.2298975032852</v>
      </c>
      <c r="P261" s="17">
        <f t="shared" si="49"/>
        <v>124.56896925098556</v>
      </c>
    </row>
    <row r="262" spans="1:16" x14ac:dyDescent="0.3">
      <c r="A262" s="26" t="str">
        <v>C0261</v>
      </c>
      <c r="B262" s="26">
        <f>_xlfn.DAYS(DATE(2024,12,31),_xlfn.MAXIFS(ecommerce_transactions!$D$2:$D$9999, ecommerce_transactions!$B$2:$B$9999, A262))</f>
        <v>170</v>
      </c>
      <c r="C262" s="26">
        <f>COUNTIF(ecommerce_transactions!B:B,main_data!A262)</f>
        <v>4</v>
      </c>
      <c r="D262" s="35">
        <f>SUMIF(ecommerce_transactions!B:B,main_data!A262,ecommerce_transactions!E:E)</f>
        <v>586.89</v>
      </c>
      <c r="E262" s="28">
        <f t="shared" si="41"/>
        <v>1</v>
      </c>
      <c r="F262" s="28">
        <f t="shared" si="42"/>
        <v>2</v>
      </c>
      <c r="G262" s="26">
        <f t="shared" si="43"/>
        <v>1</v>
      </c>
      <c r="H262" s="18" t="str">
        <f t="shared" si="44"/>
        <v>121</v>
      </c>
      <c r="I262" s="26" t="str">
        <f t="shared" si="45"/>
        <v>About to Sleep</v>
      </c>
      <c r="J262" s="17">
        <f t="shared" si="46"/>
        <v>146.7225</v>
      </c>
      <c r="K262" s="36">
        <f>_xlfn.MAXIFS(ecommerce_transactions!D:D,ecommerce_transactions!B:B,main_data!A262)</f>
        <v>45487</v>
      </c>
      <c r="L262" s="36">
        <f>_xlfn.MINIFS(ecommerce_transactions!D:D,ecommerce_transactions!B:B,main_data!A262)</f>
        <v>45073</v>
      </c>
      <c r="M262" s="19">
        <f t="shared" si="47"/>
        <v>1.1334702258726899</v>
      </c>
      <c r="N262" s="19">
        <f t="shared" si="40"/>
        <v>2.4487743557510999</v>
      </c>
      <c r="O262" s="17">
        <f t="shared" si="48"/>
        <v>407.24485229415455</v>
      </c>
      <c r="P262" s="17">
        <f t="shared" si="49"/>
        <v>122.17345568824636</v>
      </c>
    </row>
    <row r="263" spans="1:16" x14ac:dyDescent="0.3">
      <c r="A263" s="26" t="str">
        <v>C0262</v>
      </c>
      <c r="B263" s="26">
        <f>_xlfn.DAYS(DATE(2024,12,31),_xlfn.MAXIFS(ecommerce_transactions!$D$2:$D$9999, ecommerce_transactions!$B$2:$B$9999, A263))</f>
        <v>217</v>
      </c>
      <c r="C263" s="26">
        <f>COUNTIF(ecommerce_transactions!B:B,main_data!A263)</f>
        <v>4</v>
      </c>
      <c r="D263" s="35">
        <f>SUMIF(ecommerce_transactions!B:B,main_data!A263,ecommerce_transactions!E:E)</f>
        <v>1230.06</v>
      </c>
      <c r="E263" s="28">
        <f t="shared" si="41"/>
        <v>1</v>
      </c>
      <c r="F263" s="28">
        <f t="shared" si="42"/>
        <v>2</v>
      </c>
      <c r="G263" s="26">
        <f t="shared" si="43"/>
        <v>2</v>
      </c>
      <c r="H263" s="18" t="str">
        <f t="shared" si="44"/>
        <v>122</v>
      </c>
      <c r="I263" s="26" t="str">
        <f t="shared" si="45"/>
        <v>About to Sleep</v>
      </c>
      <c r="J263" s="17">
        <f t="shared" si="46"/>
        <v>307.51499999999999</v>
      </c>
      <c r="K263" s="36">
        <f>_xlfn.MAXIFS(ecommerce_transactions!D:D,ecommerce_transactions!B:B,main_data!A263)</f>
        <v>45440</v>
      </c>
      <c r="L263" s="36">
        <f>_xlfn.MINIFS(ecommerce_transactions!D:D,ecommerce_transactions!B:B,main_data!A263)</f>
        <v>45111</v>
      </c>
      <c r="M263" s="19">
        <f t="shared" si="47"/>
        <v>0.90075290896646132</v>
      </c>
      <c r="N263" s="19">
        <f t="shared" si="40"/>
        <v>2.8556071341314437</v>
      </c>
      <c r="O263" s="17">
        <f t="shared" si="48"/>
        <v>790.98898607378442</v>
      </c>
      <c r="P263" s="17">
        <f t="shared" si="49"/>
        <v>237.29669582213532</v>
      </c>
    </row>
    <row r="264" spans="1:16" x14ac:dyDescent="0.3">
      <c r="A264" s="26" t="str">
        <v>C0263</v>
      </c>
      <c r="B264" s="26">
        <f>_xlfn.DAYS(DATE(2024,12,31),_xlfn.MAXIFS(ecommerce_transactions!$D$2:$D$9999, ecommerce_transactions!$B$2:$B$9999, A264))</f>
        <v>12</v>
      </c>
      <c r="C264" s="26">
        <f>COUNTIF(ecommerce_transactions!B:B,main_data!A264)</f>
        <v>5</v>
      </c>
      <c r="D264" s="35">
        <f>SUMIF(ecommerce_transactions!B:B,main_data!A264,ecommerce_transactions!E:E)</f>
        <v>868.54</v>
      </c>
      <c r="E264" s="28">
        <f t="shared" si="41"/>
        <v>4</v>
      </c>
      <c r="F264" s="28">
        <f t="shared" si="42"/>
        <v>2</v>
      </c>
      <c r="G264" s="26">
        <f t="shared" si="43"/>
        <v>1</v>
      </c>
      <c r="H264" s="18" t="str">
        <f t="shared" si="44"/>
        <v>421</v>
      </c>
      <c r="I264" s="26" t="str">
        <f t="shared" si="45"/>
        <v>New Customers</v>
      </c>
      <c r="J264" s="17">
        <f t="shared" si="46"/>
        <v>173.708</v>
      </c>
      <c r="K264" s="36">
        <f>_xlfn.MAXIFS(ecommerce_transactions!D:D,ecommerce_transactions!B:B,main_data!A264)</f>
        <v>45645</v>
      </c>
      <c r="L264" s="36">
        <f>_xlfn.MINIFS(ecommerce_transactions!D:D,ecommerce_transactions!B:B,main_data!A264)</f>
        <v>45524</v>
      </c>
      <c r="M264" s="19">
        <f t="shared" si="47"/>
        <v>0.33127994524298426</v>
      </c>
      <c r="N264" s="19">
        <f t="shared" si="40"/>
        <v>6.0148209139563606</v>
      </c>
      <c r="O264" s="17">
        <f t="shared" si="48"/>
        <v>346.12874433923423</v>
      </c>
      <c r="P264" s="17">
        <f t="shared" si="49"/>
        <v>103.83862330177027</v>
      </c>
    </row>
    <row r="265" spans="1:16" x14ac:dyDescent="0.3">
      <c r="A265" s="26" t="str">
        <v>C0264</v>
      </c>
      <c r="B265" s="26">
        <f>_xlfn.DAYS(DATE(2024,12,31),_xlfn.MAXIFS(ecommerce_transactions!$D$2:$D$9999, ecommerce_transactions!$B$2:$B$9999, A265))</f>
        <v>45</v>
      </c>
      <c r="C265" s="26">
        <f>COUNTIF(ecommerce_transactions!B:B,main_data!A265)</f>
        <v>11</v>
      </c>
      <c r="D265" s="35">
        <f>SUMIF(ecommerce_transactions!B:B,main_data!A265,ecommerce_transactions!E:E)</f>
        <v>2399.6000000000004</v>
      </c>
      <c r="E265" s="28">
        <f t="shared" si="41"/>
        <v>2</v>
      </c>
      <c r="F265" s="28">
        <f t="shared" si="42"/>
        <v>4</v>
      </c>
      <c r="G265" s="26">
        <f t="shared" si="43"/>
        <v>4</v>
      </c>
      <c r="H265" s="18" t="str">
        <f t="shared" si="44"/>
        <v>244</v>
      </c>
      <c r="I265" s="26" t="str">
        <f t="shared" si="45"/>
        <v>At Risk</v>
      </c>
      <c r="J265" s="17">
        <f t="shared" si="46"/>
        <v>218.14545454545458</v>
      </c>
      <c r="K265" s="36">
        <f>_xlfn.MAXIFS(ecommerce_transactions!D:D,ecommerce_transactions!B:B,main_data!A265)</f>
        <v>45612</v>
      </c>
      <c r="L265" s="36">
        <f>_xlfn.MINIFS(ecommerce_transactions!D:D,ecommerce_transactions!B:B,main_data!A265)</f>
        <v>45419</v>
      </c>
      <c r="M265" s="19">
        <f t="shared" si="47"/>
        <v>0.52840520191649554</v>
      </c>
      <c r="N265" s="19">
        <f t="shared" si="40"/>
        <v>10.696173044925125</v>
      </c>
      <c r="O265" s="17">
        <f t="shared" si="48"/>
        <v>1232.9392346089853</v>
      </c>
      <c r="P265" s="17">
        <f t="shared" si="49"/>
        <v>369.88177038269561</v>
      </c>
    </row>
    <row r="266" spans="1:16" x14ac:dyDescent="0.3">
      <c r="A266" s="26" t="str">
        <v>C0265</v>
      </c>
      <c r="B266" s="26">
        <f>_xlfn.DAYS(DATE(2024,12,31),_xlfn.MAXIFS(ecommerce_transactions!$D$2:$D$9999, ecommerce_transactions!$B$2:$B$9999, A266))</f>
        <v>4</v>
      </c>
      <c r="C266" s="26">
        <f>COUNTIF(ecommerce_transactions!B:B,main_data!A266)</f>
        <v>13</v>
      </c>
      <c r="D266" s="35">
        <f>SUMIF(ecommerce_transactions!B:B,main_data!A266,ecommerce_transactions!E:E)</f>
        <v>3344.87</v>
      </c>
      <c r="E266" s="28">
        <f t="shared" si="41"/>
        <v>5</v>
      </c>
      <c r="F266" s="28">
        <f t="shared" si="42"/>
        <v>5</v>
      </c>
      <c r="G266" s="26">
        <f t="shared" si="43"/>
        <v>5</v>
      </c>
      <c r="H266" s="18" t="str">
        <f t="shared" si="44"/>
        <v>555</v>
      </c>
      <c r="I266" s="26" t="str">
        <f t="shared" si="45"/>
        <v>Champions</v>
      </c>
      <c r="J266" s="17">
        <f t="shared" si="46"/>
        <v>257.29769230769227</v>
      </c>
      <c r="K266" s="36">
        <f>_xlfn.MAXIFS(ecommerce_transactions!D:D,ecommerce_transactions!B:B,main_data!A266)</f>
        <v>45653</v>
      </c>
      <c r="L266" s="36">
        <f>_xlfn.MINIFS(ecommerce_transactions!D:D,ecommerce_transactions!B:B,main_data!A266)</f>
        <v>45619</v>
      </c>
      <c r="M266" s="19">
        <f t="shared" si="47"/>
        <v>9.3086926762491445E-2</v>
      </c>
      <c r="N266" s="19">
        <f t="shared" si="40"/>
        <v>21.91921523369879</v>
      </c>
      <c r="O266" s="17">
        <f t="shared" si="48"/>
        <v>524.9882515868436</v>
      </c>
      <c r="P266" s="17">
        <f t="shared" si="49"/>
        <v>157.49647547605306</v>
      </c>
    </row>
    <row r="267" spans="1:16" x14ac:dyDescent="0.3">
      <c r="A267" s="26" t="str">
        <v>C0266</v>
      </c>
      <c r="B267" s="26">
        <f>_xlfn.DAYS(DATE(2024,12,31),_xlfn.MAXIFS(ecommerce_transactions!$D$2:$D$9999, ecommerce_transactions!$B$2:$B$9999, A267))</f>
        <v>176</v>
      </c>
      <c r="C267" s="26">
        <f>COUNTIF(ecommerce_transactions!B:B,main_data!A267)</f>
        <v>7</v>
      </c>
      <c r="D267" s="35">
        <f>SUMIF(ecommerce_transactions!B:B,main_data!A267,ecommerce_transactions!E:E)</f>
        <v>1896.1100000000001</v>
      </c>
      <c r="E267" s="28">
        <f t="shared" si="41"/>
        <v>1</v>
      </c>
      <c r="F267" s="28">
        <f t="shared" si="42"/>
        <v>3</v>
      </c>
      <c r="G267" s="26">
        <f t="shared" si="43"/>
        <v>3</v>
      </c>
      <c r="H267" s="18" t="str">
        <f t="shared" si="44"/>
        <v>133</v>
      </c>
      <c r="I267" s="26" t="str">
        <f t="shared" si="45"/>
        <v>At Risk</v>
      </c>
      <c r="J267" s="17">
        <f t="shared" si="46"/>
        <v>270.87285714285719</v>
      </c>
      <c r="K267" s="36">
        <f>_xlfn.MAXIFS(ecommerce_transactions!D:D,ecommerce_transactions!B:B,main_data!A267)</f>
        <v>45481</v>
      </c>
      <c r="L267" s="36">
        <f>_xlfn.MINIFS(ecommerce_transactions!D:D,ecommerce_transactions!B:B,main_data!A267)</f>
        <v>45146</v>
      </c>
      <c r="M267" s="19">
        <f t="shared" si="47"/>
        <v>0.91718001368925395</v>
      </c>
      <c r="N267" s="19">
        <f t="shared" si="40"/>
        <v>4.9393866215889881</v>
      </c>
      <c r="O267" s="17">
        <f t="shared" si="48"/>
        <v>1227.1371166384934</v>
      </c>
      <c r="P267" s="17">
        <f t="shared" si="49"/>
        <v>368.14113499154797</v>
      </c>
    </row>
    <row r="268" spans="1:16" x14ac:dyDescent="0.3">
      <c r="A268" s="26" t="str">
        <v>C0267</v>
      </c>
      <c r="B268" s="26">
        <f>_xlfn.DAYS(DATE(2024,12,31),_xlfn.MAXIFS(ecommerce_transactions!$D$2:$D$9999, ecommerce_transactions!$B$2:$B$9999, A268))</f>
        <v>129</v>
      </c>
      <c r="C268" s="26">
        <f>COUNTIF(ecommerce_transactions!B:B,main_data!A268)</f>
        <v>5</v>
      </c>
      <c r="D268" s="35">
        <f>SUMIF(ecommerce_transactions!B:B,main_data!A268,ecommerce_transactions!E:E)</f>
        <v>1586.5700000000002</v>
      </c>
      <c r="E268" s="28">
        <f t="shared" si="41"/>
        <v>1</v>
      </c>
      <c r="F268" s="28">
        <f t="shared" si="42"/>
        <v>2</v>
      </c>
      <c r="G268" s="26">
        <f t="shared" si="43"/>
        <v>3</v>
      </c>
      <c r="H268" s="18" t="str">
        <f t="shared" si="44"/>
        <v>123</v>
      </c>
      <c r="I268" s="26" t="str">
        <f t="shared" si="45"/>
        <v>About to Sleep</v>
      </c>
      <c r="J268" s="17">
        <f t="shared" si="46"/>
        <v>317.31400000000002</v>
      </c>
      <c r="K268" s="36">
        <f>_xlfn.MAXIFS(ecommerce_transactions!D:D,ecommerce_transactions!B:B,main_data!A268)</f>
        <v>45528</v>
      </c>
      <c r="L268" s="36">
        <f>_xlfn.MINIFS(ecommerce_transactions!D:D,ecommerce_transactions!B:B,main_data!A268)</f>
        <v>45454</v>
      </c>
      <c r="M268" s="19">
        <f t="shared" si="47"/>
        <v>0.20260095824777549</v>
      </c>
      <c r="N268" s="19">
        <f t="shared" si="40"/>
        <v>7.1164150024354607</v>
      </c>
      <c r="O268" s="17">
        <f t="shared" si="48"/>
        <v>457.50094495859719</v>
      </c>
      <c r="P268" s="17">
        <f t="shared" si="49"/>
        <v>137.25028348757914</v>
      </c>
    </row>
    <row r="269" spans="1:16" x14ac:dyDescent="0.3">
      <c r="A269" s="26" t="str">
        <v>C0268</v>
      </c>
      <c r="B269" s="26">
        <f>_xlfn.DAYS(DATE(2024,12,31),_xlfn.MAXIFS(ecommerce_transactions!$D$2:$D$9999, ecommerce_transactions!$B$2:$B$9999, A269))</f>
        <v>24</v>
      </c>
      <c r="C269" s="26">
        <f>COUNTIF(ecommerce_transactions!B:B,main_data!A269)</f>
        <v>12</v>
      </c>
      <c r="D269" s="35">
        <f>SUMIF(ecommerce_transactions!B:B,main_data!A269,ecommerce_transactions!E:E)</f>
        <v>2896.9000000000005</v>
      </c>
      <c r="E269" s="28">
        <f t="shared" si="41"/>
        <v>3</v>
      </c>
      <c r="F269" s="28">
        <f t="shared" si="42"/>
        <v>5</v>
      </c>
      <c r="G269" s="26">
        <f t="shared" si="43"/>
        <v>4</v>
      </c>
      <c r="H269" s="18" t="str">
        <f t="shared" si="44"/>
        <v>354</v>
      </c>
      <c r="I269" s="26" t="str">
        <f t="shared" si="45"/>
        <v>Loyal Customers</v>
      </c>
      <c r="J269" s="17">
        <f t="shared" si="46"/>
        <v>241.40833333333339</v>
      </c>
      <c r="K269" s="36">
        <f>_xlfn.MAXIFS(ecommerce_transactions!D:D,ecommerce_transactions!B:B,main_data!A269)</f>
        <v>45633</v>
      </c>
      <c r="L269" s="36">
        <f>_xlfn.MINIFS(ecommerce_transactions!D:D,ecommerce_transactions!B:B,main_data!A269)</f>
        <v>45409</v>
      </c>
      <c r="M269" s="19">
        <f t="shared" si="47"/>
        <v>0.61327857631759064</v>
      </c>
      <c r="N269" s="19">
        <f t="shared" si="40"/>
        <v>10.778973255456501</v>
      </c>
      <c r="O269" s="17">
        <f t="shared" si="48"/>
        <v>1595.8330156778361</v>
      </c>
      <c r="P269" s="17">
        <f t="shared" si="49"/>
        <v>478.74990470335081</v>
      </c>
    </row>
    <row r="270" spans="1:16" x14ac:dyDescent="0.3">
      <c r="A270" s="26" t="str">
        <v>C0269</v>
      </c>
      <c r="B270" s="26">
        <f>_xlfn.DAYS(DATE(2024,12,31),_xlfn.MAXIFS(ecommerce_transactions!$D$2:$D$9999, ecommerce_transactions!$B$2:$B$9999, A270))</f>
        <v>28</v>
      </c>
      <c r="C270" s="26">
        <f>COUNTIF(ecommerce_transactions!B:B,main_data!A270)</f>
        <v>8</v>
      </c>
      <c r="D270" s="35">
        <f>SUMIF(ecommerce_transactions!B:B,main_data!A270,ecommerce_transactions!E:E)</f>
        <v>1911.36</v>
      </c>
      <c r="E270" s="28">
        <f t="shared" si="41"/>
        <v>3</v>
      </c>
      <c r="F270" s="28">
        <f t="shared" si="42"/>
        <v>3</v>
      </c>
      <c r="G270" s="26">
        <f t="shared" si="43"/>
        <v>3</v>
      </c>
      <c r="H270" s="18" t="str">
        <f t="shared" si="44"/>
        <v>333</v>
      </c>
      <c r="I270" s="26" t="str">
        <f t="shared" si="45"/>
        <v>Loyal Customers</v>
      </c>
      <c r="J270" s="17">
        <f t="shared" si="46"/>
        <v>238.92</v>
      </c>
      <c r="K270" s="36">
        <f>_xlfn.MAXIFS(ecommerce_transactions!D:D,ecommerce_transactions!B:B,main_data!A270)</f>
        <v>45629</v>
      </c>
      <c r="L270" s="36">
        <f>_xlfn.MINIFS(ecommerce_transactions!D:D,ecommerce_transactions!B:B,main_data!A270)</f>
        <v>45107</v>
      </c>
      <c r="M270" s="19">
        <f t="shared" si="47"/>
        <v>1.429158110882957</v>
      </c>
      <c r="N270" s="19">
        <f t="shared" si="40"/>
        <v>4.1468866418307613</v>
      </c>
      <c r="O270" s="17">
        <f t="shared" si="48"/>
        <v>1415.9729217668973</v>
      </c>
      <c r="P270" s="17">
        <f t="shared" si="49"/>
        <v>424.7918765300692</v>
      </c>
    </row>
    <row r="271" spans="1:16" x14ac:dyDescent="0.3">
      <c r="A271" s="26" t="str">
        <v>C0270</v>
      </c>
      <c r="B271" s="26">
        <f>_xlfn.DAYS(DATE(2024,12,31),_xlfn.MAXIFS(ecommerce_transactions!$D$2:$D$9999, ecommerce_transactions!$B$2:$B$9999, A271))</f>
        <v>2</v>
      </c>
      <c r="C271" s="26">
        <f>COUNTIF(ecommerce_transactions!B:B,main_data!A271)</f>
        <v>7</v>
      </c>
      <c r="D271" s="35">
        <f>SUMIF(ecommerce_transactions!B:B,main_data!A271,ecommerce_transactions!E:E)</f>
        <v>2242.0100000000002</v>
      </c>
      <c r="E271" s="28">
        <f t="shared" si="41"/>
        <v>5</v>
      </c>
      <c r="F271" s="28">
        <f t="shared" si="42"/>
        <v>3</v>
      </c>
      <c r="G271" s="26">
        <f t="shared" si="43"/>
        <v>3</v>
      </c>
      <c r="H271" s="18" t="str">
        <f t="shared" si="44"/>
        <v>533</v>
      </c>
      <c r="I271" s="26" t="str">
        <f t="shared" si="45"/>
        <v>Loyal Customers</v>
      </c>
      <c r="J271" s="17">
        <f t="shared" si="46"/>
        <v>320.2871428571429</v>
      </c>
      <c r="K271" s="36">
        <f>_xlfn.MAXIFS(ecommerce_transactions!D:D,ecommerce_transactions!B:B,main_data!A271)</f>
        <v>45655</v>
      </c>
      <c r="L271" s="36">
        <f>_xlfn.MINIFS(ecommerce_transactions!D:D,ecommerce_transactions!B:B,main_data!A271)</f>
        <v>45526</v>
      </c>
      <c r="M271" s="19">
        <f t="shared" si="47"/>
        <v>0.35318275154004108</v>
      </c>
      <c r="N271" s="19">
        <f t="shared" si="40"/>
        <v>8.2045728038507821</v>
      </c>
      <c r="O271" s="17">
        <f t="shared" si="48"/>
        <v>928.10040914560784</v>
      </c>
      <c r="P271" s="17">
        <f t="shared" si="49"/>
        <v>278.43012274368232</v>
      </c>
    </row>
    <row r="272" spans="1:16" x14ac:dyDescent="0.3">
      <c r="A272" s="26" t="str">
        <v>C0271</v>
      </c>
      <c r="B272" s="26">
        <f>_xlfn.DAYS(DATE(2024,12,31),_xlfn.MAXIFS(ecommerce_transactions!$D$2:$D$9999, ecommerce_transactions!$B$2:$B$9999, A272))</f>
        <v>21</v>
      </c>
      <c r="C272" s="26">
        <f>COUNTIF(ecommerce_transactions!B:B,main_data!A272)</f>
        <v>8</v>
      </c>
      <c r="D272" s="35">
        <f>SUMIF(ecommerce_transactions!B:B,main_data!A272,ecommerce_transactions!E:E)</f>
        <v>1868.44</v>
      </c>
      <c r="E272" s="28">
        <f t="shared" si="41"/>
        <v>3</v>
      </c>
      <c r="F272" s="28">
        <f t="shared" si="42"/>
        <v>3</v>
      </c>
      <c r="G272" s="26">
        <f t="shared" si="43"/>
        <v>3</v>
      </c>
      <c r="H272" s="18" t="str">
        <f t="shared" si="44"/>
        <v>333</v>
      </c>
      <c r="I272" s="26" t="str">
        <f t="shared" si="45"/>
        <v>Loyal Customers</v>
      </c>
      <c r="J272" s="17">
        <f t="shared" si="46"/>
        <v>233.55500000000001</v>
      </c>
      <c r="K272" s="36">
        <f>_xlfn.MAXIFS(ecommerce_transactions!D:D,ecommerce_transactions!B:B,main_data!A272)</f>
        <v>45636</v>
      </c>
      <c r="L272" s="36">
        <f>_xlfn.MINIFS(ecommerce_transactions!D:D,ecommerce_transactions!B:B,main_data!A272)</f>
        <v>45429</v>
      </c>
      <c r="M272" s="19">
        <f t="shared" si="47"/>
        <v>0.56673511293634493</v>
      </c>
      <c r="N272" s="19">
        <f t="shared" si="40"/>
        <v>7.4995187680461983</v>
      </c>
      <c r="O272" s="17">
        <f t="shared" si="48"/>
        <v>992.66494706448509</v>
      </c>
      <c r="P272" s="17">
        <f t="shared" si="49"/>
        <v>297.79948411934549</v>
      </c>
    </row>
    <row r="273" spans="1:16" x14ac:dyDescent="0.3">
      <c r="A273" s="26" t="str">
        <v>C0272</v>
      </c>
      <c r="B273" s="26">
        <f>_xlfn.DAYS(DATE(2024,12,31),_xlfn.MAXIFS(ecommerce_transactions!$D$2:$D$9999, ecommerce_transactions!$B$2:$B$9999, A273))</f>
        <v>26</v>
      </c>
      <c r="C273" s="26">
        <f>COUNTIF(ecommerce_transactions!B:B,main_data!A273)</f>
        <v>7</v>
      </c>
      <c r="D273" s="35">
        <f>SUMIF(ecommerce_transactions!B:B,main_data!A273,ecommerce_transactions!E:E)</f>
        <v>2168.09</v>
      </c>
      <c r="E273" s="28">
        <f t="shared" si="41"/>
        <v>3</v>
      </c>
      <c r="F273" s="28">
        <f t="shared" si="42"/>
        <v>3</v>
      </c>
      <c r="G273" s="26">
        <f t="shared" si="43"/>
        <v>3</v>
      </c>
      <c r="H273" s="18" t="str">
        <f t="shared" si="44"/>
        <v>333</v>
      </c>
      <c r="I273" s="26" t="str">
        <f t="shared" si="45"/>
        <v>Loyal Customers</v>
      </c>
      <c r="J273" s="17">
        <f t="shared" si="46"/>
        <v>309.72714285714289</v>
      </c>
      <c r="K273" s="36">
        <f>_xlfn.MAXIFS(ecommerce_transactions!D:D,ecommerce_transactions!B:B,main_data!A273)</f>
        <v>45631</v>
      </c>
      <c r="L273" s="36">
        <f>_xlfn.MINIFS(ecommerce_transactions!D:D,ecommerce_transactions!B:B,main_data!A273)</f>
        <v>45414</v>
      </c>
      <c r="M273" s="19">
        <f t="shared" si="47"/>
        <v>0.59411362080766594</v>
      </c>
      <c r="N273" s="19">
        <f t="shared" si="40"/>
        <v>6.3978730059430724</v>
      </c>
      <c r="O273" s="17">
        <f t="shared" si="48"/>
        <v>1177.2925367532064</v>
      </c>
      <c r="P273" s="17">
        <f t="shared" si="49"/>
        <v>353.18776102596189</v>
      </c>
    </row>
    <row r="274" spans="1:16" x14ac:dyDescent="0.3">
      <c r="A274" s="26" t="str">
        <v>C0273</v>
      </c>
      <c r="B274" s="26">
        <f>_xlfn.DAYS(DATE(2024,12,31),_xlfn.MAXIFS(ecommerce_transactions!$D$2:$D$9999, ecommerce_transactions!$B$2:$B$9999, A274))</f>
        <v>42</v>
      </c>
      <c r="C274" s="26">
        <f>COUNTIF(ecommerce_transactions!B:B,main_data!A274)</f>
        <v>4</v>
      </c>
      <c r="D274" s="35">
        <f>SUMIF(ecommerce_transactions!B:B,main_data!A274,ecommerce_transactions!E:E)</f>
        <v>1160.8900000000001</v>
      </c>
      <c r="E274" s="28">
        <f t="shared" si="41"/>
        <v>3</v>
      </c>
      <c r="F274" s="28">
        <f t="shared" si="42"/>
        <v>2</v>
      </c>
      <c r="G274" s="26">
        <f t="shared" si="43"/>
        <v>2</v>
      </c>
      <c r="H274" s="18" t="str">
        <f t="shared" si="44"/>
        <v>322</v>
      </c>
      <c r="I274" s="26" t="str">
        <f t="shared" si="45"/>
        <v>Lost</v>
      </c>
      <c r="J274" s="17">
        <f t="shared" si="46"/>
        <v>290.22250000000003</v>
      </c>
      <c r="K274" s="36">
        <f>_xlfn.MAXIFS(ecommerce_transactions!D:D,ecommerce_transactions!B:B,main_data!A274)</f>
        <v>45615</v>
      </c>
      <c r="L274" s="36">
        <f>_xlfn.MINIFS(ecommerce_transactions!D:D,ecommerce_transactions!B:B,main_data!A274)</f>
        <v>45600</v>
      </c>
      <c r="M274" s="19">
        <f t="shared" si="47"/>
        <v>4.1067761806981518E-2</v>
      </c>
      <c r="N274" s="19">
        <f t="shared" si="40"/>
        <v>7.3927893738140424</v>
      </c>
      <c r="O274" s="17">
        <f t="shared" si="48"/>
        <v>88.113092979127146</v>
      </c>
      <c r="P274" s="17">
        <f t="shared" si="49"/>
        <v>26.433927893738144</v>
      </c>
    </row>
    <row r="275" spans="1:16" x14ac:dyDescent="0.3">
      <c r="A275" s="26" t="str">
        <v>C0274</v>
      </c>
      <c r="B275" s="26">
        <f>_xlfn.DAYS(DATE(2024,12,31),_xlfn.MAXIFS(ecommerce_transactions!$D$2:$D$9999, ecommerce_transactions!$B$2:$B$9999, A275))</f>
        <v>65</v>
      </c>
      <c r="C275" s="26">
        <f>COUNTIF(ecommerce_transactions!B:B,main_data!A275)</f>
        <v>6</v>
      </c>
      <c r="D275" s="35">
        <f>SUMIF(ecommerce_transactions!B:B,main_data!A275,ecommerce_transactions!E:E)</f>
        <v>1494.98</v>
      </c>
      <c r="E275" s="28">
        <f t="shared" si="41"/>
        <v>2</v>
      </c>
      <c r="F275" s="28">
        <f t="shared" si="42"/>
        <v>3</v>
      </c>
      <c r="G275" s="26">
        <f t="shared" si="43"/>
        <v>2</v>
      </c>
      <c r="H275" s="18" t="str">
        <f t="shared" si="44"/>
        <v>232</v>
      </c>
      <c r="I275" s="26" t="str">
        <f t="shared" si="45"/>
        <v>At Risk</v>
      </c>
      <c r="J275" s="17">
        <f t="shared" si="46"/>
        <v>249.16333333333333</v>
      </c>
      <c r="K275" s="36">
        <f>_xlfn.MAXIFS(ecommerce_transactions!D:D,ecommerce_transactions!B:B,main_data!A275)</f>
        <v>45592</v>
      </c>
      <c r="L275" s="36">
        <f>_xlfn.MINIFS(ecommerce_transactions!D:D,ecommerce_transactions!B:B,main_data!A275)</f>
        <v>45207</v>
      </c>
      <c r="M275" s="19">
        <f t="shared" si="47"/>
        <v>1.054072553045859</v>
      </c>
      <c r="N275" s="19">
        <f t="shared" si="40"/>
        <v>3.8608236071349924</v>
      </c>
      <c r="O275" s="17">
        <f t="shared" si="48"/>
        <v>1013.9921603171107</v>
      </c>
      <c r="P275" s="17">
        <f t="shared" si="49"/>
        <v>304.19764809513322</v>
      </c>
    </row>
    <row r="276" spans="1:16" x14ac:dyDescent="0.3">
      <c r="A276" s="26" t="str">
        <v>C0275</v>
      </c>
      <c r="B276" s="26">
        <f>_xlfn.DAYS(DATE(2024,12,31),_xlfn.MAXIFS(ecommerce_transactions!$D$2:$D$9999, ecommerce_transactions!$B$2:$B$9999, A276))</f>
        <v>6</v>
      </c>
      <c r="C276" s="26">
        <f>COUNTIF(ecommerce_transactions!B:B,main_data!A276)</f>
        <v>1</v>
      </c>
      <c r="D276" s="35">
        <f>SUMIF(ecommerce_transactions!B:B,main_data!A276,ecommerce_transactions!E:E)</f>
        <v>296.97000000000003</v>
      </c>
      <c r="E276" s="28">
        <f t="shared" si="41"/>
        <v>5</v>
      </c>
      <c r="F276" s="28">
        <f t="shared" si="42"/>
        <v>1</v>
      </c>
      <c r="G276" s="26">
        <f t="shared" si="43"/>
        <v>1</v>
      </c>
      <c r="H276" s="18" t="str">
        <f t="shared" si="44"/>
        <v>511</v>
      </c>
      <c r="I276" s="26" t="str">
        <f t="shared" si="45"/>
        <v>New Customers</v>
      </c>
      <c r="J276" s="17">
        <f t="shared" si="46"/>
        <v>296.97000000000003</v>
      </c>
      <c r="K276" s="36">
        <f>_xlfn.MAXIFS(ecommerce_transactions!D:D,ecommerce_transactions!B:B,main_data!A276)</f>
        <v>45651</v>
      </c>
      <c r="L276" s="36">
        <f>_xlfn.MINIFS(ecommerce_transactions!D:D,ecommerce_transactions!B:B,main_data!A276)</f>
        <v>45651</v>
      </c>
      <c r="M276" s="19">
        <f t="shared" si="47"/>
        <v>0</v>
      </c>
      <c r="N276" s="19">
        <f t="shared" si="40"/>
        <v>2</v>
      </c>
      <c r="O276" s="17">
        <f t="shared" si="48"/>
        <v>0</v>
      </c>
      <c r="P276" s="17">
        <f t="shared" si="49"/>
        <v>0</v>
      </c>
    </row>
    <row r="277" spans="1:16" x14ac:dyDescent="0.3">
      <c r="A277" s="26" t="str">
        <v>C0276</v>
      </c>
      <c r="B277" s="26">
        <f>_xlfn.DAYS(DATE(2024,12,31),_xlfn.MAXIFS(ecommerce_transactions!$D$2:$D$9999, ecommerce_transactions!$B$2:$B$9999, A277))</f>
        <v>20</v>
      </c>
      <c r="C277" s="26">
        <f>COUNTIF(ecommerce_transactions!B:B,main_data!A277)</f>
        <v>2</v>
      </c>
      <c r="D277" s="35">
        <f>SUMIF(ecommerce_transactions!B:B,main_data!A277,ecommerce_transactions!E:E)</f>
        <v>477.83</v>
      </c>
      <c r="E277" s="28">
        <f t="shared" si="41"/>
        <v>4</v>
      </c>
      <c r="F277" s="28">
        <f t="shared" si="42"/>
        <v>1</v>
      </c>
      <c r="G277" s="26">
        <f t="shared" si="43"/>
        <v>1</v>
      </c>
      <c r="H277" s="18" t="str">
        <f t="shared" si="44"/>
        <v>411</v>
      </c>
      <c r="I277" s="26" t="str">
        <f t="shared" si="45"/>
        <v>New Customers</v>
      </c>
      <c r="J277" s="17">
        <f t="shared" si="46"/>
        <v>238.91499999999999</v>
      </c>
      <c r="K277" s="36">
        <f>_xlfn.MAXIFS(ecommerce_transactions!D:D,ecommerce_transactions!B:B,main_data!A277)</f>
        <v>45637</v>
      </c>
      <c r="L277" s="36">
        <f>_xlfn.MINIFS(ecommerce_transactions!D:D,ecommerce_transactions!B:B,main_data!A277)</f>
        <v>45553</v>
      </c>
      <c r="M277" s="19">
        <f t="shared" si="47"/>
        <v>0.2299794661190965</v>
      </c>
      <c r="N277" s="19">
        <f t="shared" si="40"/>
        <v>2.7398030942334741</v>
      </c>
      <c r="O277" s="17">
        <f t="shared" si="48"/>
        <v>150.5399718706048</v>
      </c>
      <c r="P277" s="17">
        <f t="shared" si="49"/>
        <v>45.161991561181438</v>
      </c>
    </row>
    <row r="278" spans="1:16" x14ac:dyDescent="0.3">
      <c r="A278" s="26" t="str">
        <v>C0277</v>
      </c>
      <c r="B278" s="26">
        <f>_xlfn.DAYS(DATE(2024,12,31),_xlfn.MAXIFS(ecommerce_transactions!$D$2:$D$9999, ecommerce_transactions!$B$2:$B$9999, A278))</f>
        <v>16</v>
      </c>
      <c r="C278" s="26">
        <f>COUNTIF(ecommerce_transactions!B:B,main_data!A278)</f>
        <v>13</v>
      </c>
      <c r="D278" s="35">
        <f>SUMIF(ecommerce_transactions!B:B,main_data!A278,ecommerce_transactions!E:E)</f>
        <v>3214.01</v>
      </c>
      <c r="E278" s="28">
        <f t="shared" si="41"/>
        <v>4</v>
      </c>
      <c r="F278" s="28">
        <f t="shared" si="42"/>
        <v>5</v>
      </c>
      <c r="G278" s="26">
        <f t="shared" si="43"/>
        <v>5</v>
      </c>
      <c r="H278" s="18" t="str">
        <f t="shared" si="44"/>
        <v>455</v>
      </c>
      <c r="I278" s="26" t="str">
        <f t="shared" si="45"/>
        <v>Champions</v>
      </c>
      <c r="J278" s="17">
        <f t="shared" si="46"/>
        <v>247.23153846153849</v>
      </c>
      <c r="K278" s="36">
        <f>_xlfn.MAXIFS(ecommerce_transactions!D:D,ecommerce_transactions!B:B,main_data!A278)</f>
        <v>45641</v>
      </c>
      <c r="L278" s="36">
        <f>_xlfn.MINIFS(ecommerce_transactions!D:D,ecommerce_transactions!B:B,main_data!A278)</f>
        <v>45476</v>
      </c>
      <c r="M278" s="19">
        <f t="shared" si="47"/>
        <v>0.45174537987679669</v>
      </c>
      <c r="N278" s="19">
        <f t="shared" si="40"/>
        <v>13.659115426105718</v>
      </c>
      <c r="O278" s="17">
        <f t="shared" si="48"/>
        <v>1525.5279395900757</v>
      </c>
      <c r="P278" s="17">
        <f t="shared" si="49"/>
        <v>457.65838187702269</v>
      </c>
    </row>
    <row r="279" spans="1:16" x14ac:dyDescent="0.3">
      <c r="A279" s="26" t="str">
        <v>C0278</v>
      </c>
      <c r="B279" s="26">
        <f>_xlfn.DAYS(DATE(2024,12,31),_xlfn.MAXIFS(ecommerce_transactions!$D$2:$D$9999, ecommerce_transactions!$B$2:$B$9999, A279))</f>
        <v>73</v>
      </c>
      <c r="C279" s="26">
        <f>COUNTIF(ecommerce_transactions!B:B,main_data!A279)</f>
        <v>12</v>
      </c>
      <c r="D279" s="35">
        <f>SUMIF(ecommerce_transactions!B:B,main_data!A279,ecommerce_transactions!E:E)</f>
        <v>3354.7500000000005</v>
      </c>
      <c r="E279" s="28">
        <f t="shared" si="41"/>
        <v>2</v>
      </c>
      <c r="F279" s="28">
        <f t="shared" si="42"/>
        <v>5</v>
      </c>
      <c r="G279" s="26">
        <f t="shared" si="43"/>
        <v>5</v>
      </c>
      <c r="H279" s="18" t="str">
        <f t="shared" si="44"/>
        <v>255</v>
      </c>
      <c r="I279" s="26" t="str">
        <f t="shared" si="45"/>
        <v>At Risk</v>
      </c>
      <c r="J279" s="17">
        <f t="shared" si="46"/>
        <v>279.56250000000006</v>
      </c>
      <c r="K279" s="36">
        <f>_xlfn.MAXIFS(ecommerce_transactions!D:D,ecommerce_transactions!B:B,main_data!A279)</f>
        <v>45584</v>
      </c>
      <c r="L279" s="36">
        <f>_xlfn.MINIFS(ecommerce_transactions!D:D,ecommerce_transactions!B:B,main_data!A279)</f>
        <v>45186</v>
      </c>
      <c r="M279" s="19">
        <f t="shared" si="47"/>
        <v>1.0896646132785763</v>
      </c>
      <c r="N279" s="19">
        <f t="shared" si="40"/>
        <v>7.5487621097954793</v>
      </c>
      <c r="O279" s="17">
        <f t="shared" si="48"/>
        <v>2299.5745963401514</v>
      </c>
      <c r="P279" s="17">
        <f t="shared" si="49"/>
        <v>689.8723789020454</v>
      </c>
    </row>
    <row r="280" spans="1:16" x14ac:dyDescent="0.3">
      <c r="A280" s="26" t="str">
        <v>C0279</v>
      </c>
      <c r="B280" s="26">
        <f>_xlfn.DAYS(DATE(2024,12,31),_xlfn.MAXIFS(ecommerce_transactions!$D$2:$D$9999, ecommerce_transactions!$B$2:$B$9999, A280))</f>
        <v>12</v>
      </c>
      <c r="C280" s="26">
        <f>COUNTIF(ecommerce_transactions!B:B,main_data!A280)</f>
        <v>4</v>
      </c>
      <c r="D280" s="35">
        <f>SUMIF(ecommerce_transactions!B:B,main_data!A280,ecommerce_transactions!E:E)</f>
        <v>1504.62</v>
      </c>
      <c r="E280" s="28">
        <f t="shared" si="41"/>
        <v>4</v>
      </c>
      <c r="F280" s="28">
        <f t="shared" si="42"/>
        <v>2</v>
      </c>
      <c r="G280" s="26">
        <f t="shared" si="43"/>
        <v>2</v>
      </c>
      <c r="H280" s="18" t="str">
        <f t="shared" si="44"/>
        <v>422</v>
      </c>
      <c r="I280" s="26" t="str">
        <f t="shared" si="45"/>
        <v>New Customers</v>
      </c>
      <c r="J280" s="17">
        <f t="shared" si="46"/>
        <v>376.15499999999997</v>
      </c>
      <c r="K280" s="36">
        <f>_xlfn.MAXIFS(ecommerce_transactions!D:D,ecommerce_transactions!B:B,main_data!A280)</f>
        <v>45645</v>
      </c>
      <c r="L280" s="36">
        <f>_xlfn.MINIFS(ecommerce_transactions!D:D,ecommerce_transactions!B:B,main_data!A280)</f>
        <v>45517</v>
      </c>
      <c r="M280" s="19">
        <f t="shared" si="47"/>
        <v>0.35044490075290896</v>
      </c>
      <c r="N280" s="19">
        <f t="shared" si="40"/>
        <v>4.7034205231388331</v>
      </c>
      <c r="O280" s="17">
        <f t="shared" si="48"/>
        <v>620.01242655935607</v>
      </c>
      <c r="P280" s="17">
        <f t="shared" si="49"/>
        <v>186.00372796780681</v>
      </c>
    </row>
    <row r="281" spans="1:16" x14ac:dyDescent="0.3">
      <c r="A281" s="26" t="str">
        <v>C0280</v>
      </c>
      <c r="B281" s="26">
        <f>_xlfn.DAYS(DATE(2024,12,31),_xlfn.MAXIFS(ecommerce_transactions!$D$2:$D$9999, ecommerce_transactions!$B$2:$B$9999, A281))</f>
        <v>41</v>
      </c>
      <c r="C281" s="26">
        <f>COUNTIF(ecommerce_transactions!B:B,main_data!A281)</f>
        <v>13</v>
      </c>
      <c r="D281" s="35">
        <f>SUMIF(ecommerce_transactions!B:B,main_data!A281,ecommerce_transactions!E:E)</f>
        <v>2670.6000000000004</v>
      </c>
      <c r="E281" s="28">
        <f t="shared" si="41"/>
        <v>3</v>
      </c>
      <c r="F281" s="28">
        <f t="shared" si="42"/>
        <v>5</v>
      </c>
      <c r="G281" s="26">
        <f t="shared" si="43"/>
        <v>4</v>
      </c>
      <c r="H281" s="18" t="str">
        <f t="shared" si="44"/>
        <v>354</v>
      </c>
      <c r="I281" s="26" t="str">
        <f t="shared" si="45"/>
        <v>Loyal Customers</v>
      </c>
      <c r="J281" s="17">
        <f t="shared" si="46"/>
        <v>205.43076923076927</v>
      </c>
      <c r="K281" s="36">
        <f>_xlfn.MAXIFS(ecommerce_transactions!D:D,ecommerce_transactions!B:B,main_data!A281)</f>
        <v>45616</v>
      </c>
      <c r="L281" s="36">
        <f>_xlfn.MINIFS(ecommerce_transactions!D:D,ecommerce_transactions!B:B,main_data!A281)</f>
        <v>45042</v>
      </c>
      <c r="M281" s="19">
        <f t="shared" si="47"/>
        <v>1.5715263518138261</v>
      </c>
      <c r="N281" s="19">
        <f t="shared" si="40"/>
        <v>6.2755658351230794</v>
      </c>
      <c r="O281" s="17">
        <f t="shared" si="48"/>
        <v>2026.0028415661657</v>
      </c>
      <c r="P281" s="17">
        <f t="shared" si="49"/>
        <v>607.8008524698497</v>
      </c>
    </row>
    <row r="282" spans="1:16" x14ac:dyDescent="0.3">
      <c r="A282" s="26" t="str">
        <v>C0281</v>
      </c>
      <c r="B282" s="26">
        <f>_xlfn.DAYS(DATE(2024,12,31),_xlfn.MAXIFS(ecommerce_transactions!$D$2:$D$9999, ecommerce_transactions!$B$2:$B$9999, A282))</f>
        <v>6</v>
      </c>
      <c r="C282" s="26">
        <f>COUNTIF(ecommerce_transactions!B:B,main_data!A282)</f>
        <v>11</v>
      </c>
      <c r="D282" s="35">
        <f>SUMIF(ecommerce_transactions!B:B,main_data!A282,ecommerce_transactions!E:E)</f>
        <v>2323.83</v>
      </c>
      <c r="E282" s="28">
        <f t="shared" si="41"/>
        <v>5</v>
      </c>
      <c r="F282" s="28">
        <f t="shared" si="42"/>
        <v>4</v>
      </c>
      <c r="G282" s="26">
        <f t="shared" si="43"/>
        <v>4</v>
      </c>
      <c r="H282" s="18" t="str">
        <f t="shared" si="44"/>
        <v>544</v>
      </c>
      <c r="I282" s="26" t="str">
        <f t="shared" si="45"/>
        <v>Champions</v>
      </c>
      <c r="J282" s="17">
        <f t="shared" si="46"/>
        <v>211.25727272727272</v>
      </c>
      <c r="K282" s="36">
        <f>_xlfn.MAXIFS(ecommerce_transactions!D:D,ecommerce_transactions!B:B,main_data!A282)</f>
        <v>45651</v>
      </c>
      <c r="L282" s="36">
        <f>_xlfn.MINIFS(ecommerce_transactions!D:D,ecommerce_transactions!B:B,main_data!A282)</f>
        <v>45112</v>
      </c>
      <c r="M282" s="19">
        <f t="shared" si="47"/>
        <v>1.4757015742642026</v>
      </c>
      <c r="N282" s="19">
        <f t="shared" si="40"/>
        <v>5.5676424735839252</v>
      </c>
      <c r="O282" s="17">
        <f t="shared" si="48"/>
        <v>1735.7275177550666</v>
      </c>
      <c r="P282" s="17">
        <f t="shared" si="49"/>
        <v>520.71825532651997</v>
      </c>
    </row>
    <row r="283" spans="1:16" x14ac:dyDescent="0.3">
      <c r="A283" s="26" t="str">
        <v>C0282</v>
      </c>
      <c r="B283" s="26">
        <f>_xlfn.DAYS(DATE(2024,12,31),_xlfn.MAXIFS(ecommerce_transactions!$D$2:$D$9999, ecommerce_transactions!$B$2:$B$9999, A283))</f>
        <v>98</v>
      </c>
      <c r="C283" s="26">
        <f>COUNTIF(ecommerce_transactions!B:B,main_data!A283)</f>
        <v>7</v>
      </c>
      <c r="D283" s="35">
        <f>SUMIF(ecommerce_transactions!B:B,main_data!A283,ecommerce_transactions!E:E)</f>
        <v>827.06</v>
      </c>
      <c r="E283" s="28">
        <f t="shared" si="41"/>
        <v>1</v>
      </c>
      <c r="F283" s="28">
        <f t="shared" si="42"/>
        <v>3</v>
      </c>
      <c r="G283" s="26">
        <f t="shared" si="43"/>
        <v>1</v>
      </c>
      <c r="H283" s="18" t="str">
        <f t="shared" si="44"/>
        <v>131</v>
      </c>
      <c r="I283" s="26" t="str">
        <f t="shared" si="45"/>
        <v>At Risk</v>
      </c>
      <c r="J283" s="17">
        <f t="shared" si="46"/>
        <v>118.15142857142857</v>
      </c>
      <c r="K283" s="36">
        <f>_xlfn.MAXIFS(ecommerce_transactions!D:D,ecommerce_transactions!B:B,main_data!A283)</f>
        <v>45559</v>
      </c>
      <c r="L283" s="36">
        <f>_xlfn.MINIFS(ecommerce_transactions!D:D,ecommerce_transactions!B:B,main_data!A283)</f>
        <v>45029</v>
      </c>
      <c r="M283" s="19">
        <f t="shared" si="47"/>
        <v>1.4510609171800137</v>
      </c>
      <c r="N283" s="19">
        <f t="shared" si="40"/>
        <v>3.5877916155060516</v>
      </c>
      <c r="O283" s="17">
        <f t="shared" si="48"/>
        <v>615.10864760568325</v>
      </c>
      <c r="P283" s="17">
        <f t="shared" si="49"/>
        <v>184.53259428170497</v>
      </c>
    </row>
    <row r="284" spans="1:16" x14ac:dyDescent="0.3">
      <c r="A284" s="26" t="str">
        <v>C0283</v>
      </c>
      <c r="B284" s="26">
        <f>_xlfn.DAYS(DATE(2024,12,31),_xlfn.MAXIFS(ecommerce_transactions!$D$2:$D$9999, ecommerce_transactions!$B$2:$B$9999, A284))</f>
        <v>111</v>
      </c>
      <c r="C284" s="26">
        <f>COUNTIF(ecommerce_transactions!B:B,main_data!A284)</f>
        <v>9</v>
      </c>
      <c r="D284" s="35">
        <f>SUMIF(ecommerce_transactions!B:B,main_data!A284,ecommerce_transactions!E:E)</f>
        <v>2291.09</v>
      </c>
      <c r="E284" s="28">
        <f t="shared" si="41"/>
        <v>1</v>
      </c>
      <c r="F284" s="28">
        <f t="shared" si="42"/>
        <v>4</v>
      </c>
      <c r="G284" s="26">
        <f t="shared" si="43"/>
        <v>3</v>
      </c>
      <c r="H284" s="18" t="str">
        <f t="shared" si="44"/>
        <v>143</v>
      </c>
      <c r="I284" s="26" t="str">
        <f t="shared" si="45"/>
        <v>At Risk</v>
      </c>
      <c r="J284" s="17">
        <f t="shared" si="46"/>
        <v>254.56555555555556</v>
      </c>
      <c r="K284" s="36">
        <f>_xlfn.MAXIFS(ecommerce_transactions!D:D,ecommerce_transactions!B:B,main_data!A284)</f>
        <v>45546</v>
      </c>
      <c r="L284" s="36">
        <f>_xlfn.MINIFS(ecommerce_transactions!D:D,ecommerce_transactions!B:B,main_data!A284)</f>
        <v>45234</v>
      </c>
      <c r="M284" s="19">
        <f t="shared" si="47"/>
        <v>0.85420944558521561</v>
      </c>
      <c r="N284" s="19">
        <f t="shared" si="40"/>
        <v>6.6459438968915849</v>
      </c>
      <c r="O284" s="17">
        <f t="shared" si="48"/>
        <v>1445.1757998483702</v>
      </c>
      <c r="P284" s="17">
        <f t="shared" si="49"/>
        <v>433.55273995451103</v>
      </c>
    </row>
    <row r="285" spans="1:16" x14ac:dyDescent="0.3">
      <c r="A285" s="26" t="str">
        <v>C0284</v>
      </c>
      <c r="B285" s="26">
        <f>_xlfn.DAYS(DATE(2024,12,31),_xlfn.MAXIFS(ecommerce_transactions!$D$2:$D$9999, ecommerce_transactions!$B$2:$B$9999, A285))</f>
        <v>148</v>
      </c>
      <c r="C285" s="26">
        <f>COUNTIF(ecommerce_transactions!B:B,main_data!A285)</f>
        <v>3</v>
      </c>
      <c r="D285" s="35">
        <f>SUMIF(ecommerce_transactions!B:B,main_data!A285,ecommerce_transactions!E:E)</f>
        <v>804.69</v>
      </c>
      <c r="E285" s="28">
        <f t="shared" si="41"/>
        <v>1</v>
      </c>
      <c r="F285" s="28">
        <f t="shared" si="42"/>
        <v>1</v>
      </c>
      <c r="G285" s="26">
        <f t="shared" si="43"/>
        <v>1</v>
      </c>
      <c r="H285" s="18" t="str">
        <f t="shared" si="44"/>
        <v>111</v>
      </c>
      <c r="I285" s="26" t="str">
        <f t="shared" si="45"/>
        <v>About to Sleep</v>
      </c>
      <c r="J285" s="17">
        <f t="shared" si="46"/>
        <v>268.23</v>
      </c>
      <c r="K285" s="36">
        <f>_xlfn.MAXIFS(ecommerce_transactions!D:D,ecommerce_transactions!B:B,main_data!A285)</f>
        <v>45509</v>
      </c>
      <c r="L285" s="36">
        <f>_xlfn.MINIFS(ecommerce_transactions!D:D,ecommerce_transactions!B:B,main_data!A285)</f>
        <v>44989</v>
      </c>
      <c r="M285" s="19">
        <f t="shared" si="47"/>
        <v>1.4236824093086926</v>
      </c>
      <c r="N285" s="19">
        <f t="shared" si="40"/>
        <v>1.5595089841665184</v>
      </c>
      <c r="O285" s="17">
        <f t="shared" si="48"/>
        <v>595.53645258850747</v>
      </c>
      <c r="P285" s="17">
        <f t="shared" si="49"/>
        <v>178.66093577655224</v>
      </c>
    </row>
    <row r="286" spans="1:16" x14ac:dyDescent="0.3">
      <c r="A286" s="26" t="str">
        <v>C0285</v>
      </c>
      <c r="B286" s="26">
        <f>_xlfn.DAYS(DATE(2024,12,31),_xlfn.MAXIFS(ecommerce_transactions!$D$2:$D$9999, ecommerce_transactions!$B$2:$B$9999, A286))</f>
        <v>16</v>
      </c>
      <c r="C286" s="26">
        <f>COUNTIF(ecommerce_transactions!B:B,main_data!A286)</f>
        <v>5</v>
      </c>
      <c r="D286" s="35">
        <f>SUMIF(ecommerce_transactions!B:B,main_data!A286,ecommerce_transactions!E:E)</f>
        <v>1293.48</v>
      </c>
      <c r="E286" s="28">
        <f t="shared" si="41"/>
        <v>4</v>
      </c>
      <c r="F286" s="28">
        <f t="shared" si="42"/>
        <v>2</v>
      </c>
      <c r="G286" s="26">
        <f t="shared" si="43"/>
        <v>2</v>
      </c>
      <c r="H286" s="18" t="str">
        <f t="shared" si="44"/>
        <v>422</v>
      </c>
      <c r="I286" s="26" t="str">
        <f t="shared" si="45"/>
        <v>New Customers</v>
      </c>
      <c r="J286" s="17">
        <f t="shared" si="46"/>
        <v>258.69600000000003</v>
      </c>
      <c r="K286" s="36">
        <f>_xlfn.MAXIFS(ecommerce_transactions!D:D,ecommerce_transactions!B:B,main_data!A286)</f>
        <v>45641</v>
      </c>
      <c r="L286" s="36">
        <f>_xlfn.MINIFS(ecommerce_transactions!D:D,ecommerce_transactions!B:B,main_data!A286)</f>
        <v>45603</v>
      </c>
      <c r="M286" s="19">
        <f t="shared" si="47"/>
        <v>0.10403832991101986</v>
      </c>
      <c r="N286" s="19">
        <f t="shared" si="40"/>
        <v>8.2776203966005664</v>
      </c>
      <c r="O286" s="17">
        <f t="shared" si="48"/>
        <v>222.78635694050993</v>
      </c>
      <c r="P286" s="17">
        <f t="shared" si="49"/>
        <v>66.835907082152971</v>
      </c>
    </row>
    <row r="287" spans="1:16" x14ac:dyDescent="0.3">
      <c r="A287" s="26" t="str">
        <v>C0286</v>
      </c>
      <c r="B287" s="26">
        <f>_xlfn.DAYS(DATE(2024,12,31),_xlfn.MAXIFS(ecommerce_transactions!$D$2:$D$9999, ecommerce_transactions!$B$2:$B$9999, A287))</f>
        <v>36</v>
      </c>
      <c r="C287" s="26">
        <f>COUNTIF(ecommerce_transactions!B:B,main_data!A287)</f>
        <v>13</v>
      </c>
      <c r="D287" s="35">
        <f>SUMIF(ecommerce_transactions!B:B,main_data!A287,ecommerce_transactions!E:E)</f>
        <v>3152.33</v>
      </c>
      <c r="E287" s="28">
        <f t="shared" si="41"/>
        <v>3</v>
      </c>
      <c r="F287" s="28">
        <f t="shared" si="42"/>
        <v>5</v>
      </c>
      <c r="G287" s="26">
        <f t="shared" si="43"/>
        <v>5</v>
      </c>
      <c r="H287" s="18" t="str">
        <f t="shared" si="44"/>
        <v>355</v>
      </c>
      <c r="I287" s="26" t="str">
        <f t="shared" si="45"/>
        <v>Loyal Customers</v>
      </c>
      <c r="J287" s="17">
        <f t="shared" si="46"/>
        <v>242.48692307692306</v>
      </c>
      <c r="K287" s="36">
        <f>_xlfn.MAXIFS(ecommerce_transactions!D:D,ecommerce_transactions!B:B,main_data!A287)</f>
        <v>45621</v>
      </c>
      <c r="L287" s="36">
        <f>_xlfn.MINIFS(ecommerce_transactions!D:D,ecommerce_transactions!B:B,main_data!A287)</f>
        <v>45499</v>
      </c>
      <c r="M287" s="19">
        <f t="shared" si="47"/>
        <v>0.33401779603011633</v>
      </c>
      <c r="N287" s="19">
        <f t="shared" si="40"/>
        <v>15.587197373820272</v>
      </c>
      <c r="O287" s="17">
        <f t="shared" si="48"/>
        <v>1262.4842347148133</v>
      </c>
      <c r="P287" s="17">
        <f t="shared" si="49"/>
        <v>378.74527041444395</v>
      </c>
    </row>
    <row r="288" spans="1:16" x14ac:dyDescent="0.3">
      <c r="A288" s="26" t="str">
        <v>C0287</v>
      </c>
      <c r="B288" s="26">
        <f>_xlfn.DAYS(DATE(2024,12,31),_xlfn.MAXIFS(ecommerce_transactions!$D$2:$D$9999, ecommerce_transactions!$B$2:$B$9999, A288))</f>
        <v>7</v>
      </c>
      <c r="C288" s="26">
        <f>COUNTIF(ecommerce_transactions!B:B,main_data!A288)</f>
        <v>2</v>
      </c>
      <c r="D288" s="35">
        <f>SUMIF(ecommerce_transactions!B:B,main_data!A288,ecommerce_transactions!E:E)</f>
        <v>379.1</v>
      </c>
      <c r="E288" s="28">
        <f t="shared" si="41"/>
        <v>5</v>
      </c>
      <c r="F288" s="28">
        <f t="shared" si="42"/>
        <v>1</v>
      </c>
      <c r="G288" s="26">
        <f t="shared" si="43"/>
        <v>1</v>
      </c>
      <c r="H288" s="18" t="str">
        <f t="shared" si="44"/>
        <v>511</v>
      </c>
      <c r="I288" s="26" t="str">
        <f t="shared" si="45"/>
        <v>New Customers</v>
      </c>
      <c r="J288" s="17">
        <f t="shared" si="46"/>
        <v>189.55</v>
      </c>
      <c r="K288" s="36">
        <f>_xlfn.MAXIFS(ecommerce_transactions!D:D,ecommerce_transactions!B:B,main_data!A288)</f>
        <v>45650</v>
      </c>
      <c r="L288" s="36">
        <f>_xlfn.MINIFS(ecommerce_transactions!D:D,ecommerce_transactions!B:B,main_data!A288)</f>
        <v>45606</v>
      </c>
      <c r="M288" s="19">
        <f t="shared" si="47"/>
        <v>0.12046543463381246</v>
      </c>
      <c r="N288" s="19">
        <f t="shared" si="40"/>
        <v>3.2233866519580805</v>
      </c>
      <c r="O288" s="17">
        <f t="shared" si="48"/>
        <v>73.603530060672924</v>
      </c>
      <c r="P288" s="17">
        <f t="shared" si="49"/>
        <v>22.081059018201877</v>
      </c>
    </row>
    <row r="289" spans="1:16" x14ac:dyDescent="0.3">
      <c r="A289" s="26" t="str">
        <v>C0288</v>
      </c>
      <c r="B289" s="26">
        <f>_xlfn.DAYS(DATE(2024,12,31),_xlfn.MAXIFS(ecommerce_transactions!$D$2:$D$9999, ecommerce_transactions!$B$2:$B$9999, A289))</f>
        <v>94</v>
      </c>
      <c r="C289" s="26">
        <f>COUNTIF(ecommerce_transactions!B:B,main_data!A289)</f>
        <v>5</v>
      </c>
      <c r="D289" s="35">
        <f>SUMIF(ecommerce_transactions!B:B,main_data!A289,ecommerce_transactions!E:E)</f>
        <v>1639.52</v>
      </c>
      <c r="E289" s="28">
        <f t="shared" si="41"/>
        <v>1</v>
      </c>
      <c r="F289" s="28">
        <f t="shared" si="42"/>
        <v>2</v>
      </c>
      <c r="G289" s="26">
        <f t="shared" si="43"/>
        <v>3</v>
      </c>
      <c r="H289" s="18" t="str">
        <f t="shared" si="44"/>
        <v>123</v>
      </c>
      <c r="I289" s="26" t="str">
        <f t="shared" si="45"/>
        <v>About to Sleep</v>
      </c>
      <c r="J289" s="17">
        <f t="shared" si="46"/>
        <v>327.904</v>
      </c>
      <c r="K289" s="36">
        <f>_xlfn.MAXIFS(ecommerce_transactions!D:D,ecommerce_transactions!B:B,main_data!A289)</f>
        <v>45563</v>
      </c>
      <c r="L289" s="36">
        <f>_xlfn.MINIFS(ecommerce_transactions!D:D,ecommerce_transactions!B:B,main_data!A289)</f>
        <v>45190</v>
      </c>
      <c r="M289" s="19">
        <f t="shared" si="47"/>
        <v>1.0212183436002737</v>
      </c>
      <c r="N289" s="19">
        <f t="shared" si="40"/>
        <v>3.2868391451068617</v>
      </c>
      <c r="O289" s="17">
        <f t="shared" si="48"/>
        <v>1100.6361484814397</v>
      </c>
      <c r="P289" s="17">
        <f t="shared" si="49"/>
        <v>330.19084454443191</v>
      </c>
    </row>
    <row r="290" spans="1:16" x14ac:dyDescent="0.3">
      <c r="A290" s="26" t="str">
        <v>C0289</v>
      </c>
      <c r="B290" s="26">
        <f>_xlfn.DAYS(DATE(2024,12,31),_xlfn.MAXIFS(ecommerce_transactions!$D$2:$D$9999, ecommerce_transactions!$B$2:$B$9999, A290))</f>
        <v>1</v>
      </c>
      <c r="C290" s="26">
        <f>COUNTIF(ecommerce_transactions!B:B,main_data!A290)</f>
        <v>9</v>
      </c>
      <c r="D290" s="35">
        <f>SUMIF(ecommerce_transactions!B:B,main_data!A290,ecommerce_transactions!E:E)</f>
        <v>2091.21</v>
      </c>
      <c r="E290" s="28">
        <f t="shared" si="41"/>
        <v>5</v>
      </c>
      <c r="F290" s="28">
        <f t="shared" si="42"/>
        <v>4</v>
      </c>
      <c r="G290" s="26">
        <f t="shared" si="43"/>
        <v>3</v>
      </c>
      <c r="H290" s="18" t="str">
        <f t="shared" si="44"/>
        <v>543</v>
      </c>
      <c r="I290" s="26" t="str">
        <f t="shared" si="45"/>
        <v>Loyal Customers</v>
      </c>
      <c r="J290" s="17">
        <f t="shared" si="46"/>
        <v>232.35666666666668</v>
      </c>
      <c r="K290" s="36">
        <f>_xlfn.MAXIFS(ecommerce_transactions!D:D,ecommerce_transactions!B:B,main_data!A290)</f>
        <v>45656</v>
      </c>
      <c r="L290" s="36">
        <f>_xlfn.MINIFS(ecommerce_transactions!D:D,ecommerce_transactions!B:B,main_data!A290)</f>
        <v>45534</v>
      </c>
      <c r="M290" s="19">
        <f t="shared" si="47"/>
        <v>0.33401779603011633</v>
      </c>
      <c r="N290" s="19">
        <f t="shared" si="40"/>
        <v>10.791136643414035</v>
      </c>
      <c r="O290" s="17">
        <f t="shared" si="48"/>
        <v>837.5137299958966</v>
      </c>
      <c r="P290" s="17">
        <f t="shared" si="49"/>
        <v>251.25411899876897</v>
      </c>
    </row>
    <row r="291" spans="1:16" x14ac:dyDescent="0.3">
      <c r="A291" s="26" t="str">
        <v>C0290</v>
      </c>
      <c r="B291" s="26">
        <f>_xlfn.DAYS(DATE(2024,12,31),_xlfn.MAXIFS(ecommerce_transactions!$D$2:$D$9999, ecommerce_transactions!$B$2:$B$9999, A291))</f>
        <v>17</v>
      </c>
      <c r="C291" s="26">
        <f>COUNTIF(ecommerce_transactions!B:B,main_data!A291)</f>
        <v>8</v>
      </c>
      <c r="D291" s="35">
        <f>SUMIF(ecommerce_transactions!B:B,main_data!A291,ecommerce_transactions!E:E)</f>
        <v>1538.2400000000002</v>
      </c>
      <c r="E291" s="28">
        <f t="shared" si="41"/>
        <v>4</v>
      </c>
      <c r="F291" s="28">
        <f t="shared" si="42"/>
        <v>3</v>
      </c>
      <c r="G291" s="26">
        <f t="shared" si="43"/>
        <v>2</v>
      </c>
      <c r="H291" s="18" t="str">
        <f t="shared" si="44"/>
        <v>432</v>
      </c>
      <c r="I291" s="26" t="str">
        <f t="shared" si="45"/>
        <v>Potential Loyalists</v>
      </c>
      <c r="J291" s="17">
        <f t="shared" si="46"/>
        <v>192.28000000000003</v>
      </c>
      <c r="K291" s="36">
        <f>_xlfn.MAXIFS(ecommerce_transactions!D:D,ecommerce_transactions!B:B,main_data!A291)</f>
        <v>45640</v>
      </c>
      <c r="L291" s="36">
        <f>_xlfn.MINIFS(ecommerce_transactions!D:D,ecommerce_transactions!B:B,main_data!A291)</f>
        <v>45442</v>
      </c>
      <c r="M291" s="19">
        <f t="shared" si="47"/>
        <v>0.5420944558521561</v>
      </c>
      <c r="N291" s="19">
        <f t="shared" si="40"/>
        <v>7.676847290640394</v>
      </c>
      <c r="O291" s="17">
        <f t="shared" si="48"/>
        <v>800.18790147783272</v>
      </c>
      <c r="P291" s="17">
        <f t="shared" si="49"/>
        <v>240.05637044334981</v>
      </c>
    </row>
    <row r="292" spans="1:16" x14ac:dyDescent="0.3">
      <c r="A292" s="26" t="str">
        <v>C0291</v>
      </c>
      <c r="B292" s="26">
        <f>_xlfn.DAYS(DATE(2024,12,31),_xlfn.MAXIFS(ecommerce_transactions!$D$2:$D$9999, ecommerce_transactions!$B$2:$B$9999, A292))</f>
        <v>1</v>
      </c>
      <c r="C292" s="26">
        <f>COUNTIF(ecommerce_transactions!B:B,main_data!A292)</f>
        <v>13</v>
      </c>
      <c r="D292" s="35">
        <f>SUMIF(ecommerce_transactions!B:B,main_data!A292,ecommerce_transactions!E:E)</f>
        <v>3279.9100000000003</v>
      </c>
      <c r="E292" s="28">
        <f t="shared" si="41"/>
        <v>5</v>
      </c>
      <c r="F292" s="28">
        <f t="shared" si="42"/>
        <v>5</v>
      </c>
      <c r="G292" s="26">
        <f t="shared" si="43"/>
        <v>5</v>
      </c>
      <c r="H292" s="18" t="str">
        <f t="shared" si="44"/>
        <v>555</v>
      </c>
      <c r="I292" s="26" t="str">
        <f t="shared" si="45"/>
        <v>Champions</v>
      </c>
      <c r="J292" s="17">
        <f t="shared" si="46"/>
        <v>252.30076923076925</v>
      </c>
      <c r="K292" s="36">
        <f>_xlfn.MAXIFS(ecommerce_transactions!D:D,ecommerce_transactions!B:B,main_data!A292)</f>
        <v>45656</v>
      </c>
      <c r="L292" s="36">
        <f>_xlfn.MINIFS(ecommerce_transactions!D:D,ecommerce_transactions!B:B,main_data!A292)</f>
        <v>45616</v>
      </c>
      <c r="M292" s="19">
        <f t="shared" si="47"/>
        <v>0.10951403148528405</v>
      </c>
      <c r="N292" s="19">
        <f t="shared" si="40"/>
        <v>21.32846715328467</v>
      </c>
      <c r="O292" s="17">
        <f t="shared" si="48"/>
        <v>589.31566535654122</v>
      </c>
      <c r="P292" s="17">
        <f t="shared" si="49"/>
        <v>176.79469960696235</v>
      </c>
    </row>
    <row r="293" spans="1:16" x14ac:dyDescent="0.3">
      <c r="A293" s="26" t="str">
        <v>C0292</v>
      </c>
      <c r="B293" s="26">
        <f>_xlfn.DAYS(DATE(2024,12,31),_xlfn.MAXIFS(ecommerce_transactions!$D$2:$D$9999, ecommerce_transactions!$B$2:$B$9999, A293))</f>
        <v>9</v>
      </c>
      <c r="C293" s="26">
        <f>COUNTIF(ecommerce_transactions!B:B,main_data!A293)</f>
        <v>10</v>
      </c>
      <c r="D293" s="35">
        <f>SUMIF(ecommerce_transactions!B:B,main_data!A293,ecommerce_transactions!E:E)</f>
        <v>2787.02</v>
      </c>
      <c r="E293" s="28">
        <f t="shared" si="41"/>
        <v>4</v>
      </c>
      <c r="F293" s="28">
        <f t="shared" si="42"/>
        <v>4</v>
      </c>
      <c r="G293" s="26">
        <f t="shared" si="43"/>
        <v>4</v>
      </c>
      <c r="H293" s="18" t="str">
        <f t="shared" si="44"/>
        <v>444</v>
      </c>
      <c r="I293" s="26" t="str">
        <f t="shared" si="45"/>
        <v>Champions</v>
      </c>
      <c r="J293" s="17">
        <f t="shared" si="46"/>
        <v>278.702</v>
      </c>
      <c r="K293" s="36">
        <f>_xlfn.MAXIFS(ecommerce_transactions!D:D,ecommerce_transactions!B:B,main_data!A293)</f>
        <v>45648</v>
      </c>
      <c r="L293" s="36">
        <f>_xlfn.MINIFS(ecommerce_transactions!D:D,ecommerce_transactions!B:B,main_data!A293)</f>
        <v>45146</v>
      </c>
      <c r="M293" s="19">
        <f t="shared" si="47"/>
        <v>1.3744010951403149</v>
      </c>
      <c r="N293" s="19">
        <f t="shared" si="40"/>
        <v>5.3350374292495886</v>
      </c>
      <c r="O293" s="17">
        <f t="shared" si="48"/>
        <v>2043.5771991966405</v>
      </c>
      <c r="P293" s="17">
        <f t="shared" si="49"/>
        <v>613.07315975899212</v>
      </c>
    </row>
    <row r="294" spans="1:16" x14ac:dyDescent="0.3">
      <c r="A294" s="26" t="str">
        <v>C0293</v>
      </c>
      <c r="B294" s="26">
        <f>_xlfn.DAYS(DATE(2024,12,31),_xlfn.MAXIFS(ecommerce_transactions!$D$2:$D$9999, ecommerce_transactions!$B$2:$B$9999, A294))</f>
        <v>1</v>
      </c>
      <c r="C294" s="26">
        <f>COUNTIF(ecommerce_transactions!B:B,main_data!A294)</f>
        <v>14</v>
      </c>
      <c r="D294" s="35">
        <f>SUMIF(ecommerce_transactions!B:B,main_data!A294,ecommerce_transactions!E:E)</f>
        <v>3883.0400000000004</v>
      </c>
      <c r="E294" s="28">
        <f t="shared" si="41"/>
        <v>5</v>
      </c>
      <c r="F294" s="28">
        <f t="shared" si="42"/>
        <v>5</v>
      </c>
      <c r="G294" s="26">
        <f t="shared" si="43"/>
        <v>5</v>
      </c>
      <c r="H294" s="18" t="str">
        <f t="shared" si="44"/>
        <v>555</v>
      </c>
      <c r="I294" s="26" t="str">
        <f t="shared" si="45"/>
        <v>Champions</v>
      </c>
      <c r="J294" s="17">
        <f t="shared" si="46"/>
        <v>277.36</v>
      </c>
      <c r="K294" s="36">
        <f>_xlfn.MAXIFS(ecommerce_transactions!D:D,ecommerce_transactions!B:B,main_data!A294)</f>
        <v>45656</v>
      </c>
      <c r="L294" s="36">
        <f>_xlfn.MINIFS(ecommerce_transactions!D:D,ecommerce_transactions!B:B,main_data!A294)</f>
        <v>45568</v>
      </c>
      <c r="M294" s="19">
        <f t="shared" si="47"/>
        <v>0.24093086926762491</v>
      </c>
      <c r="N294" s="19">
        <f t="shared" si="40"/>
        <v>18.895150115473442</v>
      </c>
      <c r="O294" s="17">
        <f t="shared" si="48"/>
        <v>1262.6605819861434</v>
      </c>
      <c r="P294" s="17">
        <f t="shared" si="49"/>
        <v>378.79817459584302</v>
      </c>
    </row>
    <row r="295" spans="1:16" x14ac:dyDescent="0.3">
      <c r="A295" s="26" t="str">
        <v>C0294</v>
      </c>
      <c r="B295" s="26">
        <f>_xlfn.DAYS(DATE(2024,12,31),_xlfn.MAXIFS(ecommerce_transactions!$D$2:$D$9999, ecommerce_transactions!$B$2:$B$9999, A295))</f>
        <v>6</v>
      </c>
      <c r="C295" s="26">
        <f>COUNTIF(ecommerce_transactions!B:B,main_data!A295)</f>
        <v>9</v>
      </c>
      <c r="D295" s="35">
        <f>SUMIF(ecommerce_transactions!B:B,main_data!A295,ecommerce_transactions!E:E)</f>
        <v>2957.08</v>
      </c>
      <c r="E295" s="28">
        <f t="shared" si="41"/>
        <v>5</v>
      </c>
      <c r="F295" s="28">
        <f t="shared" si="42"/>
        <v>4</v>
      </c>
      <c r="G295" s="26">
        <f t="shared" si="43"/>
        <v>4</v>
      </c>
      <c r="H295" s="18" t="str">
        <f t="shared" si="44"/>
        <v>544</v>
      </c>
      <c r="I295" s="26" t="str">
        <f t="shared" si="45"/>
        <v>Champions</v>
      </c>
      <c r="J295" s="17">
        <f t="shared" si="46"/>
        <v>328.56444444444446</v>
      </c>
      <c r="K295" s="36">
        <f>_xlfn.MAXIFS(ecommerce_transactions!D:D,ecommerce_transactions!B:B,main_data!A295)</f>
        <v>45651</v>
      </c>
      <c r="L295" s="36">
        <f>_xlfn.MINIFS(ecommerce_transactions!D:D,ecommerce_transactions!B:B,main_data!A295)</f>
        <v>45528</v>
      </c>
      <c r="M295" s="19">
        <f t="shared" si="47"/>
        <v>0.33675564681724846</v>
      </c>
      <c r="N295" s="19">
        <f t="shared" si="40"/>
        <v>10.755828220858895</v>
      </c>
      <c r="O295" s="17">
        <f t="shared" si="48"/>
        <v>1190.0886380368099</v>
      </c>
      <c r="P295" s="17">
        <f t="shared" si="49"/>
        <v>357.02659141104294</v>
      </c>
    </row>
    <row r="296" spans="1:16" x14ac:dyDescent="0.3">
      <c r="A296" s="26" t="str">
        <v>C0295</v>
      </c>
      <c r="B296" s="26">
        <f>_xlfn.DAYS(DATE(2024,12,31),_xlfn.MAXIFS(ecommerce_transactions!$D$2:$D$9999, ecommerce_transactions!$B$2:$B$9999, A296))</f>
        <v>215</v>
      </c>
      <c r="C296" s="26">
        <f>COUNTIF(ecommerce_transactions!B:B,main_data!A296)</f>
        <v>4</v>
      </c>
      <c r="D296" s="35">
        <f>SUMIF(ecommerce_transactions!B:B,main_data!A296,ecommerce_transactions!E:E)</f>
        <v>1015.8399999999999</v>
      </c>
      <c r="E296" s="28">
        <f t="shared" si="41"/>
        <v>1</v>
      </c>
      <c r="F296" s="28">
        <f t="shared" si="42"/>
        <v>2</v>
      </c>
      <c r="G296" s="26">
        <f t="shared" si="43"/>
        <v>2</v>
      </c>
      <c r="H296" s="18" t="str">
        <f t="shared" si="44"/>
        <v>122</v>
      </c>
      <c r="I296" s="26" t="str">
        <f t="shared" si="45"/>
        <v>About to Sleep</v>
      </c>
      <c r="J296" s="17">
        <f t="shared" si="46"/>
        <v>253.95999999999998</v>
      </c>
      <c r="K296" s="36">
        <f>_xlfn.MAXIFS(ecommerce_transactions!D:D,ecommerce_transactions!B:B,main_data!A296)</f>
        <v>45442</v>
      </c>
      <c r="L296" s="36">
        <f>_xlfn.MINIFS(ecommerce_transactions!D:D,ecommerce_transactions!B:B,main_data!A296)</f>
        <v>45216</v>
      </c>
      <c r="M296" s="19">
        <f t="shared" si="47"/>
        <v>0.61875427789185489</v>
      </c>
      <c r="N296" s="19">
        <f t="shared" si="40"/>
        <v>3.5754053227286633</v>
      </c>
      <c r="O296" s="17">
        <f t="shared" si="48"/>
        <v>561.83503211991433</v>
      </c>
      <c r="P296" s="17">
        <f t="shared" si="49"/>
        <v>168.55050963597429</v>
      </c>
    </row>
    <row r="297" spans="1:16" x14ac:dyDescent="0.3">
      <c r="A297" s="26" t="str">
        <v>C0296</v>
      </c>
      <c r="B297" s="26">
        <f>_xlfn.DAYS(DATE(2024,12,31),_xlfn.MAXIFS(ecommerce_transactions!$D$2:$D$9999, ecommerce_transactions!$B$2:$B$9999, A297))</f>
        <v>19</v>
      </c>
      <c r="C297" s="26">
        <f>COUNTIF(ecommerce_transactions!B:B,main_data!A297)</f>
        <v>9</v>
      </c>
      <c r="D297" s="35">
        <f>SUMIF(ecommerce_transactions!B:B,main_data!A297,ecommerce_transactions!E:E)</f>
        <v>2384.7399999999998</v>
      </c>
      <c r="E297" s="28">
        <f t="shared" si="41"/>
        <v>4</v>
      </c>
      <c r="F297" s="28">
        <f t="shared" si="42"/>
        <v>4</v>
      </c>
      <c r="G297" s="26">
        <f t="shared" si="43"/>
        <v>4</v>
      </c>
      <c r="H297" s="18" t="str">
        <f t="shared" si="44"/>
        <v>444</v>
      </c>
      <c r="I297" s="26" t="str">
        <f t="shared" si="45"/>
        <v>Champions</v>
      </c>
      <c r="J297" s="17">
        <f t="shared" si="46"/>
        <v>264.9711111111111</v>
      </c>
      <c r="K297" s="36">
        <f>_xlfn.MAXIFS(ecommerce_transactions!D:D,ecommerce_transactions!B:B,main_data!A297)</f>
        <v>45638</v>
      </c>
      <c r="L297" s="36">
        <f>_xlfn.MINIFS(ecommerce_transactions!D:D,ecommerce_transactions!B:B,main_data!A297)</f>
        <v>45212</v>
      </c>
      <c r="M297" s="19">
        <f t="shared" si="47"/>
        <v>1.1663244353182751</v>
      </c>
      <c r="N297" s="19">
        <f t="shared" si="40"/>
        <v>5.4011090573012943</v>
      </c>
      <c r="O297" s="17">
        <f t="shared" si="48"/>
        <v>1669.1710659272951</v>
      </c>
      <c r="P297" s="17">
        <f t="shared" si="49"/>
        <v>500.75131977818853</v>
      </c>
    </row>
    <row r="298" spans="1:16" x14ac:dyDescent="0.3">
      <c r="A298" s="26" t="str">
        <v>C0297</v>
      </c>
      <c r="B298" s="26">
        <f>_xlfn.DAYS(DATE(2024,12,31),_xlfn.MAXIFS(ecommerce_transactions!$D$2:$D$9999, ecommerce_transactions!$B$2:$B$9999, A298))</f>
        <v>9</v>
      </c>
      <c r="C298" s="26">
        <f>COUNTIF(ecommerce_transactions!B:B,main_data!A298)</f>
        <v>10</v>
      </c>
      <c r="D298" s="35">
        <f>SUMIF(ecommerce_transactions!B:B,main_data!A298,ecommerce_transactions!E:E)</f>
        <v>2590.87</v>
      </c>
      <c r="E298" s="28">
        <f t="shared" si="41"/>
        <v>4</v>
      </c>
      <c r="F298" s="28">
        <f t="shared" si="42"/>
        <v>4</v>
      </c>
      <c r="G298" s="26">
        <f t="shared" si="43"/>
        <v>4</v>
      </c>
      <c r="H298" s="18" t="str">
        <f t="shared" si="44"/>
        <v>444</v>
      </c>
      <c r="I298" s="26" t="str">
        <f t="shared" si="45"/>
        <v>Champions</v>
      </c>
      <c r="J298" s="17">
        <f t="shared" si="46"/>
        <v>259.08699999999999</v>
      </c>
      <c r="K298" s="36">
        <f>_xlfn.MAXIFS(ecommerce_transactions!D:D,ecommerce_transactions!B:B,main_data!A298)</f>
        <v>45648</v>
      </c>
      <c r="L298" s="36">
        <f>_xlfn.MINIFS(ecommerce_transactions!D:D,ecommerce_transactions!B:B,main_data!A298)</f>
        <v>45534</v>
      </c>
      <c r="M298" s="19">
        <f t="shared" si="47"/>
        <v>0.31211498973305957</v>
      </c>
      <c r="N298" s="19">
        <f t="shared" si="40"/>
        <v>12.313527180783819</v>
      </c>
      <c r="O298" s="17">
        <f t="shared" si="48"/>
        <v>995.7325916561316</v>
      </c>
      <c r="P298" s="17">
        <f t="shared" si="49"/>
        <v>298.71977749683947</v>
      </c>
    </row>
    <row r="299" spans="1:16" x14ac:dyDescent="0.3">
      <c r="A299" s="26" t="str">
        <v>C0298</v>
      </c>
      <c r="B299" s="26">
        <f>_xlfn.DAYS(DATE(2024,12,31),_xlfn.MAXIFS(ecommerce_transactions!$D$2:$D$9999, ecommerce_transactions!$B$2:$B$9999, A299))</f>
        <v>10</v>
      </c>
      <c r="C299" s="26">
        <f>COUNTIF(ecommerce_transactions!B:B,main_data!A299)</f>
        <v>15</v>
      </c>
      <c r="D299" s="35">
        <f>SUMIF(ecommerce_transactions!B:B,main_data!A299,ecommerce_transactions!E:E)</f>
        <v>3880.0500000000006</v>
      </c>
      <c r="E299" s="28">
        <f t="shared" si="41"/>
        <v>4</v>
      </c>
      <c r="F299" s="28">
        <f t="shared" si="42"/>
        <v>5</v>
      </c>
      <c r="G299" s="26">
        <f t="shared" si="43"/>
        <v>5</v>
      </c>
      <c r="H299" s="18" t="str">
        <f t="shared" si="44"/>
        <v>455</v>
      </c>
      <c r="I299" s="26" t="str">
        <f t="shared" si="45"/>
        <v>Champions</v>
      </c>
      <c r="J299" s="17">
        <f t="shared" si="46"/>
        <v>258.67</v>
      </c>
      <c r="K299" s="36">
        <f>_xlfn.MAXIFS(ecommerce_transactions!D:D,ecommerce_transactions!B:B,main_data!A299)</f>
        <v>45647</v>
      </c>
      <c r="L299" s="36">
        <f>_xlfn.MINIFS(ecommerce_transactions!D:D,ecommerce_transactions!B:B,main_data!A299)</f>
        <v>45542</v>
      </c>
      <c r="M299" s="19">
        <f t="shared" si="47"/>
        <v>0.28747433264887062</v>
      </c>
      <c r="N299" s="19">
        <f t="shared" si="40"/>
        <v>19.04823989569752</v>
      </c>
      <c r="O299" s="17">
        <f t="shared" si="48"/>
        <v>1416.4458930899607</v>
      </c>
      <c r="P299" s="17">
        <f t="shared" si="49"/>
        <v>424.9337679269882</v>
      </c>
    </row>
    <row r="300" spans="1:16" x14ac:dyDescent="0.3">
      <c r="A300" s="26" t="str">
        <v>C0299</v>
      </c>
      <c r="B300" s="26">
        <f>_xlfn.DAYS(DATE(2024,12,31),_xlfn.MAXIFS(ecommerce_transactions!$D$2:$D$9999, ecommerce_transactions!$B$2:$B$9999, A300))</f>
        <v>264</v>
      </c>
      <c r="C300" s="26">
        <f>COUNTIF(ecommerce_transactions!B:B,main_data!A300)</f>
        <v>11</v>
      </c>
      <c r="D300" s="35">
        <f>SUMIF(ecommerce_transactions!B:B,main_data!A300,ecommerce_transactions!E:E)</f>
        <v>2155.9900000000002</v>
      </c>
      <c r="E300" s="28">
        <f t="shared" si="41"/>
        <v>1</v>
      </c>
      <c r="F300" s="28">
        <f t="shared" si="42"/>
        <v>4</v>
      </c>
      <c r="G300" s="26">
        <f t="shared" si="43"/>
        <v>3</v>
      </c>
      <c r="H300" s="18" t="str">
        <f t="shared" si="44"/>
        <v>143</v>
      </c>
      <c r="I300" s="26" t="str">
        <f t="shared" si="45"/>
        <v>At Risk</v>
      </c>
      <c r="J300" s="17">
        <f t="shared" si="46"/>
        <v>195.99909090909094</v>
      </c>
      <c r="K300" s="36">
        <f>_xlfn.MAXIFS(ecommerce_transactions!D:D,ecommerce_transactions!B:B,main_data!A300)</f>
        <v>45393</v>
      </c>
      <c r="L300" s="36">
        <f>_xlfn.MINIFS(ecommerce_transactions!D:D,ecommerce_transactions!B:B,main_data!A300)</f>
        <v>45081</v>
      </c>
      <c r="M300" s="19">
        <f t="shared" si="47"/>
        <v>0.85420944558521561</v>
      </c>
      <c r="N300" s="19">
        <f t="shared" si="40"/>
        <v>8.122820318423047</v>
      </c>
      <c r="O300" s="17">
        <f t="shared" si="48"/>
        <v>1359.9573009855953</v>
      </c>
      <c r="P300" s="17">
        <f t="shared" si="49"/>
        <v>407.9871902956786</v>
      </c>
    </row>
    <row r="301" spans="1:16" x14ac:dyDescent="0.3">
      <c r="A301" s="26" t="str">
        <v>C0300</v>
      </c>
      <c r="B301" s="26">
        <f>_xlfn.DAYS(DATE(2024,12,31),_xlfn.MAXIFS(ecommerce_transactions!$D$2:$D$9999, ecommerce_transactions!$B$2:$B$9999, A301))</f>
        <v>9</v>
      </c>
      <c r="C301" s="26">
        <f>COUNTIF(ecommerce_transactions!B:B,main_data!A301)</f>
        <v>8</v>
      </c>
      <c r="D301" s="35">
        <f>SUMIF(ecommerce_transactions!B:B,main_data!A301,ecommerce_transactions!E:E)</f>
        <v>1705.1599999999999</v>
      </c>
      <c r="E301" s="28">
        <f t="shared" si="41"/>
        <v>4</v>
      </c>
      <c r="F301" s="28">
        <f t="shared" si="42"/>
        <v>3</v>
      </c>
      <c r="G301" s="26">
        <f t="shared" si="43"/>
        <v>3</v>
      </c>
      <c r="H301" s="18" t="str">
        <f t="shared" si="44"/>
        <v>433</v>
      </c>
      <c r="I301" s="26" t="str">
        <f t="shared" si="45"/>
        <v>Loyal Customers</v>
      </c>
      <c r="J301" s="17">
        <f t="shared" si="46"/>
        <v>213.14499999999998</v>
      </c>
      <c r="K301" s="36">
        <f>_xlfn.MAXIFS(ecommerce_transactions!D:D,ecommerce_transactions!B:B,main_data!A301)</f>
        <v>45648</v>
      </c>
      <c r="L301" s="36">
        <f>_xlfn.MINIFS(ecommerce_transactions!D:D,ecommerce_transactions!B:B,main_data!A301)</f>
        <v>45291</v>
      </c>
      <c r="M301" s="19">
        <f t="shared" si="47"/>
        <v>0.97741273100616022</v>
      </c>
      <c r="N301" s="19">
        <f t="shared" si="40"/>
        <v>5.4148714384989578</v>
      </c>
      <c r="O301" s="17">
        <f t="shared" si="48"/>
        <v>1128.0836136205698</v>
      </c>
      <c r="P301" s="17">
        <f t="shared" si="49"/>
        <v>338.42508408617095</v>
      </c>
    </row>
    <row r="302" spans="1:16" x14ac:dyDescent="0.3">
      <c r="A302" s="26" t="str">
        <v>C0301</v>
      </c>
      <c r="B302" s="26">
        <f>_xlfn.DAYS(DATE(2024,12,31),_xlfn.MAXIFS(ecommerce_transactions!$D$2:$D$9999, ecommerce_transactions!$B$2:$B$9999, A302))</f>
        <v>3</v>
      </c>
      <c r="C302" s="26">
        <f>COUNTIF(ecommerce_transactions!B:B,main_data!A302)</f>
        <v>8</v>
      </c>
      <c r="D302" s="35">
        <f>SUMIF(ecommerce_transactions!B:B,main_data!A302,ecommerce_transactions!E:E)</f>
        <v>2121.23</v>
      </c>
      <c r="E302" s="28">
        <f t="shared" si="41"/>
        <v>5</v>
      </c>
      <c r="F302" s="28">
        <f t="shared" si="42"/>
        <v>3</v>
      </c>
      <c r="G302" s="26">
        <f t="shared" si="43"/>
        <v>3</v>
      </c>
      <c r="H302" s="18" t="str">
        <f t="shared" si="44"/>
        <v>533</v>
      </c>
      <c r="I302" s="26" t="str">
        <f t="shared" si="45"/>
        <v>Loyal Customers</v>
      </c>
      <c r="J302" s="17">
        <f t="shared" si="46"/>
        <v>265.15375</v>
      </c>
      <c r="K302" s="36">
        <f>_xlfn.MAXIFS(ecommerce_transactions!D:D,ecommerce_transactions!B:B,main_data!A302)</f>
        <v>45654</v>
      </c>
      <c r="L302" s="36">
        <f>_xlfn.MINIFS(ecommerce_transactions!D:D,ecommerce_transactions!B:B,main_data!A302)</f>
        <v>45437</v>
      </c>
      <c r="M302" s="19">
        <f t="shared" si="47"/>
        <v>0.59411362080766594</v>
      </c>
      <c r="N302" s="19">
        <f t="shared" si="40"/>
        <v>7.3118548639349399</v>
      </c>
      <c r="O302" s="17">
        <f t="shared" si="48"/>
        <v>1151.8471316859557</v>
      </c>
      <c r="P302" s="17">
        <f t="shared" si="49"/>
        <v>345.55413950578668</v>
      </c>
    </row>
    <row r="303" spans="1:16" x14ac:dyDescent="0.3">
      <c r="A303" s="26" t="str">
        <v>C0302</v>
      </c>
      <c r="B303" s="26">
        <f>_xlfn.DAYS(DATE(2024,12,31),_xlfn.MAXIFS(ecommerce_transactions!$D$2:$D$9999, ecommerce_transactions!$B$2:$B$9999, A303))</f>
        <v>23</v>
      </c>
      <c r="C303" s="26">
        <f>COUNTIF(ecommerce_transactions!B:B,main_data!A303)</f>
        <v>7</v>
      </c>
      <c r="D303" s="35">
        <f>SUMIF(ecommerce_transactions!B:B,main_data!A303,ecommerce_transactions!E:E)</f>
        <v>2212.5299999999997</v>
      </c>
      <c r="E303" s="28">
        <f t="shared" si="41"/>
        <v>3</v>
      </c>
      <c r="F303" s="28">
        <f t="shared" si="42"/>
        <v>3</v>
      </c>
      <c r="G303" s="26">
        <f t="shared" si="43"/>
        <v>3</v>
      </c>
      <c r="H303" s="18" t="str">
        <f t="shared" si="44"/>
        <v>333</v>
      </c>
      <c r="I303" s="26" t="str">
        <f t="shared" si="45"/>
        <v>Loyal Customers</v>
      </c>
      <c r="J303" s="17">
        <f t="shared" si="46"/>
        <v>316.07571428571424</v>
      </c>
      <c r="K303" s="36">
        <f>_xlfn.MAXIFS(ecommerce_transactions!D:D,ecommerce_transactions!B:B,main_data!A303)</f>
        <v>45634</v>
      </c>
      <c r="L303" s="36">
        <f>_xlfn.MINIFS(ecommerce_transactions!D:D,ecommerce_transactions!B:B,main_data!A303)</f>
        <v>45421</v>
      </c>
      <c r="M303" s="19">
        <f t="shared" si="47"/>
        <v>0.58316221765913756</v>
      </c>
      <c r="N303" s="19">
        <f t="shared" si="40"/>
        <v>6.4625592417061615</v>
      </c>
      <c r="O303" s="17">
        <f t="shared" si="48"/>
        <v>1191.2009857819905</v>
      </c>
      <c r="P303" s="17">
        <f t="shared" si="49"/>
        <v>357.36029573459717</v>
      </c>
    </row>
    <row r="304" spans="1:16" x14ac:dyDescent="0.3">
      <c r="A304" s="26" t="str">
        <v>C0303</v>
      </c>
      <c r="B304" s="26">
        <f>_xlfn.DAYS(DATE(2024,12,31),_xlfn.MAXIFS(ecommerce_transactions!$D$2:$D$9999, ecommerce_transactions!$B$2:$B$9999, A304))</f>
        <v>27</v>
      </c>
      <c r="C304" s="26">
        <f>COUNTIF(ecommerce_transactions!B:B,main_data!A304)</f>
        <v>15</v>
      </c>
      <c r="D304" s="35">
        <f>SUMIF(ecommerce_transactions!B:B,main_data!A304,ecommerce_transactions!E:E)</f>
        <v>3899.35</v>
      </c>
      <c r="E304" s="28">
        <f t="shared" si="41"/>
        <v>3</v>
      </c>
      <c r="F304" s="28">
        <f t="shared" si="42"/>
        <v>5</v>
      </c>
      <c r="G304" s="26">
        <f t="shared" si="43"/>
        <v>5</v>
      </c>
      <c r="H304" s="18" t="str">
        <f t="shared" si="44"/>
        <v>355</v>
      </c>
      <c r="I304" s="26" t="str">
        <f t="shared" si="45"/>
        <v>Loyal Customers</v>
      </c>
      <c r="J304" s="17">
        <f t="shared" si="46"/>
        <v>259.95666666666665</v>
      </c>
      <c r="K304" s="36">
        <f>_xlfn.MAXIFS(ecommerce_transactions!D:D,ecommerce_transactions!B:B,main_data!A304)</f>
        <v>45630</v>
      </c>
      <c r="L304" s="36">
        <f>_xlfn.MINIFS(ecommerce_transactions!D:D,ecommerce_transactions!B:B,main_data!A304)</f>
        <v>45012</v>
      </c>
      <c r="M304" s="19">
        <f t="shared" si="47"/>
        <v>1.6919917864476386</v>
      </c>
      <c r="N304" s="19">
        <f t="shared" si="40"/>
        <v>6.8430913348946145</v>
      </c>
      <c r="O304" s="17">
        <f t="shared" si="48"/>
        <v>3009.8963934426233</v>
      </c>
      <c r="P304" s="17">
        <f t="shared" si="49"/>
        <v>902.96891803278697</v>
      </c>
    </row>
    <row r="305" spans="1:16" x14ac:dyDescent="0.3">
      <c r="A305" s="26" t="str">
        <v>C0304</v>
      </c>
      <c r="B305" s="26">
        <f>_xlfn.DAYS(DATE(2024,12,31),_xlfn.MAXIFS(ecommerce_transactions!$D$2:$D$9999, ecommerce_transactions!$B$2:$B$9999, A305))</f>
        <v>21</v>
      </c>
      <c r="C305" s="26">
        <f>COUNTIF(ecommerce_transactions!B:B,main_data!A305)</f>
        <v>1</v>
      </c>
      <c r="D305" s="35">
        <f>SUMIF(ecommerce_transactions!B:B,main_data!A305,ecommerce_transactions!E:E)</f>
        <v>42.54</v>
      </c>
      <c r="E305" s="28">
        <f t="shared" si="41"/>
        <v>3</v>
      </c>
      <c r="F305" s="28">
        <f t="shared" si="42"/>
        <v>1</v>
      </c>
      <c r="G305" s="26">
        <f t="shared" si="43"/>
        <v>1</v>
      </c>
      <c r="H305" s="18" t="str">
        <f t="shared" si="44"/>
        <v>311</v>
      </c>
      <c r="I305" s="26" t="str">
        <f t="shared" si="45"/>
        <v>Lost</v>
      </c>
      <c r="J305" s="17">
        <f t="shared" si="46"/>
        <v>42.54</v>
      </c>
      <c r="K305" s="36">
        <f>_xlfn.MAXIFS(ecommerce_transactions!D:D,ecommerce_transactions!B:B,main_data!A305)</f>
        <v>45636</v>
      </c>
      <c r="L305" s="36">
        <f>_xlfn.MINIFS(ecommerce_transactions!D:D,ecommerce_transactions!B:B,main_data!A305)</f>
        <v>45636</v>
      </c>
      <c r="M305" s="19">
        <f t="shared" si="47"/>
        <v>0</v>
      </c>
      <c r="N305" s="19">
        <f t="shared" si="40"/>
        <v>2</v>
      </c>
      <c r="O305" s="17">
        <f t="shared" si="48"/>
        <v>0</v>
      </c>
      <c r="P305" s="17">
        <f t="shared" si="49"/>
        <v>0</v>
      </c>
    </row>
    <row r="306" spans="1:16" x14ac:dyDescent="0.3">
      <c r="A306" s="26" t="str">
        <v>C0305</v>
      </c>
      <c r="B306" s="26">
        <f>_xlfn.DAYS(DATE(2024,12,31),_xlfn.MAXIFS(ecommerce_transactions!$D$2:$D$9999, ecommerce_transactions!$B$2:$B$9999, A306))</f>
        <v>1</v>
      </c>
      <c r="C306" s="26">
        <f>COUNTIF(ecommerce_transactions!B:B,main_data!A306)</f>
        <v>6</v>
      </c>
      <c r="D306" s="35">
        <f>SUMIF(ecommerce_transactions!B:B,main_data!A306,ecommerce_transactions!E:E)</f>
        <v>661.97</v>
      </c>
      <c r="E306" s="28">
        <f t="shared" si="41"/>
        <v>5</v>
      </c>
      <c r="F306" s="28">
        <f t="shared" si="42"/>
        <v>3</v>
      </c>
      <c r="G306" s="26">
        <f t="shared" si="43"/>
        <v>1</v>
      </c>
      <c r="H306" s="18" t="str">
        <f t="shared" si="44"/>
        <v>531</v>
      </c>
      <c r="I306" s="26" t="str">
        <f t="shared" si="45"/>
        <v>Lost</v>
      </c>
      <c r="J306" s="17">
        <f t="shared" si="46"/>
        <v>110.32833333333333</v>
      </c>
      <c r="K306" s="36">
        <f>_xlfn.MAXIFS(ecommerce_transactions!D:D,ecommerce_transactions!B:B,main_data!A306)</f>
        <v>45656</v>
      </c>
      <c r="L306" s="36">
        <f>_xlfn.MINIFS(ecommerce_transactions!D:D,ecommerce_transactions!B:B,main_data!A306)</f>
        <v>45608</v>
      </c>
      <c r="M306" s="19">
        <f t="shared" si="47"/>
        <v>0.13141683778234087</v>
      </c>
      <c r="N306" s="19">
        <f t="shared" si="40"/>
        <v>9.5024390243902452</v>
      </c>
      <c r="O306" s="17">
        <f t="shared" si="48"/>
        <v>137.77586991869919</v>
      </c>
      <c r="P306" s="17">
        <f t="shared" si="49"/>
        <v>41.332760975609752</v>
      </c>
    </row>
    <row r="307" spans="1:16" x14ac:dyDescent="0.3">
      <c r="A307" s="26" t="str">
        <v>C0306</v>
      </c>
      <c r="B307" s="26">
        <f>_xlfn.DAYS(DATE(2024,12,31),_xlfn.MAXIFS(ecommerce_transactions!$D$2:$D$9999, ecommerce_transactions!$B$2:$B$9999, A307))</f>
        <v>20</v>
      </c>
      <c r="C307" s="26">
        <f>COUNTIF(ecommerce_transactions!B:B,main_data!A307)</f>
        <v>5</v>
      </c>
      <c r="D307" s="35">
        <f>SUMIF(ecommerce_transactions!B:B,main_data!A307,ecommerce_transactions!E:E)</f>
        <v>1170.3499999999999</v>
      </c>
      <c r="E307" s="28">
        <f t="shared" si="41"/>
        <v>4</v>
      </c>
      <c r="F307" s="28">
        <f t="shared" si="42"/>
        <v>2</v>
      </c>
      <c r="G307" s="26">
        <f t="shared" si="43"/>
        <v>2</v>
      </c>
      <c r="H307" s="18" t="str">
        <f t="shared" si="44"/>
        <v>422</v>
      </c>
      <c r="I307" s="26" t="str">
        <f t="shared" si="45"/>
        <v>New Customers</v>
      </c>
      <c r="J307" s="17">
        <f t="shared" si="46"/>
        <v>234.07</v>
      </c>
      <c r="K307" s="36">
        <f>_xlfn.MAXIFS(ecommerce_transactions!D:D,ecommerce_transactions!B:B,main_data!A307)</f>
        <v>45637</v>
      </c>
      <c r="L307" s="36">
        <f>_xlfn.MINIFS(ecommerce_transactions!D:D,ecommerce_transactions!B:B,main_data!A307)</f>
        <v>45249</v>
      </c>
      <c r="M307" s="19">
        <f t="shared" si="47"/>
        <v>1.0622861054072552</v>
      </c>
      <c r="N307" s="19">
        <f t="shared" si="40"/>
        <v>3.2004381161007669</v>
      </c>
      <c r="O307" s="17">
        <f t="shared" si="48"/>
        <v>795.78672508214663</v>
      </c>
      <c r="P307" s="17">
        <f t="shared" si="49"/>
        <v>238.73601752464398</v>
      </c>
    </row>
    <row r="308" spans="1:16" x14ac:dyDescent="0.3">
      <c r="A308" s="26" t="str">
        <v>C0307</v>
      </c>
      <c r="B308" s="26">
        <f>_xlfn.DAYS(DATE(2024,12,31),_xlfn.MAXIFS(ecommerce_transactions!$D$2:$D$9999, ecommerce_transactions!$B$2:$B$9999, A308))</f>
        <v>1</v>
      </c>
      <c r="C308" s="26">
        <f>COUNTIF(ecommerce_transactions!B:B,main_data!A308)</f>
        <v>11</v>
      </c>
      <c r="D308" s="35">
        <f>SUMIF(ecommerce_transactions!B:B,main_data!A308,ecommerce_transactions!E:E)</f>
        <v>2477.1200000000003</v>
      </c>
      <c r="E308" s="28">
        <f t="shared" si="41"/>
        <v>5</v>
      </c>
      <c r="F308" s="28">
        <f t="shared" si="42"/>
        <v>4</v>
      </c>
      <c r="G308" s="26">
        <f t="shared" si="43"/>
        <v>4</v>
      </c>
      <c r="H308" s="18" t="str">
        <f t="shared" si="44"/>
        <v>544</v>
      </c>
      <c r="I308" s="26" t="str">
        <f t="shared" si="45"/>
        <v>Champions</v>
      </c>
      <c r="J308" s="17">
        <f t="shared" si="46"/>
        <v>225.1927272727273</v>
      </c>
      <c r="K308" s="36">
        <f>_xlfn.MAXIFS(ecommerce_transactions!D:D,ecommerce_transactions!B:B,main_data!A308)</f>
        <v>45656</v>
      </c>
      <c r="L308" s="36">
        <f>_xlfn.MINIFS(ecommerce_transactions!D:D,ecommerce_transactions!B:B,main_data!A308)</f>
        <v>45539</v>
      </c>
      <c r="M308" s="19">
        <f t="shared" si="47"/>
        <v>0.32032854209445583</v>
      </c>
      <c r="N308" s="19">
        <f t="shared" si="40"/>
        <v>13.409261576971215</v>
      </c>
      <c r="O308" s="17">
        <f t="shared" si="48"/>
        <v>967.28590738423043</v>
      </c>
      <c r="P308" s="17">
        <f t="shared" si="49"/>
        <v>290.18577221526914</v>
      </c>
    </row>
    <row r="309" spans="1:16" x14ac:dyDescent="0.3">
      <c r="A309" s="26" t="str">
        <v>C0308</v>
      </c>
      <c r="B309" s="26">
        <f>_xlfn.DAYS(DATE(2024,12,31),_xlfn.MAXIFS(ecommerce_transactions!$D$2:$D$9999, ecommerce_transactions!$B$2:$B$9999, A309))</f>
        <v>5</v>
      </c>
      <c r="C309" s="26">
        <f>COUNTIF(ecommerce_transactions!B:B,main_data!A309)</f>
        <v>7</v>
      </c>
      <c r="D309" s="35">
        <f>SUMIF(ecommerce_transactions!B:B,main_data!A309,ecommerce_transactions!E:E)</f>
        <v>907.18</v>
      </c>
      <c r="E309" s="28">
        <f t="shared" si="41"/>
        <v>5</v>
      </c>
      <c r="F309" s="28">
        <f t="shared" si="42"/>
        <v>3</v>
      </c>
      <c r="G309" s="26">
        <f t="shared" si="43"/>
        <v>1</v>
      </c>
      <c r="H309" s="18" t="str">
        <f t="shared" si="44"/>
        <v>531</v>
      </c>
      <c r="I309" s="26" t="str">
        <f t="shared" si="45"/>
        <v>Lost</v>
      </c>
      <c r="J309" s="17">
        <f t="shared" si="46"/>
        <v>129.59714285714284</v>
      </c>
      <c r="K309" s="36">
        <f>_xlfn.MAXIFS(ecommerce_transactions!D:D,ecommerce_transactions!B:B,main_data!A309)</f>
        <v>45652</v>
      </c>
      <c r="L309" s="36">
        <f>_xlfn.MINIFS(ecommerce_transactions!D:D,ecommerce_transactions!B:B,main_data!A309)</f>
        <v>45460</v>
      </c>
      <c r="M309" s="19">
        <f t="shared" si="47"/>
        <v>0.52566735112936347</v>
      </c>
      <c r="N309" s="19">
        <f t="shared" si="40"/>
        <v>6.8248248248248249</v>
      </c>
      <c r="O309" s="17">
        <f t="shared" si="48"/>
        <v>464.94110110110108</v>
      </c>
      <c r="P309" s="17">
        <f t="shared" si="49"/>
        <v>139.48233033033031</v>
      </c>
    </row>
    <row r="310" spans="1:16" x14ac:dyDescent="0.3">
      <c r="A310" s="26" t="str">
        <v>C0309</v>
      </c>
      <c r="B310" s="26">
        <f>_xlfn.DAYS(DATE(2024,12,31),_xlfn.MAXIFS(ecommerce_transactions!$D$2:$D$9999, ecommerce_transactions!$B$2:$B$9999, A310))</f>
        <v>7</v>
      </c>
      <c r="C310" s="26">
        <f>COUNTIF(ecommerce_transactions!B:B,main_data!A310)</f>
        <v>4</v>
      </c>
      <c r="D310" s="35">
        <f>SUMIF(ecommerce_transactions!B:B,main_data!A310,ecommerce_transactions!E:E)</f>
        <v>1318.3999999999999</v>
      </c>
      <c r="E310" s="28">
        <f t="shared" si="41"/>
        <v>5</v>
      </c>
      <c r="F310" s="28">
        <f t="shared" si="42"/>
        <v>2</v>
      </c>
      <c r="G310" s="26">
        <f t="shared" si="43"/>
        <v>2</v>
      </c>
      <c r="H310" s="18" t="str">
        <f t="shared" si="44"/>
        <v>522</v>
      </c>
      <c r="I310" s="26" t="str">
        <f t="shared" si="45"/>
        <v>New Customers</v>
      </c>
      <c r="J310" s="17">
        <f t="shared" si="46"/>
        <v>329.59999999999997</v>
      </c>
      <c r="K310" s="36">
        <f>_xlfn.MAXIFS(ecommerce_transactions!D:D,ecommerce_transactions!B:B,main_data!A310)</f>
        <v>45650</v>
      </c>
      <c r="L310" s="36">
        <f>_xlfn.MINIFS(ecommerce_transactions!D:D,ecommerce_transactions!B:B,main_data!A310)</f>
        <v>45569</v>
      </c>
      <c r="M310" s="19">
        <f t="shared" si="47"/>
        <v>0.22176591375770022</v>
      </c>
      <c r="N310" s="19">
        <f t="shared" si="40"/>
        <v>5.5419630156472266</v>
      </c>
      <c r="O310" s="17">
        <f t="shared" si="48"/>
        <v>405.08449502133715</v>
      </c>
      <c r="P310" s="17">
        <f t="shared" si="49"/>
        <v>121.52534850640114</v>
      </c>
    </row>
    <row r="311" spans="1:16" x14ac:dyDescent="0.3">
      <c r="A311" s="26" t="str">
        <v>C0310</v>
      </c>
      <c r="B311" s="26">
        <f>_xlfn.DAYS(DATE(2024,12,31),_xlfn.MAXIFS(ecommerce_transactions!$D$2:$D$9999, ecommerce_transactions!$B$2:$B$9999, A311))</f>
        <v>170</v>
      </c>
      <c r="C311" s="26">
        <f>COUNTIF(ecommerce_transactions!B:B,main_data!A311)</f>
        <v>1</v>
      </c>
      <c r="D311" s="35">
        <f>SUMIF(ecommerce_transactions!B:B,main_data!A311,ecommerce_transactions!E:E)</f>
        <v>359.92</v>
      </c>
      <c r="E311" s="28">
        <f t="shared" si="41"/>
        <v>1</v>
      </c>
      <c r="F311" s="28">
        <f t="shared" si="42"/>
        <v>1</v>
      </c>
      <c r="G311" s="26">
        <f t="shared" si="43"/>
        <v>1</v>
      </c>
      <c r="H311" s="18" t="str">
        <f t="shared" si="44"/>
        <v>111</v>
      </c>
      <c r="I311" s="26" t="str">
        <f t="shared" si="45"/>
        <v>About to Sleep</v>
      </c>
      <c r="J311" s="17">
        <f t="shared" si="46"/>
        <v>359.92</v>
      </c>
      <c r="K311" s="36">
        <f>_xlfn.MAXIFS(ecommerce_transactions!D:D,ecommerce_transactions!B:B,main_data!A311)</f>
        <v>45487</v>
      </c>
      <c r="L311" s="36">
        <f>_xlfn.MINIFS(ecommerce_transactions!D:D,ecommerce_transactions!B:B,main_data!A311)</f>
        <v>45487</v>
      </c>
      <c r="M311" s="19">
        <f t="shared" si="47"/>
        <v>0</v>
      </c>
      <c r="N311" s="19">
        <f t="shared" si="40"/>
        <v>2</v>
      </c>
      <c r="O311" s="17">
        <f t="shared" si="48"/>
        <v>0</v>
      </c>
      <c r="P311" s="17">
        <f t="shared" si="49"/>
        <v>0</v>
      </c>
    </row>
    <row r="312" spans="1:16" x14ac:dyDescent="0.3">
      <c r="A312" s="26" t="str">
        <v>C0311</v>
      </c>
      <c r="B312" s="26">
        <f>_xlfn.DAYS(DATE(2024,12,31),_xlfn.MAXIFS(ecommerce_transactions!$D$2:$D$9999, ecommerce_transactions!$B$2:$B$9999, A312))</f>
        <v>5</v>
      </c>
      <c r="C312" s="26">
        <f>COUNTIF(ecommerce_transactions!B:B,main_data!A312)</f>
        <v>10</v>
      </c>
      <c r="D312" s="35">
        <f>SUMIF(ecommerce_transactions!B:B,main_data!A312,ecommerce_transactions!E:E)</f>
        <v>2383.35</v>
      </c>
      <c r="E312" s="28">
        <f t="shared" si="41"/>
        <v>5</v>
      </c>
      <c r="F312" s="28">
        <f t="shared" si="42"/>
        <v>4</v>
      </c>
      <c r="G312" s="26">
        <f t="shared" si="43"/>
        <v>4</v>
      </c>
      <c r="H312" s="18" t="str">
        <f t="shared" si="44"/>
        <v>544</v>
      </c>
      <c r="I312" s="26" t="str">
        <f t="shared" si="45"/>
        <v>Champions</v>
      </c>
      <c r="J312" s="17">
        <f t="shared" si="46"/>
        <v>238.33499999999998</v>
      </c>
      <c r="K312" s="36">
        <f>_xlfn.MAXIFS(ecommerce_transactions!D:D,ecommerce_transactions!B:B,main_data!A312)</f>
        <v>45652</v>
      </c>
      <c r="L312" s="36">
        <f>_xlfn.MINIFS(ecommerce_transactions!D:D,ecommerce_transactions!B:B,main_data!A312)</f>
        <v>45613</v>
      </c>
      <c r="M312" s="19">
        <f t="shared" si="47"/>
        <v>0.10677618069815195</v>
      </c>
      <c r="N312" s="19">
        <f t="shared" si="40"/>
        <v>16.480541455160743</v>
      </c>
      <c r="O312" s="17">
        <f t="shared" si="48"/>
        <v>419.40507614213192</v>
      </c>
      <c r="P312" s="17">
        <f t="shared" si="49"/>
        <v>125.82152284263957</v>
      </c>
    </row>
    <row r="313" spans="1:16" x14ac:dyDescent="0.3">
      <c r="A313" s="26" t="str">
        <v>C0312</v>
      </c>
      <c r="B313" s="26">
        <f>_xlfn.DAYS(DATE(2024,12,31),_xlfn.MAXIFS(ecommerce_transactions!$D$2:$D$9999, ecommerce_transactions!$B$2:$B$9999, A313))</f>
        <v>27</v>
      </c>
      <c r="C313" s="26">
        <f>COUNTIF(ecommerce_transactions!B:B,main_data!A313)</f>
        <v>15</v>
      </c>
      <c r="D313" s="35">
        <f>SUMIF(ecommerce_transactions!B:B,main_data!A313,ecommerce_transactions!E:E)</f>
        <v>4545.6899999999996</v>
      </c>
      <c r="E313" s="28">
        <f t="shared" si="41"/>
        <v>3</v>
      </c>
      <c r="F313" s="28">
        <f t="shared" si="42"/>
        <v>5</v>
      </c>
      <c r="G313" s="26">
        <f t="shared" si="43"/>
        <v>5</v>
      </c>
      <c r="H313" s="18" t="str">
        <f t="shared" si="44"/>
        <v>355</v>
      </c>
      <c r="I313" s="26" t="str">
        <f t="shared" si="45"/>
        <v>Loyal Customers</v>
      </c>
      <c r="J313" s="17">
        <f t="shared" si="46"/>
        <v>303.04599999999999</v>
      </c>
      <c r="K313" s="36">
        <f>_xlfn.MAXIFS(ecommerce_transactions!D:D,ecommerce_transactions!B:B,main_data!A313)</f>
        <v>45630</v>
      </c>
      <c r="L313" s="36">
        <f>_xlfn.MINIFS(ecommerce_transactions!D:D,ecommerce_transactions!B:B,main_data!A313)</f>
        <v>45440</v>
      </c>
      <c r="M313" s="19">
        <f t="shared" si="47"/>
        <v>0.52019164955509922</v>
      </c>
      <c r="N313" s="19">
        <f t="shared" si="40"/>
        <v>14.703119758470313</v>
      </c>
      <c r="O313" s="17">
        <f t="shared" si="48"/>
        <v>2317.8291848373028</v>
      </c>
      <c r="P313" s="17">
        <f t="shared" si="49"/>
        <v>695.34875545119087</v>
      </c>
    </row>
    <row r="314" spans="1:16" x14ac:dyDescent="0.3">
      <c r="A314" s="26" t="str">
        <v>C0313</v>
      </c>
      <c r="B314" s="26">
        <f>_xlfn.DAYS(DATE(2024,12,31),_xlfn.MAXIFS(ecommerce_transactions!$D$2:$D$9999, ecommerce_transactions!$B$2:$B$9999, A314))</f>
        <v>7</v>
      </c>
      <c r="C314" s="26">
        <f>COUNTIF(ecommerce_transactions!B:B,main_data!A314)</f>
        <v>7</v>
      </c>
      <c r="D314" s="35">
        <f>SUMIF(ecommerce_transactions!B:B,main_data!A314,ecommerce_transactions!E:E)</f>
        <v>1286.2</v>
      </c>
      <c r="E314" s="28">
        <f t="shared" si="41"/>
        <v>5</v>
      </c>
      <c r="F314" s="28">
        <f t="shared" si="42"/>
        <v>3</v>
      </c>
      <c r="G314" s="26">
        <f t="shared" si="43"/>
        <v>2</v>
      </c>
      <c r="H314" s="18" t="str">
        <f t="shared" si="44"/>
        <v>532</v>
      </c>
      <c r="I314" s="26" t="str">
        <f t="shared" si="45"/>
        <v>Potential Loyalists</v>
      </c>
      <c r="J314" s="17">
        <f t="shared" si="46"/>
        <v>183.74285714285716</v>
      </c>
      <c r="K314" s="36">
        <f>_xlfn.MAXIFS(ecommerce_transactions!D:D,ecommerce_transactions!B:B,main_data!A314)</f>
        <v>45650</v>
      </c>
      <c r="L314" s="36">
        <f>_xlfn.MINIFS(ecommerce_transactions!D:D,ecommerce_transactions!B:B,main_data!A314)</f>
        <v>45196</v>
      </c>
      <c r="M314" s="19">
        <f t="shared" si="47"/>
        <v>1.2429842573579739</v>
      </c>
      <c r="N314" s="19">
        <f t="shared" si="40"/>
        <v>4.0161005301394068</v>
      </c>
      <c r="O314" s="17">
        <f t="shared" si="48"/>
        <v>917.23510700962106</v>
      </c>
      <c r="P314" s="17">
        <f t="shared" si="49"/>
        <v>275.17053210288628</v>
      </c>
    </row>
    <row r="315" spans="1:16" x14ac:dyDescent="0.3">
      <c r="A315" s="26" t="str">
        <v>C0314</v>
      </c>
      <c r="B315" s="26">
        <f>_xlfn.DAYS(DATE(2024,12,31),_xlfn.MAXIFS(ecommerce_transactions!$D$2:$D$9999, ecommerce_transactions!$B$2:$B$9999, A315))</f>
        <v>210</v>
      </c>
      <c r="C315" s="26">
        <f>COUNTIF(ecommerce_transactions!B:B,main_data!A315)</f>
        <v>1</v>
      </c>
      <c r="D315" s="35">
        <f>SUMIF(ecommerce_transactions!B:B,main_data!A315,ecommerce_transactions!E:E)</f>
        <v>119.94</v>
      </c>
      <c r="E315" s="28">
        <f t="shared" si="41"/>
        <v>1</v>
      </c>
      <c r="F315" s="28">
        <f t="shared" si="42"/>
        <v>1</v>
      </c>
      <c r="G315" s="26">
        <f t="shared" si="43"/>
        <v>1</v>
      </c>
      <c r="H315" s="18" t="str">
        <f t="shared" si="44"/>
        <v>111</v>
      </c>
      <c r="I315" s="26" t="str">
        <f t="shared" si="45"/>
        <v>About to Sleep</v>
      </c>
      <c r="J315" s="17">
        <f t="shared" si="46"/>
        <v>119.94</v>
      </c>
      <c r="K315" s="36">
        <f>_xlfn.MAXIFS(ecommerce_transactions!D:D,ecommerce_transactions!B:B,main_data!A315)</f>
        <v>45447</v>
      </c>
      <c r="L315" s="36">
        <f>_xlfn.MINIFS(ecommerce_transactions!D:D,ecommerce_transactions!B:B,main_data!A315)</f>
        <v>45447</v>
      </c>
      <c r="M315" s="19">
        <f t="shared" si="47"/>
        <v>0</v>
      </c>
      <c r="N315" s="19">
        <f t="shared" si="40"/>
        <v>2</v>
      </c>
      <c r="O315" s="17">
        <f t="shared" si="48"/>
        <v>0</v>
      </c>
      <c r="P315" s="17">
        <f t="shared" si="49"/>
        <v>0</v>
      </c>
    </row>
    <row r="316" spans="1:16" x14ac:dyDescent="0.3">
      <c r="A316" s="26" t="str">
        <v>C0315</v>
      </c>
      <c r="B316" s="26">
        <f>_xlfn.DAYS(DATE(2024,12,31),_xlfn.MAXIFS(ecommerce_transactions!$D$2:$D$9999, ecommerce_transactions!$B$2:$B$9999, A316))</f>
        <v>5</v>
      </c>
      <c r="C316" s="26">
        <f>COUNTIF(ecommerce_transactions!B:B,main_data!A316)</f>
        <v>8</v>
      </c>
      <c r="D316" s="35">
        <f>SUMIF(ecommerce_transactions!B:B,main_data!A316,ecommerce_transactions!E:E)</f>
        <v>1758.53</v>
      </c>
      <c r="E316" s="28">
        <f t="shared" si="41"/>
        <v>5</v>
      </c>
      <c r="F316" s="28">
        <f t="shared" si="42"/>
        <v>3</v>
      </c>
      <c r="G316" s="26">
        <f t="shared" si="43"/>
        <v>3</v>
      </c>
      <c r="H316" s="18" t="str">
        <f t="shared" si="44"/>
        <v>533</v>
      </c>
      <c r="I316" s="26" t="str">
        <f t="shared" si="45"/>
        <v>Loyal Customers</v>
      </c>
      <c r="J316" s="17">
        <f t="shared" si="46"/>
        <v>219.81625</v>
      </c>
      <c r="K316" s="36">
        <f>_xlfn.MAXIFS(ecommerce_transactions!D:D,ecommerce_transactions!B:B,main_data!A316)</f>
        <v>45652</v>
      </c>
      <c r="L316" s="36">
        <f>_xlfn.MINIFS(ecommerce_transactions!D:D,ecommerce_transactions!B:B,main_data!A316)</f>
        <v>45286</v>
      </c>
      <c r="M316" s="19">
        <f t="shared" si="47"/>
        <v>1.0020533880903491</v>
      </c>
      <c r="N316" s="19">
        <f t="shared" si="40"/>
        <v>5.3260423786739581</v>
      </c>
      <c r="O316" s="17">
        <f t="shared" si="48"/>
        <v>1173.1546684894054</v>
      </c>
      <c r="P316" s="17">
        <f t="shared" si="49"/>
        <v>351.94640054682162</v>
      </c>
    </row>
    <row r="317" spans="1:16" x14ac:dyDescent="0.3">
      <c r="A317" s="26" t="str">
        <v>C0316</v>
      </c>
      <c r="B317" s="26">
        <f>_xlfn.DAYS(DATE(2024,12,31),_xlfn.MAXIFS(ecommerce_transactions!$D$2:$D$9999, ecommerce_transactions!$B$2:$B$9999, A317))</f>
        <v>1</v>
      </c>
      <c r="C317" s="26">
        <f>COUNTIF(ecommerce_transactions!B:B,main_data!A317)</f>
        <v>5</v>
      </c>
      <c r="D317" s="35">
        <f>SUMIF(ecommerce_transactions!B:B,main_data!A317,ecommerce_transactions!E:E)</f>
        <v>1286.2399999999998</v>
      </c>
      <c r="E317" s="28">
        <f t="shared" si="41"/>
        <v>5</v>
      </c>
      <c r="F317" s="28">
        <f t="shared" si="42"/>
        <v>2</v>
      </c>
      <c r="G317" s="26">
        <f t="shared" si="43"/>
        <v>2</v>
      </c>
      <c r="H317" s="18" t="str">
        <f t="shared" si="44"/>
        <v>522</v>
      </c>
      <c r="I317" s="26" t="str">
        <f t="shared" si="45"/>
        <v>New Customers</v>
      </c>
      <c r="J317" s="17">
        <f t="shared" si="46"/>
        <v>257.24799999999993</v>
      </c>
      <c r="K317" s="36">
        <f>_xlfn.MAXIFS(ecommerce_transactions!D:D,ecommerce_transactions!B:B,main_data!A317)</f>
        <v>45656</v>
      </c>
      <c r="L317" s="36">
        <f>_xlfn.MINIFS(ecommerce_transactions!D:D,ecommerce_transactions!B:B,main_data!A317)</f>
        <v>45469</v>
      </c>
      <c r="M317" s="19">
        <f t="shared" si="47"/>
        <v>0.51197809719370291</v>
      </c>
      <c r="N317" s="19">
        <f t="shared" si="40"/>
        <v>4.9408183970240112</v>
      </c>
      <c r="O317" s="17">
        <f t="shared" si="48"/>
        <v>650.73217450118352</v>
      </c>
      <c r="P317" s="17">
        <f t="shared" si="49"/>
        <v>195.21965235035506</v>
      </c>
    </row>
    <row r="318" spans="1:16" x14ac:dyDescent="0.3">
      <c r="A318" s="26" t="str">
        <v>C0317</v>
      </c>
      <c r="B318" s="26">
        <f>_xlfn.DAYS(DATE(2024,12,31),_xlfn.MAXIFS(ecommerce_transactions!$D$2:$D$9999, ecommerce_transactions!$B$2:$B$9999, A318))</f>
        <v>63</v>
      </c>
      <c r="C318" s="26">
        <f>COUNTIF(ecommerce_transactions!B:B,main_data!A318)</f>
        <v>3</v>
      </c>
      <c r="D318" s="35">
        <f>SUMIF(ecommerce_transactions!B:B,main_data!A318,ecommerce_transactions!E:E)</f>
        <v>663.55</v>
      </c>
      <c r="E318" s="28">
        <f t="shared" si="41"/>
        <v>2</v>
      </c>
      <c r="F318" s="28">
        <f t="shared" si="42"/>
        <v>1</v>
      </c>
      <c r="G318" s="26">
        <f t="shared" si="43"/>
        <v>1</v>
      </c>
      <c r="H318" s="18" t="str">
        <f t="shared" si="44"/>
        <v>211</v>
      </c>
      <c r="I318" s="26" t="str">
        <f t="shared" si="45"/>
        <v>About to Sleep</v>
      </c>
      <c r="J318" s="17">
        <f t="shared" si="46"/>
        <v>221.18333333333331</v>
      </c>
      <c r="K318" s="36">
        <f>_xlfn.MAXIFS(ecommerce_transactions!D:D,ecommerce_transactions!B:B,main_data!A318)</f>
        <v>45594</v>
      </c>
      <c r="L318" s="36">
        <f>_xlfn.MINIFS(ecommerce_transactions!D:D,ecommerce_transactions!B:B,main_data!A318)</f>
        <v>45481</v>
      </c>
      <c r="M318" s="19">
        <f t="shared" si="47"/>
        <v>0.30937713894592744</v>
      </c>
      <c r="N318" s="19">
        <f t="shared" si="40"/>
        <v>3.706553911205074</v>
      </c>
      <c r="O318" s="17">
        <f t="shared" si="48"/>
        <v>253.63602536997885</v>
      </c>
      <c r="P318" s="17">
        <f t="shared" si="49"/>
        <v>76.09080761099365</v>
      </c>
    </row>
    <row r="319" spans="1:16" x14ac:dyDescent="0.3">
      <c r="A319" s="26" t="str">
        <v>C0318</v>
      </c>
      <c r="B319" s="26">
        <f>_xlfn.DAYS(DATE(2024,12,31),_xlfn.MAXIFS(ecommerce_transactions!$D$2:$D$9999, ecommerce_transactions!$B$2:$B$9999, A319))</f>
        <v>269</v>
      </c>
      <c r="C319" s="26">
        <f>COUNTIF(ecommerce_transactions!B:B,main_data!A319)</f>
        <v>5</v>
      </c>
      <c r="D319" s="35">
        <f>SUMIF(ecommerce_transactions!B:B,main_data!A319,ecommerce_transactions!E:E)</f>
        <v>1023.5400000000002</v>
      </c>
      <c r="E319" s="28">
        <f t="shared" si="41"/>
        <v>1</v>
      </c>
      <c r="F319" s="28">
        <f t="shared" si="42"/>
        <v>2</v>
      </c>
      <c r="G319" s="26">
        <f t="shared" si="43"/>
        <v>2</v>
      </c>
      <c r="H319" s="18" t="str">
        <f t="shared" si="44"/>
        <v>122</v>
      </c>
      <c r="I319" s="26" t="str">
        <f t="shared" si="45"/>
        <v>About to Sleep</v>
      </c>
      <c r="J319" s="17">
        <f t="shared" si="46"/>
        <v>204.70800000000003</v>
      </c>
      <c r="K319" s="36">
        <f>_xlfn.MAXIFS(ecommerce_transactions!D:D,ecommerce_transactions!B:B,main_data!A319)</f>
        <v>45388</v>
      </c>
      <c r="L319" s="36">
        <f>_xlfn.MINIFS(ecommerce_transactions!D:D,ecommerce_transactions!B:B,main_data!A319)</f>
        <v>45075</v>
      </c>
      <c r="M319" s="19">
        <f t="shared" si="47"/>
        <v>0.85694729637234768</v>
      </c>
      <c r="N319" s="19">
        <f t="shared" si="40"/>
        <v>3.6847414880201765</v>
      </c>
      <c r="O319" s="17">
        <f t="shared" si="48"/>
        <v>646.3919697351829</v>
      </c>
      <c r="P319" s="17">
        <f t="shared" si="49"/>
        <v>193.91759092055486</v>
      </c>
    </row>
    <row r="320" spans="1:16" x14ac:dyDescent="0.3">
      <c r="A320" s="26" t="str">
        <v>C0319</v>
      </c>
      <c r="B320" s="26">
        <f>_xlfn.DAYS(DATE(2024,12,31),_xlfn.MAXIFS(ecommerce_transactions!$D$2:$D$9999, ecommerce_transactions!$B$2:$B$9999, A320))</f>
        <v>20</v>
      </c>
      <c r="C320" s="26">
        <f>COUNTIF(ecommerce_transactions!B:B,main_data!A320)</f>
        <v>12</v>
      </c>
      <c r="D320" s="35">
        <f>SUMIF(ecommerce_transactions!B:B,main_data!A320,ecommerce_transactions!E:E)</f>
        <v>3339.67</v>
      </c>
      <c r="E320" s="28">
        <f t="shared" si="41"/>
        <v>4</v>
      </c>
      <c r="F320" s="28">
        <f t="shared" si="42"/>
        <v>5</v>
      </c>
      <c r="G320" s="26">
        <f t="shared" si="43"/>
        <v>5</v>
      </c>
      <c r="H320" s="18" t="str">
        <f t="shared" si="44"/>
        <v>455</v>
      </c>
      <c r="I320" s="26" t="str">
        <f t="shared" si="45"/>
        <v>Champions</v>
      </c>
      <c r="J320" s="17">
        <f t="shared" si="46"/>
        <v>278.30583333333334</v>
      </c>
      <c r="K320" s="36">
        <f>_xlfn.MAXIFS(ecommerce_transactions!D:D,ecommerce_transactions!B:B,main_data!A320)</f>
        <v>45637</v>
      </c>
      <c r="L320" s="36">
        <f>_xlfn.MINIFS(ecommerce_transactions!D:D,ecommerce_transactions!B:B,main_data!A320)</f>
        <v>44998</v>
      </c>
      <c r="M320" s="19">
        <f t="shared" si="47"/>
        <v>1.7494866529774127</v>
      </c>
      <c r="N320" s="19">
        <f t="shared" si="40"/>
        <v>5.3345504335919669</v>
      </c>
      <c r="O320" s="17">
        <f t="shared" si="48"/>
        <v>2597.3517480602463</v>
      </c>
      <c r="P320" s="17">
        <f t="shared" si="49"/>
        <v>779.20552441807388</v>
      </c>
    </row>
    <row r="321" spans="1:16" x14ac:dyDescent="0.3">
      <c r="A321" s="26" t="str">
        <v>C0320</v>
      </c>
      <c r="B321" s="26">
        <f>_xlfn.DAYS(DATE(2024,12,31),_xlfn.MAXIFS(ecommerce_transactions!$D$2:$D$9999, ecommerce_transactions!$B$2:$B$9999, A321))</f>
        <v>10</v>
      </c>
      <c r="C321" s="26">
        <f>COUNTIF(ecommerce_transactions!B:B,main_data!A321)</f>
        <v>11</v>
      </c>
      <c r="D321" s="35">
        <f>SUMIF(ecommerce_transactions!B:B,main_data!A321,ecommerce_transactions!E:E)</f>
        <v>2329.9399999999996</v>
      </c>
      <c r="E321" s="28">
        <f t="shared" si="41"/>
        <v>4</v>
      </c>
      <c r="F321" s="28">
        <f t="shared" si="42"/>
        <v>4</v>
      </c>
      <c r="G321" s="26">
        <f t="shared" si="43"/>
        <v>4</v>
      </c>
      <c r="H321" s="18" t="str">
        <f t="shared" si="44"/>
        <v>444</v>
      </c>
      <c r="I321" s="26" t="str">
        <f t="shared" si="45"/>
        <v>Champions</v>
      </c>
      <c r="J321" s="17">
        <f t="shared" si="46"/>
        <v>211.81272727272724</v>
      </c>
      <c r="K321" s="36">
        <f>_xlfn.MAXIFS(ecommerce_transactions!D:D,ecommerce_transactions!B:B,main_data!A321)</f>
        <v>45647</v>
      </c>
      <c r="L321" s="36">
        <f>_xlfn.MINIFS(ecommerce_transactions!D:D,ecommerce_transactions!B:B,main_data!A321)</f>
        <v>45153</v>
      </c>
      <c r="M321" s="19">
        <f t="shared" si="47"/>
        <v>1.352498288843258</v>
      </c>
      <c r="N321" s="19">
        <f t="shared" si="40"/>
        <v>5.9379272122667652</v>
      </c>
      <c r="O321" s="17">
        <f t="shared" si="48"/>
        <v>1701.0757214114165</v>
      </c>
      <c r="P321" s="17">
        <f t="shared" si="49"/>
        <v>510.32271642342494</v>
      </c>
    </row>
    <row r="322" spans="1:16" x14ac:dyDescent="0.3">
      <c r="A322" s="26" t="str">
        <v>C0321</v>
      </c>
      <c r="B322" s="26">
        <f>_xlfn.DAYS(DATE(2024,12,31),_xlfn.MAXIFS(ecommerce_transactions!$D$2:$D$9999, ecommerce_transactions!$B$2:$B$9999, A322))</f>
        <v>61</v>
      </c>
      <c r="C322" s="26">
        <f>COUNTIF(ecommerce_transactions!B:B,main_data!A322)</f>
        <v>8</v>
      </c>
      <c r="D322" s="35">
        <f>SUMIF(ecommerce_transactions!B:B,main_data!A322,ecommerce_transactions!E:E)</f>
        <v>2204.84</v>
      </c>
      <c r="E322" s="28">
        <f t="shared" si="41"/>
        <v>2</v>
      </c>
      <c r="F322" s="28">
        <f t="shared" si="42"/>
        <v>3</v>
      </c>
      <c r="G322" s="26">
        <f t="shared" si="43"/>
        <v>3</v>
      </c>
      <c r="H322" s="18" t="str">
        <f t="shared" si="44"/>
        <v>233</v>
      </c>
      <c r="I322" s="26" t="str">
        <f t="shared" si="45"/>
        <v>At Risk</v>
      </c>
      <c r="J322" s="17">
        <f t="shared" si="46"/>
        <v>275.60500000000002</v>
      </c>
      <c r="K322" s="36">
        <f>_xlfn.MAXIFS(ecommerce_transactions!D:D,ecommerce_transactions!B:B,main_data!A322)</f>
        <v>45596</v>
      </c>
      <c r="L322" s="36">
        <f>_xlfn.MINIFS(ecommerce_transactions!D:D,ecommerce_transactions!B:B,main_data!A322)</f>
        <v>45481</v>
      </c>
      <c r="M322" s="19">
        <f t="shared" si="47"/>
        <v>0.31485284052019163</v>
      </c>
      <c r="N322" s="19">
        <f t="shared" ref="N322:N385" si="50">C322/(M322+0.5)</f>
        <v>9.8177236455270904</v>
      </c>
      <c r="O322" s="17">
        <f t="shared" si="48"/>
        <v>851.93313733725336</v>
      </c>
      <c r="P322" s="17">
        <f t="shared" si="49"/>
        <v>255.57994120117598</v>
      </c>
    </row>
    <row r="323" spans="1:16" x14ac:dyDescent="0.3">
      <c r="A323" s="26" t="str">
        <v>C0322</v>
      </c>
      <c r="B323" s="26">
        <f>_xlfn.DAYS(DATE(2024,12,31),_xlfn.MAXIFS(ecommerce_transactions!$D$2:$D$9999, ecommerce_transactions!$B$2:$B$9999, A323))</f>
        <v>5</v>
      </c>
      <c r="C323" s="26">
        <f>COUNTIF(ecommerce_transactions!B:B,main_data!A323)</f>
        <v>11</v>
      </c>
      <c r="D323" s="35">
        <f>SUMIF(ecommerce_transactions!B:B,main_data!A323,ecommerce_transactions!E:E)</f>
        <v>3464.8599999999997</v>
      </c>
      <c r="E323" s="28">
        <f t="shared" ref="E323:E386" si="51">IF(B323&lt;=PERCENTILE($B$2:$B$501,0.2),5,IF(B323&lt;=PERCENTILE($B$2:$B$501,0.4),4,IF(B323&lt;=PERCENTILE($B$2:$B$501,0.6),3,IF(B323&lt;=PERCENTILE($B$2:$B$501,0.8),2,1))))</f>
        <v>5</v>
      </c>
      <c r="F323" s="28">
        <f t="shared" ref="F323:F386" si="52">IF(C323&gt;=PERCENTILE($C$2:$C$501, 0.8), 5,IF(C323&gt;=PERCENTILE($C$2:$C$501, 0.6), 4, IF(C323&gt;=PERCENTILE($C$2:$C$501, 0.4), 3, IF(C323&gt;=PERCENTILE($C$2:$C$501, 0.2), 2, 1))))</f>
        <v>4</v>
      </c>
      <c r="G323" s="26">
        <f t="shared" ref="G323:G386" si="53">IF(D323&gt;=PERCENTILE($D$2:$D$501,0.8),5,IF(D323&gt;=PERCENTILE($D$2:$D$501,0.6),4,IF(D323&gt;=PERCENTILE($D$2:$D$501,0.4),3,IF(D323&gt;=PERCENTILE($D$2:$D$501,0.2),2,1))))</f>
        <v>5</v>
      </c>
      <c r="H323" s="18" t="str">
        <f t="shared" ref="H323:H386" si="54">CONCATENATE(E323,F323,G323)</f>
        <v>545</v>
      </c>
      <c r="I323" s="26" t="str">
        <f t="shared" ref="I323:I386" si="55">IF(AND(E323&gt;=4, F323&gt;=4, G323&gt;=4), "Champions",
    IF(AND(E323&gt;=3, F323&gt;=3, G323&gt;=3), "Loyal Customers",
    IF(AND(E323&gt;=4, F323&lt;=2), "New Customers",
    IF(AND(E323&gt;=4, F323&gt;=2, G323&gt;=2), "Potential Loyalists",
    IF(AND(G323&gt;=4, E323&lt;=2, F323&lt;=2), "Cannot Lose Them",
    IF(AND(F323&gt;=3, E323&lt;=2), "At Risk",
    IF(AND(E323&lt;=2, F323&lt;=2), "About to Sleep",
    IF(AND(E323&lt;=2, F323&lt;=3), "Hibernating", "Lost"))))))))</f>
        <v>Champions</v>
      </c>
      <c r="J323" s="17">
        <f t="shared" ref="J323:J386" si="56">D323/C323</f>
        <v>314.98727272727268</v>
      </c>
      <c r="K323" s="36">
        <f>_xlfn.MAXIFS(ecommerce_transactions!D:D,ecommerce_transactions!B:B,main_data!A323)</f>
        <v>45652</v>
      </c>
      <c r="L323" s="36">
        <f>_xlfn.MINIFS(ecommerce_transactions!D:D,ecommerce_transactions!B:B,main_data!A323)</f>
        <v>45422</v>
      </c>
      <c r="M323" s="19">
        <f t="shared" ref="M323:M386" si="57">(K323-L323)/365.25</f>
        <v>0.62970568104038327</v>
      </c>
      <c r="N323" s="19">
        <f t="shared" si="50"/>
        <v>9.737049378976069</v>
      </c>
      <c r="O323" s="17">
        <f t="shared" ref="O323:O386" si="58">J323*N323*M323</f>
        <v>1931.3366858527718</v>
      </c>
      <c r="P323" s="17">
        <f t="shared" ref="P323:P386" si="59">O323*0.3</f>
        <v>579.40100575583153</v>
      </c>
    </row>
    <row r="324" spans="1:16" x14ac:dyDescent="0.3">
      <c r="A324" s="26" t="str">
        <v>C0323</v>
      </c>
      <c r="B324" s="26">
        <f>_xlfn.DAYS(DATE(2024,12,31),_xlfn.MAXIFS(ecommerce_transactions!$D$2:$D$9999, ecommerce_transactions!$B$2:$B$9999, A324))</f>
        <v>10</v>
      </c>
      <c r="C324" s="26">
        <f>COUNTIF(ecommerce_transactions!B:B,main_data!A324)</f>
        <v>14</v>
      </c>
      <c r="D324" s="35">
        <f>SUMIF(ecommerce_transactions!B:B,main_data!A324,ecommerce_transactions!E:E)</f>
        <v>3613.8099999999995</v>
      </c>
      <c r="E324" s="28">
        <f t="shared" si="51"/>
        <v>4</v>
      </c>
      <c r="F324" s="28">
        <f t="shared" si="52"/>
        <v>5</v>
      </c>
      <c r="G324" s="26">
        <f t="shared" si="53"/>
        <v>5</v>
      </c>
      <c r="H324" s="18" t="str">
        <f t="shared" si="54"/>
        <v>455</v>
      </c>
      <c r="I324" s="26" t="str">
        <f t="shared" si="55"/>
        <v>Champions</v>
      </c>
      <c r="J324" s="17">
        <f t="shared" si="56"/>
        <v>258.12928571428569</v>
      </c>
      <c r="K324" s="36">
        <f>_xlfn.MAXIFS(ecommerce_transactions!D:D,ecommerce_transactions!B:B,main_data!A324)</f>
        <v>45647</v>
      </c>
      <c r="L324" s="36">
        <f>_xlfn.MINIFS(ecommerce_transactions!D:D,ecommerce_transactions!B:B,main_data!A324)</f>
        <v>45537</v>
      </c>
      <c r="M324" s="19">
        <f t="shared" si="57"/>
        <v>0.30116358658453113</v>
      </c>
      <c r="N324" s="19">
        <f t="shared" si="50"/>
        <v>17.474583511319949</v>
      </c>
      <c r="O324" s="17">
        <f t="shared" si="58"/>
        <v>1358.4591200341731</v>
      </c>
      <c r="P324" s="17">
        <f t="shared" si="59"/>
        <v>407.53773601025193</v>
      </c>
    </row>
    <row r="325" spans="1:16" x14ac:dyDescent="0.3">
      <c r="A325" s="26" t="str">
        <v>C0324</v>
      </c>
      <c r="B325" s="26">
        <f>_xlfn.DAYS(DATE(2024,12,31),_xlfn.MAXIFS(ecommerce_transactions!$D$2:$D$9999, ecommerce_transactions!$B$2:$B$9999, A325))</f>
        <v>9</v>
      </c>
      <c r="C325" s="26">
        <f>COUNTIF(ecommerce_transactions!B:B,main_data!A325)</f>
        <v>10</v>
      </c>
      <c r="D325" s="35">
        <f>SUMIF(ecommerce_transactions!B:B,main_data!A325,ecommerce_transactions!E:E)</f>
        <v>2841.52</v>
      </c>
      <c r="E325" s="28">
        <f t="shared" si="51"/>
        <v>4</v>
      </c>
      <c r="F325" s="28">
        <f t="shared" si="52"/>
        <v>4</v>
      </c>
      <c r="G325" s="26">
        <f t="shared" si="53"/>
        <v>4</v>
      </c>
      <c r="H325" s="18" t="str">
        <f t="shared" si="54"/>
        <v>444</v>
      </c>
      <c r="I325" s="26" t="str">
        <f t="shared" si="55"/>
        <v>Champions</v>
      </c>
      <c r="J325" s="17">
        <f t="shared" si="56"/>
        <v>284.15199999999999</v>
      </c>
      <c r="K325" s="36">
        <f>_xlfn.MAXIFS(ecommerce_transactions!D:D,ecommerce_transactions!B:B,main_data!A325)</f>
        <v>45648</v>
      </c>
      <c r="L325" s="36">
        <f>_xlfn.MINIFS(ecommerce_transactions!D:D,ecommerce_transactions!B:B,main_data!A325)</f>
        <v>45212</v>
      </c>
      <c r="M325" s="19">
        <f t="shared" si="57"/>
        <v>1.1937029431895962</v>
      </c>
      <c r="N325" s="19">
        <f t="shared" si="50"/>
        <v>5.904223075368761</v>
      </c>
      <c r="O325" s="17">
        <f t="shared" si="58"/>
        <v>2002.6716023439078</v>
      </c>
      <c r="P325" s="17">
        <f t="shared" si="59"/>
        <v>600.80148070317227</v>
      </c>
    </row>
    <row r="326" spans="1:16" x14ac:dyDescent="0.3">
      <c r="A326" s="26" t="str">
        <v>C0325</v>
      </c>
      <c r="B326" s="26">
        <f>_xlfn.DAYS(DATE(2024,12,31),_xlfn.MAXIFS(ecommerce_transactions!$D$2:$D$9999, ecommerce_transactions!$B$2:$B$9999, A326))</f>
        <v>232</v>
      </c>
      <c r="C326" s="26">
        <f>COUNTIF(ecommerce_transactions!B:B,main_data!A326)</f>
        <v>5</v>
      </c>
      <c r="D326" s="35">
        <f>SUMIF(ecommerce_transactions!B:B,main_data!A326,ecommerce_transactions!E:E)</f>
        <v>1434.3</v>
      </c>
      <c r="E326" s="28">
        <f t="shared" si="51"/>
        <v>1</v>
      </c>
      <c r="F326" s="28">
        <f t="shared" si="52"/>
        <v>2</v>
      </c>
      <c r="G326" s="26">
        <f t="shared" si="53"/>
        <v>2</v>
      </c>
      <c r="H326" s="18" t="str">
        <f t="shared" si="54"/>
        <v>122</v>
      </c>
      <c r="I326" s="26" t="str">
        <f t="shared" si="55"/>
        <v>About to Sleep</v>
      </c>
      <c r="J326" s="17">
        <f t="shared" si="56"/>
        <v>286.86</v>
      </c>
      <c r="K326" s="36">
        <f>_xlfn.MAXIFS(ecommerce_transactions!D:D,ecommerce_transactions!B:B,main_data!A326)</f>
        <v>45425</v>
      </c>
      <c r="L326" s="36">
        <f>_xlfn.MINIFS(ecommerce_transactions!D:D,ecommerce_transactions!B:B,main_data!A326)</f>
        <v>45084</v>
      </c>
      <c r="M326" s="19">
        <f t="shared" si="57"/>
        <v>0.93360711841204658</v>
      </c>
      <c r="N326" s="19">
        <f t="shared" si="50"/>
        <v>3.4877058963953207</v>
      </c>
      <c r="O326" s="17">
        <f t="shared" si="58"/>
        <v>934.05834328001913</v>
      </c>
      <c r="P326" s="17">
        <f t="shared" si="59"/>
        <v>280.21750298400571</v>
      </c>
    </row>
    <row r="327" spans="1:16" x14ac:dyDescent="0.3">
      <c r="A327" s="26" t="str">
        <v>C0326</v>
      </c>
      <c r="B327" s="26">
        <f>_xlfn.DAYS(DATE(2024,12,31),_xlfn.MAXIFS(ecommerce_transactions!$D$2:$D$9999, ecommerce_transactions!$B$2:$B$9999, A327))</f>
        <v>25</v>
      </c>
      <c r="C327" s="26">
        <f>COUNTIF(ecommerce_transactions!B:B,main_data!A327)</f>
        <v>3</v>
      </c>
      <c r="D327" s="35">
        <f>SUMIF(ecommerce_transactions!B:B,main_data!A327,ecommerce_transactions!E:E)</f>
        <v>608.76</v>
      </c>
      <c r="E327" s="28">
        <f t="shared" si="51"/>
        <v>3</v>
      </c>
      <c r="F327" s="28">
        <f t="shared" si="52"/>
        <v>1</v>
      </c>
      <c r="G327" s="26">
        <f t="shared" si="53"/>
        <v>1</v>
      </c>
      <c r="H327" s="18" t="str">
        <f t="shared" si="54"/>
        <v>311</v>
      </c>
      <c r="I327" s="26" t="str">
        <f t="shared" si="55"/>
        <v>Lost</v>
      </c>
      <c r="J327" s="17">
        <f t="shared" si="56"/>
        <v>202.92</v>
      </c>
      <c r="K327" s="36">
        <f>_xlfn.MAXIFS(ecommerce_transactions!D:D,ecommerce_transactions!B:B,main_data!A327)</f>
        <v>45632</v>
      </c>
      <c r="L327" s="36">
        <f>_xlfn.MINIFS(ecommerce_transactions!D:D,ecommerce_transactions!B:B,main_data!A327)</f>
        <v>45463</v>
      </c>
      <c r="M327" s="19">
        <f t="shared" si="57"/>
        <v>0.46269678302532513</v>
      </c>
      <c r="N327" s="19">
        <f t="shared" si="50"/>
        <v>3.1162460007109849</v>
      </c>
      <c r="O327" s="17">
        <f t="shared" si="58"/>
        <v>292.58568076786349</v>
      </c>
      <c r="P327" s="17">
        <f t="shared" si="59"/>
        <v>87.77570423035904</v>
      </c>
    </row>
    <row r="328" spans="1:16" x14ac:dyDescent="0.3">
      <c r="A328" s="26" t="str">
        <v>C0327</v>
      </c>
      <c r="B328" s="26">
        <f>_xlfn.DAYS(DATE(2024,12,31),_xlfn.MAXIFS(ecommerce_transactions!$D$2:$D$9999, ecommerce_transactions!$B$2:$B$9999, A328))</f>
        <v>14</v>
      </c>
      <c r="C328" s="26">
        <f>COUNTIF(ecommerce_transactions!B:B,main_data!A328)</f>
        <v>10</v>
      </c>
      <c r="D328" s="35">
        <f>SUMIF(ecommerce_transactions!B:B,main_data!A328,ecommerce_transactions!E:E)</f>
        <v>2707.3599999999997</v>
      </c>
      <c r="E328" s="28">
        <f t="shared" si="51"/>
        <v>4</v>
      </c>
      <c r="F328" s="28">
        <f t="shared" si="52"/>
        <v>4</v>
      </c>
      <c r="G328" s="26">
        <f t="shared" si="53"/>
        <v>4</v>
      </c>
      <c r="H328" s="18" t="str">
        <f t="shared" si="54"/>
        <v>444</v>
      </c>
      <c r="I328" s="26" t="str">
        <f t="shared" si="55"/>
        <v>Champions</v>
      </c>
      <c r="J328" s="17">
        <f t="shared" si="56"/>
        <v>270.73599999999999</v>
      </c>
      <c r="K328" s="36">
        <f>_xlfn.MAXIFS(ecommerce_transactions!D:D,ecommerce_transactions!B:B,main_data!A328)</f>
        <v>45643</v>
      </c>
      <c r="L328" s="36">
        <f>_xlfn.MINIFS(ecommerce_transactions!D:D,ecommerce_transactions!B:B,main_data!A328)</f>
        <v>45482</v>
      </c>
      <c r="M328" s="19">
        <f t="shared" si="57"/>
        <v>0.44079397672826831</v>
      </c>
      <c r="N328" s="19">
        <f t="shared" si="50"/>
        <v>10.629319752637324</v>
      </c>
      <c r="O328" s="17">
        <f t="shared" si="58"/>
        <v>1268.4902437249909</v>
      </c>
      <c r="P328" s="17">
        <f t="shared" si="59"/>
        <v>380.54707311749729</v>
      </c>
    </row>
    <row r="329" spans="1:16" x14ac:dyDescent="0.3">
      <c r="A329" s="26" t="str">
        <v>C0328</v>
      </c>
      <c r="B329" s="26">
        <f>_xlfn.DAYS(DATE(2024,12,31),_xlfn.MAXIFS(ecommerce_transactions!$D$2:$D$9999, ecommerce_transactions!$B$2:$B$9999, A329))</f>
        <v>12</v>
      </c>
      <c r="C329" s="26">
        <f>COUNTIF(ecommerce_transactions!B:B,main_data!A329)</f>
        <v>4</v>
      </c>
      <c r="D329" s="35">
        <f>SUMIF(ecommerce_transactions!B:B,main_data!A329,ecommerce_transactions!E:E)</f>
        <v>462.81</v>
      </c>
      <c r="E329" s="28">
        <f t="shared" si="51"/>
        <v>4</v>
      </c>
      <c r="F329" s="28">
        <f t="shared" si="52"/>
        <v>2</v>
      </c>
      <c r="G329" s="26">
        <f t="shared" si="53"/>
        <v>1</v>
      </c>
      <c r="H329" s="18" t="str">
        <f t="shared" si="54"/>
        <v>421</v>
      </c>
      <c r="I329" s="26" t="str">
        <f t="shared" si="55"/>
        <v>New Customers</v>
      </c>
      <c r="J329" s="17">
        <f t="shared" si="56"/>
        <v>115.7025</v>
      </c>
      <c r="K329" s="36">
        <f>_xlfn.MAXIFS(ecommerce_transactions!D:D,ecommerce_transactions!B:B,main_data!A329)</f>
        <v>45645</v>
      </c>
      <c r="L329" s="36">
        <f>_xlfn.MINIFS(ecommerce_transactions!D:D,ecommerce_transactions!B:B,main_data!A329)</f>
        <v>45514</v>
      </c>
      <c r="M329" s="19">
        <f t="shared" si="57"/>
        <v>0.35865845311430528</v>
      </c>
      <c r="N329" s="19">
        <f t="shared" si="50"/>
        <v>4.658429653248306</v>
      </c>
      <c r="O329" s="17">
        <f t="shared" si="58"/>
        <v>193.31402152251894</v>
      </c>
      <c r="P329" s="17">
        <f t="shared" si="59"/>
        <v>57.994206456755677</v>
      </c>
    </row>
    <row r="330" spans="1:16" x14ac:dyDescent="0.3">
      <c r="A330" s="26" t="str">
        <v>C0329</v>
      </c>
      <c r="B330" s="26">
        <f>_xlfn.DAYS(DATE(2024,12,31),_xlfn.MAXIFS(ecommerce_transactions!$D$2:$D$9999, ecommerce_transactions!$B$2:$B$9999, A330))</f>
        <v>7</v>
      </c>
      <c r="C330" s="26">
        <f>COUNTIF(ecommerce_transactions!B:B,main_data!A330)</f>
        <v>11</v>
      </c>
      <c r="D330" s="35">
        <f>SUMIF(ecommerce_transactions!B:B,main_data!A330,ecommerce_transactions!E:E)</f>
        <v>2626.74</v>
      </c>
      <c r="E330" s="28">
        <f t="shared" si="51"/>
        <v>5</v>
      </c>
      <c r="F330" s="28">
        <f t="shared" si="52"/>
        <v>4</v>
      </c>
      <c r="G330" s="26">
        <f t="shared" si="53"/>
        <v>4</v>
      </c>
      <c r="H330" s="18" t="str">
        <f t="shared" si="54"/>
        <v>544</v>
      </c>
      <c r="I330" s="26" t="str">
        <f t="shared" si="55"/>
        <v>Champions</v>
      </c>
      <c r="J330" s="17">
        <f t="shared" si="56"/>
        <v>238.79454545454544</v>
      </c>
      <c r="K330" s="36">
        <f>_xlfn.MAXIFS(ecommerce_transactions!D:D,ecommerce_transactions!B:B,main_data!A330)</f>
        <v>45650</v>
      </c>
      <c r="L330" s="36">
        <f>_xlfn.MINIFS(ecommerce_transactions!D:D,ecommerce_transactions!B:B,main_data!A330)</f>
        <v>45045</v>
      </c>
      <c r="M330" s="19">
        <f t="shared" si="57"/>
        <v>1.6563997262149213</v>
      </c>
      <c r="N330" s="19">
        <f t="shared" si="50"/>
        <v>5.1010950642755111</v>
      </c>
      <c r="O330" s="17">
        <f t="shared" si="58"/>
        <v>2017.6831614029516</v>
      </c>
      <c r="P330" s="17">
        <f t="shared" si="59"/>
        <v>605.30494842088547</v>
      </c>
    </row>
    <row r="331" spans="1:16" x14ac:dyDescent="0.3">
      <c r="A331" s="26" t="str">
        <v>C0330</v>
      </c>
      <c r="B331" s="26">
        <f>_xlfn.DAYS(DATE(2024,12,31),_xlfn.MAXIFS(ecommerce_transactions!$D$2:$D$9999, ecommerce_transactions!$B$2:$B$9999, A331))</f>
        <v>33</v>
      </c>
      <c r="C331" s="26">
        <f>COUNTIF(ecommerce_transactions!B:B,main_data!A331)</f>
        <v>4</v>
      </c>
      <c r="D331" s="35">
        <f>SUMIF(ecommerce_transactions!B:B,main_data!A331,ecommerce_transactions!E:E)</f>
        <v>1280.75</v>
      </c>
      <c r="E331" s="28">
        <f t="shared" si="51"/>
        <v>3</v>
      </c>
      <c r="F331" s="28">
        <f t="shared" si="52"/>
        <v>2</v>
      </c>
      <c r="G331" s="26">
        <f t="shared" si="53"/>
        <v>2</v>
      </c>
      <c r="H331" s="18" t="str">
        <f t="shared" si="54"/>
        <v>322</v>
      </c>
      <c r="I331" s="26" t="str">
        <f t="shared" si="55"/>
        <v>Lost</v>
      </c>
      <c r="J331" s="17">
        <f t="shared" si="56"/>
        <v>320.1875</v>
      </c>
      <c r="K331" s="36">
        <f>_xlfn.MAXIFS(ecommerce_transactions!D:D,ecommerce_transactions!B:B,main_data!A331)</f>
        <v>45624</v>
      </c>
      <c r="L331" s="36">
        <f>_xlfn.MINIFS(ecommerce_transactions!D:D,ecommerce_transactions!B:B,main_data!A331)</f>
        <v>45549</v>
      </c>
      <c r="M331" s="19">
        <f t="shared" si="57"/>
        <v>0.20533880903490759</v>
      </c>
      <c r="N331" s="19">
        <f t="shared" si="50"/>
        <v>5.6710334788937411</v>
      </c>
      <c r="O331" s="17">
        <f t="shared" si="58"/>
        <v>372.85298398835516</v>
      </c>
      <c r="P331" s="17">
        <f t="shared" si="59"/>
        <v>111.85589519650655</v>
      </c>
    </row>
    <row r="332" spans="1:16" x14ac:dyDescent="0.3">
      <c r="A332" s="26" t="str">
        <v>C0331</v>
      </c>
      <c r="B332" s="26">
        <f>_xlfn.DAYS(DATE(2024,12,31),_xlfn.MAXIFS(ecommerce_transactions!$D$2:$D$9999, ecommerce_transactions!$B$2:$B$9999, A332))</f>
        <v>51</v>
      </c>
      <c r="C332" s="26">
        <f>COUNTIF(ecommerce_transactions!B:B,main_data!A332)</f>
        <v>13</v>
      </c>
      <c r="D332" s="35">
        <f>SUMIF(ecommerce_transactions!B:B,main_data!A332,ecommerce_transactions!E:E)</f>
        <v>3176.7499999999995</v>
      </c>
      <c r="E332" s="28">
        <f t="shared" si="51"/>
        <v>2</v>
      </c>
      <c r="F332" s="28">
        <f t="shared" si="52"/>
        <v>5</v>
      </c>
      <c r="G332" s="26">
        <f t="shared" si="53"/>
        <v>5</v>
      </c>
      <c r="H332" s="18" t="str">
        <f t="shared" si="54"/>
        <v>255</v>
      </c>
      <c r="I332" s="26" t="str">
        <f t="shared" si="55"/>
        <v>At Risk</v>
      </c>
      <c r="J332" s="17">
        <f t="shared" si="56"/>
        <v>244.36538461538458</v>
      </c>
      <c r="K332" s="36">
        <f>_xlfn.MAXIFS(ecommerce_transactions!D:D,ecommerce_transactions!B:B,main_data!A332)</f>
        <v>45606</v>
      </c>
      <c r="L332" s="36">
        <f>_xlfn.MINIFS(ecommerce_transactions!D:D,ecommerce_transactions!B:B,main_data!A332)</f>
        <v>45176</v>
      </c>
      <c r="M332" s="19">
        <f t="shared" si="57"/>
        <v>1.1772758384668036</v>
      </c>
      <c r="N332" s="19">
        <f t="shared" si="50"/>
        <v>7.750663129973475</v>
      </c>
      <c r="O332" s="17">
        <f t="shared" si="58"/>
        <v>2229.7531116098753</v>
      </c>
      <c r="P332" s="17">
        <f t="shared" si="59"/>
        <v>668.92593348296259</v>
      </c>
    </row>
    <row r="333" spans="1:16" x14ac:dyDescent="0.3">
      <c r="A333" s="26" t="str">
        <v>C0332</v>
      </c>
      <c r="B333" s="26">
        <f>_xlfn.DAYS(DATE(2024,12,31),_xlfn.MAXIFS(ecommerce_transactions!$D$2:$D$9999, ecommerce_transactions!$B$2:$B$9999, A333))</f>
        <v>10</v>
      </c>
      <c r="C333" s="26">
        <f>COUNTIF(ecommerce_transactions!B:B,main_data!A333)</f>
        <v>13</v>
      </c>
      <c r="D333" s="35">
        <f>SUMIF(ecommerce_transactions!B:B,main_data!A333,ecommerce_transactions!E:E)</f>
        <v>3115.47</v>
      </c>
      <c r="E333" s="28">
        <f t="shared" si="51"/>
        <v>4</v>
      </c>
      <c r="F333" s="28">
        <f t="shared" si="52"/>
        <v>5</v>
      </c>
      <c r="G333" s="26">
        <f t="shared" si="53"/>
        <v>4</v>
      </c>
      <c r="H333" s="18" t="str">
        <f t="shared" si="54"/>
        <v>454</v>
      </c>
      <c r="I333" s="26" t="str">
        <f t="shared" si="55"/>
        <v>Champions</v>
      </c>
      <c r="J333" s="17">
        <f t="shared" si="56"/>
        <v>239.65153846153845</v>
      </c>
      <c r="K333" s="36">
        <f>_xlfn.MAXIFS(ecommerce_transactions!D:D,ecommerce_transactions!B:B,main_data!A333)</f>
        <v>45647</v>
      </c>
      <c r="L333" s="36">
        <f>_xlfn.MINIFS(ecommerce_transactions!D:D,ecommerce_transactions!B:B,main_data!A333)</f>
        <v>45218</v>
      </c>
      <c r="M333" s="19">
        <f t="shared" si="57"/>
        <v>1.1745379876796715</v>
      </c>
      <c r="N333" s="19">
        <f t="shared" si="50"/>
        <v>7.7633353770692821</v>
      </c>
      <c r="O333" s="17">
        <f t="shared" si="58"/>
        <v>2185.2223666462291</v>
      </c>
      <c r="P333" s="17">
        <f t="shared" si="59"/>
        <v>655.5667099938687</v>
      </c>
    </row>
    <row r="334" spans="1:16" x14ac:dyDescent="0.3">
      <c r="A334" s="26" t="str">
        <v>C0333</v>
      </c>
      <c r="B334" s="26">
        <f>_xlfn.DAYS(DATE(2024,12,31),_xlfn.MAXIFS(ecommerce_transactions!$D$2:$D$9999, ecommerce_transactions!$B$2:$B$9999, A334))</f>
        <v>3</v>
      </c>
      <c r="C334" s="26">
        <f>COUNTIF(ecommerce_transactions!B:B,main_data!A334)</f>
        <v>11</v>
      </c>
      <c r="D334" s="35">
        <f>SUMIF(ecommerce_transactions!B:B,main_data!A334,ecommerce_transactions!E:E)</f>
        <v>2596.2200000000003</v>
      </c>
      <c r="E334" s="28">
        <f t="shared" si="51"/>
        <v>5</v>
      </c>
      <c r="F334" s="28">
        <f t="shared" si="52"/>
        <v>4</v>
      </c>
      <c r="G334" s="26">
        <f t="shared" si="53"/>
        <v>4</v>
      </c>
      <c r="H334" s="18" t="str">
        <f t="shared" si="54"/>
        <v>544</v>
      </c>
      <c r="I334" s="26" t="str">
        <f t="shared" si="55"/>
        <v>Champions</v>
      </c>
      <c r="J334" s="17">
        <f t="shared" si="56"/>
        <v>236.02</v>
      </c>
      <c r="K334" s="36">
        <f>_xlfn.MAXIFS(ecommerce_transactions!D:D,ecommerce_transactions!B:B,main_data!A334)</f>
        <v>45654</v>
      </c>
      <c r="L334" s="36">
        <f>_xlfn.MINIFS(ecommerce_transactions!D:D,ecommerce_transactions!B:B,main_data!A334)</f>
        <v>45507</v>
      </c>
      <c r="M334" s="19">
        <f t="shared" si="57"/>
        <v>0.40246406570841892</v>
      </c>
      <c r="N334" s="19">
        <f t="shared" si="50"/>
        <v>12.188850967007964</v>
      </c>
      <c r="O334" s="17">
        <f t="shared" si="58"/>
        <v>1157.8136973833905</v>
      </c>
      <c r="P334" s="17">
        <f t="shared" si="59"/>
        <v>347.34410921501711</v>
      </c>
    </row>
    <row r="335" spans="1:16" x14ac:dyDescent="0.3">
      <c r="A335" s="26" t="str">
        <v>C0334</v>
      </c>
      <c r="B335" s="26">
        <f>_xlfn.DAYS(DATE(2024,12,31),_xlfn.MAXIFS(ecommerce_transactions!$D$2:$D$9999, ecommerce_transactions!$B$2:$B$9999, A335))</f>
        <v>77</v>
      </c>
      <c r="C335" s="26">
        <f>COUNTIF(ecommerce_transactions!B:B,main_data!A335)</f>
        <v>9</v>
      </c>
      <c r="D335" s="35">
        <f>SUMIF(ecommerce_transactions!B:B,main_data!A335,ecommerce_transactions!E:E)</f>
        <v>2828.34</v>
      </c>
      <c r="E335" s="28">
        <f t="shared" si="51"/>
        <v>2</v>
      </c>
      <c r="F335" s="28">
        <f t="shared" si="52"/>
        <v>4</v>
      </c>
      <c r="G335" s="26">
        <f t="shared" si="53"/>
        <v>4</v>
      </c>
      <c r="H335" s="18" t="str">
        <f t="shared" si="54"/>
        <v>244</v>
      </c>
      <c r="I335" s="26" t="str">
        <f t="shared" si="55"/>
        <v>At Risk</v>
      </c>
      <c r="J335" s="17">
        <f t="shared" si="56"/>
        <v>314.26</v>
      </c>
      <c r="K335" s="36">
        <f>_xlfn.MAXIFS(ecommerce_transactions!D:D,ecommerce_transactions!B:B,main_data!A335)</f>
        <v>45580</v>
      </c>
      <c r="L335" s="36">
        <f>_xlfn.MINIFS(ecommerce_transactions!D:D,ecommerce_transactions!B:B,main_data!A335)</f>
        <v>45165</v>
      </c>
      <c r="M335" s="19">
        <f t="shared" si="57"/>
        <v>1.1362080766598219</v>
      </c>
      <c r="N335" s="19">
        <f t="shared" si="50"/>
        <v>5.5005229031583358</v>
      </c>
      <c r="O335" s="17">
        <f t="shared" si="58"/>
        <v>1964.0428362267307</v>
      </c>
      <c r="P335" s="17">
        <f t="shared" si="59"/>
        <v>589.21285086801925</v>
      </c>
    </row>
    <row r="336" spans="1:16" x14ac:dyDescent="0.3">
      <c r="A336" s="26" t="str">
        <v>C0335</v>
      </c>
      <c r="B336" s="26">
        <f>_xlfn.DAYS(DATE(2024,12,31),_xlfn.MAXIFS(ecommerce_transactions!$D$2:$D$9999, ecommerce_transactions!$B$2:$B$9999, A336))</f>
        <v>438</v>
      </c>
      <c r="C336" s="26">
        <f>COUNTIF(ecommerce_transactions!B:B,main_data!A336)</f>
        <v>2</v>
      </c>
      <c r="D336" s="35">
        <f>SUMIF(ecommerce_transactions!B:B,main_data!A336,ecommerce_transactions!E:E)</f>
        <v>480.90000000000003</v>
      </c>
      <c r="E336" s="28">
        <f t="shared" si="51"/>
        <v>1</v>
      </c>
      <c r="F336" s="28">
        <f t="shared" si="52"/>
        <v>1</v>
      </c>
      <c r="G336" s="26">
        <f t="shared" si="53"/>
        <v>1</v>
      </c>
      <c r="H336" s="18" t="str">
        <f t="shared" si="54"/>
        <v>111</v>
      </c>
      <c r="I336" s="26" t="str">
        <f t="shared" si="55"/>
        <v>About to Sleep</v>
      </c>
      <c r="J336" s="17">
        <f t="shared" si="56"/>
        <v>240.45000000000002</v>
      </c>
      <c r="K336" s="36">
        <f>_xlfn.MAXIFS(ecommerce_transactions!D:D,ecommerce_transactions!B:B,main_data!A336)</f>
        <v>45219</v>
      </c>
      <c r="L336" s="36">
        <f>_xlfn.MINIFS(ecommerce_transactions!D:D,ecommerce_transactions!B:B,main_data!A336)</f>
        <v>45117</v>
      </c>
      <c r="M336" s="19">
        <f t="shared" si="57"/>
        <v>0.27926078028747431</v>
      </c>
      <c r="N336" s="19">
        <f t="shared" si="50"/>
        <v>2.5665349143610015</v>
      </c>
      <c r="O336" s="17">
        <f t="shared" si="58"/>
        <v>172.33833992094861</v>
      </c>
      <c r="P336" s="17">
        <f t="shared" si="59"/>
        <v>51.701501976284582</v>
      </c>
    </row>
    <row r="337" spans="1:16" x14ac:dyDescent="0.3">
      <c r="A337" s="26" t="str">
        <v>C0336</v>
      </c>
      <c r="B337" s="26">
        <f>_xlfn.DAYS(DATE(2024,12,31),_xlfn.MAXIFS(ecommerce_transactions!$D$2:$D$9999, ecommerce_transactions!$B$2:$B$9999, A337))</f>
        <v>45</v>
      </c>
      <c r="C337" s="26">
        <f>COUNTIF(ecommerce_transactions!B:B,main_data!A337)</f>
        <v>1</v>
      </c>
      <c r="D337" s="35">
        <f>SUMIF(ecommerce_transactions!B:B,main_data!A337,ecommerce_transactions!E:E)</f>
        <v>142.97999999999999</v>
      </c>
      <c r="E337" s="28">
        <f t="shared" si="51"/>
        <v>2</v>
      </c>
      <c r="F337" s="28">
        <f t="shared" si="52"/>
        <v>1</v>
      </c>
      <c r="G337" s="26">
        <f t="shared" si="53"/>
        <v>1</v>
      </c>
      <c r="H337" s="18" t="str">
        <f t="shared" si="54"/>
        <v>211</v>
      </c>
      <c r="I337" s="26" t="str">
        <f t="shared" si="55"/>
        <v>About to Sleep</v>
      </c>
      <c r="J337" s="17">
        <f t="shared" si="56"/>
        <v>142.97999999999999</v>
      </c>
      <c r="K337" s="36">
        <f>_xlfn.MAXIFS(ecommerce_transactions!D:D,ecommerce_transactions!B:B,main_data!A337)</f>
        <v>45612</v>
      </c>
      <c r="L337" s="36">
        <f>_xlfn.MINIFS(ecommerce_transactions!D:D,ecommerce_transactions!B:B,main_data!A337)</f>
        <v>45612</v>
      </c>
      <c r="M337" s="19">
        <f t="shared" si="57"/>
        <v>0</v>
      </c>
      <c r="N337" s="19">
        <f t="shared" si="50"/>
        <v>2</v>
      </c>
      <c r="O337" s="17">
        <f t="shared" si="58"/>
        <v>0</v>
      </c>
      <c r="P337" s="17">
        <f t="shared" si="59"/>
        <v>0</v>
      </c>
    </row>
    <row r="338" spans="1:16" x14ac:dyDescent="0.3">
      <c r="A338" s="26" t="str">
        <v>C0337</v>
      </c>
      <c r="B338" s="26">
        <f>_xlfn.DAYS(DATE(2024,12,31),_xlfn.MAXIFS(ecommerce_transactions!$D$2:$D$9999, ecommerce_transactions!$B$2:$B$9999, A338))</f>
        <v>16</v>
      </c>
      <c r="C338" s="26">
        <f>COUNTIF(ecommerce_transactions!B:B,main_data!A338)</f>
        <v>12</v>
      </c>
      <c r="D338" s="35">
        <f>SUMIF(ecommerce_transactions!B:B,main_data!A338,ecommerce_transactions!E:E)</f>
        <v>3242.4700000000003</v>
      </c>
      <c r="E338" s="28">
        <f t="shared" si="51"/>
        <v>4</v>
      </c>
      <c r="F338" s="28">
        <f t="shared" si="52"/>
        <v>5</v>
      </c>
      <c r="G338" s="26">
        <f t="shared" si="53"/>
        <v>5</v>
      </c>
      <c r="H338" s="18" t="str">
        <f t="shared" si="54"/>
        <v>455</v>
      </c>
      <c r="I338" s="26" t="str">
        <f t="shared" si="55"/>
        <v>Champions</v>
      </c>
      <c r="J338" s="17">
        <f t="shared" si="56"/>
        <v>270.20583333333337</v>
      </c>
      <c r="K338" s="36">
        <f>_xlfn.MAXIFS(ecommerce_transactions!D:D,ecommerce_transactions!B:B,main_data!A338)</f>
        <v>45641</v>
      </c>
      <c r="L338" s="36">
        <f>_xlfn.MINIFS(ecommerce_transactions!D:D,ecommerce_transactions!B:B,main_data!A338)</f>
        <v>45126</v>
      </c>
      <c r="M338" s="19">
        <f t="shared" si="57"/>
        <v>1.4099931553730323</v>
      </c>
      <c r="N338" s="19">
        <f t="shared" si="50"/>
        <v>6.2827450277728003</v>
      </c>
      <c r="O338" s="17">
        <f t="shared" si="58"/>
        <v>2393.6528220748974</v>
      </c>
      <c r="P338" s="17">
        <f t="shared" si="59"/>
        <v>718.09584662246914</v>
      </c>
    </row>
    <row r="339" spans="1:16" x14ac:dyDescent="0.3">
      <c r="A339" s="26" t="str">
        <v>C0338</v>
      </c>
      <c r="B339" s="26">
        <f>_xlfn.DAYS(DATE(2024,12,31),_xlfn.MAXIFS(ecommerce_transactions!$D$2:$D$9999, ecommerce_transactions!$B$2:$B$9999, A339))</f>
        <v>15</v>
      </c>
      <c r="C339" s="26">
        <f>COUNTIF(ecommerce_transactions!B:B,main_data!A339)</f>
        <v>10</v>
      </c>
      <c r="D339" s="35">
        <f>SUMIF(ecommerce_transactions!B:B,main_data!A339,ecommerce_transactions!E:E)</f>
        <v>2914.54</v>
      </c>
      <c r="E339" s="28">
        <f t="shared" si="51"/>
        <v>4</v>
      </c>
      <c r="F339" s="28">
        <f t="shared" si="52"/>
        <v>4</v>
      </c>
      <c r="G339" s="26">
        <f t="shared" si="53"/>
        <v>4</v>
      </c>
      <c r="H339" s="18" t="str">
        <f t="shared" si="54"/>
        <v>444</v>
      </c>
      <c r="I339" s="26" t="str">
        <f t="shared" si="55"/>
        <v>Champions</v>
      </c>
      <c r="J339" s="17">
        <f t="shared" si="56"/>
        <v>291.45400000000001</v>
      </c>
      <c r="K339" s="36">
        <f>_xlfn.MAXIFS(ecommerce_transactions!D:D,ecommerce_transactions!B:B,main_data!A339)</f>
        <v>45642</v>
      </c>
      <c r="L339" s="36">
        <f>_xlfn.MINIFS(ecommerce_transactions!D:D,ecommerce_transactions!B:B,main_data!A339)</f>
        <v>45312</v>
      </c>
      <c r="M339" s="19">
        <f t="shared" si="57"/>
        <v>0.90349075975359339</v>
      </c>
      <c r="N339" s="19">
        <f t="shared" si="50"/>
        <v>7.1250914411119233</v>
      </c>
      <c r="O339" s="17">
        <f t="shared" si="58"/>
        <v>1876.2217995610824</v>
      </c>
      <c r="P339" s="17">
        <f t="shared" si="59"/>
        <v>562.86653986832471</v>
      </c>
    </row>
    <row r="340" spans="1:16" x14ac:dyDescent="0.3">
      <c r="A340" s="26" t="str">
        <v>C0339</v>
      </c>
      <c r="B340" s="26">
        <f>_xlfn.DAYS(DATE(2024,12,31),_xlfn.MAXIFS(ecommerce_transactions!$D$2:$D$9999, ecommerce_transactions!$B$2:$B$9999, A340))</f>
        <v>213</v>
      </c>
      <c r="C340" s="26">
        <f>COUNTIF(ecommerce_transactions!B:B,main_data!A340)</f>
        <v>5</v>
      </c>
      <c r="D340" s="35">
        <f>SUMIF(ecommerce_transactions!B:B,main_data!A340,ecommerce_transactions!E:E)</f>
        <v>1081.08</v>
      </c>
      <c r="E340" s="28">
        <f t="shared" si="51"/>
        <v>1</v>
      </c>
      <c r="F340" s="28">
        <f t="shared" si="52"/>
        <v>2</v>
      </c>
      <c r="G340" s="26">
        <f t="shared" si="53"/>
        <v>2</v>
      </c>
      <c r="H340" s="18" t="str">
        <f t="shared" si="54"/>
        <v>122</v>
      </c>
      <c r="I340" s="26" t="str">
        <f t="shared" si="55"/>
        <v>About to Sleep</v>
      </c>
      <c r="J340" s="17">
        <f t="shared" si="56"/>
        <v>216.21599999999998</v>
      </c>
      <c r="K340" s="36">
        <f>_xlfn.MAXIFS(ecommerce_transactions!D:D,ecommerce_transactions!B:B,main_data!A340)</f>
        <v>45444</v>
      </c>
      <c r="L340" s="36">
        <f>_xlfn.MINIFS(ecommerce_transactions!D:D,ecommerce_transactions!B:B,main_data!A340)</f>
        <v>45069</v>
      </c>
      <c r="M340" s="19">
        <f t="shared" si="57"/>
        <v>1.0266940451745379</v>
      </c>
      <c r="N340" s="19">
        <f t="shared" si="50"/>
        <v>3.2750504371217217</v>
      </c>
      <c r="O340" s="17">
        <f t="shared" si="58"/>
        <v>727.02084734364485</v>
      </c>
      <c r="P340" s="17">
        <f t="shared" si="59"/>
        <v>218.10625420309344</v>
      </c>
    </row>
    <row r="341" spans="1:16" x14ac:dyDescent="0.3">
      <c r="A341" s="26" t="str">
        <v>C0340</v>
      </c>
      <c r="B341" s="26">
        <f>_xlfn.DAYS(DATE(2024,12,31),_xlfn.MAXIFS(ecommerce_transactions!$D$2:$D$9999, ecommerce_transactions!$B$2:$B$9999, A341))</f>
        <v>17</v>
      </c>
      <c r="C341" s="26">
        <f>COUNTIF(ecommerce_transactions!B:B,main_data!A341)</f>
        <v>4</v>
      </c>
      <c r="D341" s="35">
        <f>SUMIF(ecommerce_transactions!B:B,main_data!A341,ecommerce_transactions!E:E)</f>
        <v>770.39</v>
      </c>
      <c r="E341" s="28">
        <f t="shared" si="51"/>
        <v>4</v>
      </c>
      <c r="F341" s="28">
        <f t="shared" si="52"/>
        <v>2</v>
      </c>
      <c r="G341" s="26">
        <f t="shared" si="53"/>
        <v>1</v>
      </c>
      <c r="H341" s="18" t="str">
        <f t="shared" si="54"/>
        <v>421</v>
      </c>
      <c r="I341" s="26" t="str">
        <f t="shared" si="55"/>
        <v>New Customers</v>
      </c>
      <c r="J341" s="17">
        <f t="shared" si="56"/>
        <v>192.5975</v>
      </c>
      <c r="K341" s="36">
        <f>_xlfn.MAXIFS(ecommerce_transactions!D:D,ecommerce_transactions!B:B,main_data!A341)</f>
        <v>45640</v>
      </c>
      <c r="L341" s="36">
        <f>_xlfn.MINIFS(ecommerce_transactions!D:D,ecommerce_transactions!B:B,main_data!A341)</f>
        <v>45565</v>
      </c>
      <c r="M341" s="19">
        <f t="shared" si="57"/>
        <v>0.20533880903490759</v>
      </c>
      <c r="N341" s="19">
        <f t="shared" si="50"/>
        <v>5.6710334788937411</v>
      </c>
      <c r="O341" s="17">
        <f t="shared" si="58"/>
        <v>224.27656477438137</v>
      </c>
      <c r="P341" s="17">
        <f t="shared" si="59"/>
        <v>67.282969432314403</v>
      </c>
    </row>
    <row r="342" spans="1:16" x14ac:dyDescent="0.3">
      <c r="A342" s="26" t="str">
        <v>C0341</v>
      </c>
      <c r="B342" s="26">
        <f>_xlfn.DAYS(DATE(2024,12,31),_xlfn.MAXIFS(ecommerce_transactions!$D$2:$D$9999, ecommerce_transactions!$B$2:$B$9999, A342))</f>
        <v>12</v>
      </c>
      <c r="C342" s="26">
        <f>COUNTIF(ecommerce_transactions!B:B,main_data!A342)</f>
        <v>15</v>
      </c>
      <c r="D342" s="35">
        <f>SUMIF(ecommerce_transactions!B:B,main_data!A342,ecommerce_transactions!E:E)</f>
        <v>3899.3199999999997</v>
      </c>
      <c r="E342" s="28">
        <f t="shared" si="51"/>
        <v>4</v>
      </c>
      <c r="F342" s="28">
        <f t="shared" si="52"/>
        <v>5</v>
      </c>
      <c r="G342" s="26">
        <f t="shared" si="53"/>
        <v>5</v>
      </c>
      <c r="H342" s="18" t="str">
        <f t="shared" si="54"/>
        <v>455</v>
      </c>
      <c r="I342" s="26" t="str">
        <f t="shared" si="55"/>
        <v>Champions</v>
      </c>
      <c r="J342" s="17">
        <f t="shared" si="56"/>
        <v>259.95466666666664</v>
      </c>
      <c r="K342" s="36">
        <f>_xlfn.MAXIFS(ecommerce_transactions!D:D,ecommerce_transactions!B:B,main_data!A342)</f>
        <v>45645</v>
      </c>
      <c r="L342" s="36">
        <f>_xlfn.MINIFS(ecommerce_transactions!D:D,ecommerce_transactions!B:B,main_data!A342)</f>
        <v>45544</v>
      </c>
      <c r="M342" s="19">
        <f t="shared" si="57"/>
        <v>0.27652292950034224</v>
      </c>
      <c r="N342" s="19">
        <f t="shared" si="50"/>
        <v>19.316879682679595</v>
      </c>
      <c r="O342" s="17">
        <f t="shared" si="58"/>
        <v>1388.5634905244599</v>
      </c>
      <c r="P342" s="17">
        <f t="shared" si="59"/>
        <v>416.56904715733793</v>
      </c>
    </row>
    <row r="343" spans="1:16" x14ac:dyDescent="0.3">
      <c r="A343" s="26" t="str">
        <v>C0342</v>
      </c>
      <c r="B343" s="26">
        <f>_xlfn.DAYS(DATE(2024,12,31),_xlfn.MAXIFS(ecommerce_transactions!$D$2:$D$9999, ecommerce_transactions!$B$2:$B$9999, A343))</f>
        <v>40</v>
      </c>
      <c r="C343" s="26">
        <f>COUNTIF(ecommerce_transactions!B:B,main_data!A343)</f>
        <v>2</v>
      </c>
      <c r="D343" s="35">
        <f>SUMIF(ecommerce_transactions!B:B,main_data!A343,ecommerce_transactions!E:E)</f>
        <v>464.94</v>
      </c>
      <c r="E343" s="28">
        <f t="shared" si="51"/>
        <v>3</v>
      </c>
      <c r="F343" s="28">
        <f t="shared" si="52"/>
        <v>1</v>
      </c>
      <c r="G343" s="26">
        <f t="shared" si="53"/>
        <v>1</v>
      </c>
      <c r="H343" s="18" t="str">
        <f t="shared" si="54"/>
        <v>311</v>
      </c>
      <c r="I343" s="26" t="str">
        <f t="shared" si="55"/>
        <v>Lost</v>
      </c>
      <c r="J343" s="17">
        <f t="shared" si="56"/>
        <v>232.47</v>
      </c>
      <c r="K343" s="36">
        <f>_xlfn.MAXIFS(ecommerce_transactions!D:D,ecommerce_transactions!B:B,main_data!A343)</f>
        <v>45617</v>
      </c>
      <c r="L343" s="36">
        <f>_xlfn.MINIFS(ecommerce_transactions!D:D,ecommerce_transactions!B:B,main_data!A343)</f>
        <v>45607</v>
      </c>
      <c r="M343" s="19">
        <f t="shared" si="57"/>
        <v>2.7378507871321012E-2</v>
      </c>
      <c r="N343" s="19">
        <f t="shared" si="50"/>
        <v>3.7923426346528228</v>
      </c>
      <c r="O343" s="17">
        <f t="shared" si="58"/>
        <v>24.137053861129136</v>
      </c>
      <c r="P343" s="17">
        <f t="shared" si="59"/>
        <v>7.2411161583387402</v>
      </c>
    </row>
    <row r="344" spans="1:16" x14ac:dyDescent="0.3">
      <c r="A344" s="26" t="str">
        <v>C0343</v>
      </c>
      <c r="B344" s="26">
        <f>_xlfn.DAYS(DATE(2024,12,31),_xlfn.MAXIFS(ecommerce_transactions!$D$2:$D$9999, ecommerce_transactions!$B$2:$B$9999, A344))</f>
        <v>9</v>
      </c>
      <c r="C344" s="26">
        <f>COUNTIF(ecommerce_transactions!B:B,main_data!A344)</f>
        <v>8</v>
      </c>
      <c r="D344" s="35">
        <f>SUMIF(ecommerce_transactions!B:B,main_data!A344,ecommerce_transactions!E:E)</f>
        <v>2472.44</v>
      </c>
      <c r="E344" s="28">
        <f t="shared" si="51"/>
        <v>4</v>
      </c>
      <c r="F344" s="28">
        <f t="shared" si="52"/>
        <v>3</v>
      </c>
      <c r="G344" s="26">
        <f t="shared" si="53"/>
        <v>4</v>
      </c>
      <c r="H344" s="18" t="str">
        <f t="shared" si="54"/>
        <v>434</v>
      </c>
      <c r="I344" s="26" t="str">
        <f t="shared" si="55"/>
        <v>Loyal Customers</v>
      </c>
      <c r="J344" s="17">
        <f t="shared" si="56"/>
        <v>309.05500000000001</v>
      </c>
      <c r="K344" s="36">
        <f>_xlfn.MAXIFS(ecommerce_transactions!D:D,ecommerce_transactions!B:B,main_data!A344)</f>
        <v>45648</v>
      </c>
      <c r="L344" s="36">
        <f>_xlfn.MINIFS(ecommerce_transactions!D:D,ecommerce_transactions!B:B,main_data!A344)</f>
        <v>45548</v>
      </c>
      <c r="M344" s="19">
        <f t="shared" si="57"/>
        <v>0.27378507871321012</v>
      </c>
      <c r="N344" s="19">
        <f t="shared" si="50"/>
        <v>10.338788146837683</v>
      </c>
      <c r="O344" s="17">
        <f t="shared" si="58"/>
        <v>874.81291463954005</v>
      </c>
      <c r="P344" s="17">
        <f t="shared" si="59"/>
        <v>262.44387439186198</v>
      </c>
    </row>
    <row r="345" spans="1:16" x14ac:dyDescent="0.3">
      <c r="A345" s="26" t="str">
        <v>C0344</v>
      </c>
      <c r="B345" s="26">
        <f>_xlfn.DAYS(DATE(2024,12,31),_xlfn.MAXIFS(ecommerce_transactions!$D$2:$D$9999, ecommerce_transactions!$B$2:$B$9999, A345))</f>
        <v>360</v>
      </c>
      <c r="C345" s="26">
        <f>COUNTIF(ecommerce_transactions!B:B,main_data!A345)</f>
        <v>2</v>
      </c>
      <c r="D345" s="35">
        <f>SUMIF(ecommerce_transactions!B:B,main_data!A345,ecommerce_transactions!E:E)</f>
        <v>363.69</v>
      </c>
      <c r="E345" s="28">
        <f t="shared" si="51"/>
        <v>1</v>
      </c>
      <c r="F345" s="28">
        <f t="shared" si="52"/>
        <v>1</v>
      </c>
      <c r="G345" s="26">
        <f t="shared" si="53"/>
        <v>1</v>
      </c>
      <c r="H345" s="18" t="str">
        <f t="shared" si="54"/>
        <v>111</v>
      </c>
      <c r="I345" s="26" t="str">
        <f t="shared" si="55"/>
        <v>About to Sleep</v>
      </c>
      <c r="J345" s="17">
        <f t="shared" si="56"/>
        <v>181.845</v>
      </c>
      <c r="K345" s="36">
        <f>_xlfn.MAXIFS(ecommerce_transactions!D:D,ecommerce_transactions!B:B,main_data!A345)</f>
        <v>45297</v>
      </c>
      <c r="L345" s="36">
        <f>_xlfn.MINIFS(ecommerce_transactions!D:D,ecommerce_transactions!B:B,main_data!A345)</f>
        <v>45287</v>
      </c>
      <c r="M345" s="19">
        <f t="shared" si="57"/>
        <v>2.7378507871321012E-2</v>
      </c>
      <c r="N345" s="19">
        <f t="shared" si="50"/>
        <v>3.7923426346528228</v>
      </c>
      <c r="O345" s="17">
        <f t="shared" si="58"/>
        <v>18.880726800778717</v>
      </c>
      <c r="P345" s="17">
        <f t="shared" si="59"/>
        <v>5.6642180402336146</v>
      </c>
    </row>
    <row r="346" spans="1:16" x14ac:dyDescent="0.3">
      <c r="A346" s="26" t="str">
        <v>C0345</v>
      </c>
      <c r="B346" s="26">
        <f>_xlfn.DAYS(DATE(2024,12,31),_xlfn.MAXIFS(ecommerce_transactions!$D$2:$D$9999, ecommerce_transactions!$B$2:$B$9999, A346))</f>
        <v>32</v>
      </c>
      <c r="C346" s="26">
        <f>COUNTIF(ecommerce_transactions!B:B,main_data!A346)</f>
        <v>6</v>
      </c>
      <c r="D346" s="35">
        <f>SUMIF(ecommerce_transactions!B:B,main_data!A346,ecommerce_transactions!E:E)</f>
        <v>953.26</v>
      </c>
      <c r="E346" s="28">
        <f t="shared" si="51"/>
        <v>3</v>
      </c>
      <c r="F346" s="28">
        <f t="shared" si="52"/>
        <v>3</v>
      </c>
      <c r="G346" s="26">
        <f t="shared" si="53"/>
        <v>2</v>
      </c>
      <c r="H346" s="18" t="str">
        <f t="shared" si="54"/>
        <v>332</v>
      </c>
      <c r="I346" s="26" t="str">
        <f t="shared" si="55"/>
        <v>Lost</v>
      </c>
      <c r="J346" s="17">
        <f t="shared" si="56"/>
        <v>158.87666666666667</v>
      </c>
      <c r="K346" s="36">
        <f>_xlfn.MAXIFS(ecommerce_transactions!D:D,ecommerce_transactions!B:B,main_data!A346)</f>
        <v>45625</v>
      </c>
      <c r="L346" s="36">
        <f>_xlfn.MINIFS(ecommerce_transactions!D:D,ecommerce_transactions!B:B,main_data!A346)</f>
        <v>45351</v>
      </c>
      <c r="M346" s="19">
        <f t="shared" si="57"/>
        <v>0.75017111567419581</v>
      </c>
      <c r="N346" s="19">
        <f t="shared" si="50"/>
        <v>4.7993430057486988</v>
      </c>
      <c r="O346" s="17">
        <f t="shared" si="58"/>
        <v>572.00819052833288</v>
      </c>
      <c r="P346" s="17">
        <f t="shared" si="59"/>
        <v>171.60245715849985</v>
      </c>
    </row>
    <row r="347" spans="1:16" x14ac:dyDescent="0.3">
      <c r="A347" s="26" t="str">
        <v>C0346</v>
      </c>
      <c r="B347" s="26">
        <f>_xlfn.DAYS(DATE(2024,12,31),_xlfn.MAXIFS(ecommerce_transactions!$D$2:$D$9999, ecommerce_transactions!$B$2:$B$9999, A347))</f>
        <v>32</v>
      </c>
      <c r="C347" s="26">
        <f>COUNTIF(ecommerce_transactions!B:B,main_data!A347)</f>
        <v>5</v>
      </c>
      <c r="D347" s="35">
        <f>SUMIF(ecommerce_transactions!B:B,main_data!A347,ecommerce_transactions!E:E)</f>
        <v>887.42000000000007</v>
      </c>
      <c r="E347" s="28">
        <f t="shared" si="51"/>
        <v>3</v>
      </c>
      <c r="F347" s="28">
        <f t="shared" si="52"/>
        <v>2</v>
      </c>
      <c r="G347" s="26">
        <f t="shared" si="53"/>
        <v>1</v>
      </c>
      <c r="H347" s="18" t="str">
        <f t="shared" si="54"/>
        <v>321</v>
      </c>
      <c r="I347" s="26" t="str">
        <f t="shared" si="55"/>
        <v>Lost</v>
      </c>
      <c r="J347" s="17">
        <f t="shared" si="56"/>
        <v>177.48400000000001</v>
      </c>
      <c r="K347" s="36">
        <f>_xlfn.MAXIFS(ecommerce_transactions!D:D,ecommerce_transactions!B:B,main_data!A347)</f>
        <v>45625</v>
      </c>
      <c r="L347" s="36">
        <f>_xlfn.MINIFS(ecommerce_transactions!D:D,ecommerce_transactions!B:B,main_data!A347)</f>
        <v>45460</v>
      </c>
      <c r="M347" s="19">
        <f t="shared" si="57"/>
        <v>0.45174537987679669</v>
      </c>
      <c r="N347" s="19">
        <f t="shared" si="50"/>
        <v>5.2535059331175837</v>
      </c>
      <c r="O347" s="17">
        <f t="shared" si="58"/>
        <v>421.21337648327943</v>
      </c>
      <c r="P347" s="17">
        <f t="shared" si="59"/>
        <v>126.36401294498383</v>
      </c>
    </row>
    <row r="348" spans="1:16" x14ac:dyDescent="0.3">
      <c r="A348" s="26" t="str">
        <v>C0347</v>
      </c>
      <c r="B348" s="26">
        <f>_xlfn.DAYS(DATE(2024,12,31),_xlfn.MAXIFS(ecommerce_transactions!$D$2:$D$9999, ecommerce_transactions!$B$2:$B$9999, A348))</f>
        <v>16</v>
      </c>
      <c r="C348" s="26">
        <f>COUNTIF(ecommerce_transactions!B:B,main_data!A348)</f>
        <v>15</v>
      </c>
      <c r="D348" s="35">
        <f>SUMIF(ecommerce_transactions!B:B,main_data!A348,ecommerce_transactions!E:E)</f>
        <v>2644.0299999999997</v>
      </c>
      <c r="E348" s="28">
        <f t="shared" si="51"/>
        <v>4</v>
      </c>
      <c r="F348" s="28">
        <f t="shared" si="52"/>
        <v>5</v>
      </c>
      <c r="G348" s="26">
        <f t="shared" si="53"/>
        <v>4</v>
      </c>
      <c r="H348" s="18" t="str">
        <f t="shared" si="54"/>
        <v>454</v>
      </c>
      <c r="I348" s="26" t="str">
        <f t="shared" si="55"/>
        <v>Champions</v>
      </c>
      <c r="J348" s="17">
        <f t="shared" si="56"/>
        <v>176.26866666666666</v>
      </c>
      <c r="K348" s="36">
        <f>_xlfn.MAXIFS(ecommerce_transactions!D:D,ecommerce_transactions!B:B,main_data!A348)</f>
        <v>45641</v>
      </c>
      <c r="L348" s="36">
        <f>_xlfn.MINIFS(ecommerce_transactions!D:D,ecommerce_transactions!B:B,main_data!A348)</f>
        <v>45012</v>
      </c>
      <c r="M348" s="19">
        <f t="shared" si="57"/>
        <v>1.7221081451060918</v>
      </c>
      <c r="N348" s="19">
        <f t="shared" si="50"/>
        <v>6.750346527029107</v>
      </c>
      <c r="O348" s="17">
        <f t="shared" si="58"/>
        <v>2049.0927090713071</v>
      </c>
      <c r="P348" s="17">
        <f t="shared" si="59"/>
        <v>614.72781272139207</v>
      </c>
    </row>
    <row r="349" spans="1:16" x14ac:dyDescent="0.3">
      <c r="A349" s="26" t="str">
        <v>C0348</v>
      </c>
      <c r="B349" s="26">
        <f>_xlfn.DAYS(DATE(2024,12,31),_xlfn.MAXIFS(ecommerce_transactions!$D$2:$D$9999, ecommerce_transactions!$B$2:$B$9999, A349))</f>
        <v>48</v>
      </c>
      <c r="C349" s="26">
        <f>COUNTIF(ecommerce_transactions!B:B,main_data!A349)</f>
        <v>7</v>
      </c>
      <c r="D349" s="35">
        <f>SUMIF(ecommerce_transactions!B:B,main_data!A349,ecommerce_transactions!E:E)</f>
        <v>1593.9899999999998</v>
      </c>
      <c r="E349" s="28">
        <f t="shared" si="51"/>
        <v>2</v>
      </c>
      <c r="F349" s="28">
        <f t="shared" si="52"/>
        <v>3</v>
      </c>
      <c r="G349" s="26">
        <f t="shared" si="53"/>
        <v>3</v>
      </c>
      <c r="H349" s="18" t="str">
        <f t="shared" si="54"/>
        <v>233</v>
      </c>
      <c r="I349" s="26" t="str">
        <f t="shared" si="55"/>
        <v>At Risk</v>
      </c>
      <c r="J349" s="17">
        <f t="shared" si="56"/>
        <v>227.7128571428571</v>
      </c>
      <c r="K349" s="36">
        <f>_xlfn.MAXIFS(ecommerce_transactions!D:D,ecommerce_transactions!B:B,main_data!A349)</f>
        <v>45609</v>
      </c>
      <c r="L349" s="36">
        <f>_xlfn.MINIFS(ecommerce_transactions!D:D,ecommerce_transactions!B:B,main_data!A349)</f>
        <v>45039</v>
      </c>
      <c r="M349" s="19">
        <f t="shared" si="57"/>
        <v>1.5605749486652978</v>
      </c>
      <c r="N349" s="19">
        <f t="shared" si="50"/>
        <v>3.3971101145989038</v>
      </c>
      <c r="O349" s="17">
        <f t="shared" si="58"/>
        <v>1207.2071748878923</v>
      </c>
      <c r="P349" s="17">
        <f t="shared" si="59"/>
        <v>362.16215246636767</v>
      </c>
    </row>
    <row r="350" spans="1:16" x14ac:dyDescent="0.3">
      <c r="A350" s="26" t="str">
        <v>C0349</v>
      </c>
      <c r="B350" s="26">
        <f>_xlfn.DAYS(DATE(2024,12,31),_xlfn.MAXIFS(ecommerce_transactions!$D$2:$D$9999, ecommerce_transactions!$B$2:$B$9999, A350))</f>
        <v>20</v>
      </c>
      <c r="C350" s="26">
        <f>COUNTIF(ecommerce_transactions!B:B,main_data!A350)</f>
        <v>7</v>
      </c>
      <c r="D350" s="35">
        <f>SUMIF(ecommerce_transactions!B:B,main_data!A350,ecommerce_transactions!E:E)</f>
        <v>1806.0099999999998</v>
      </c>
      <c r="E350" s="28">
        <f t="shared" si="51"/>
        <v>4</v>
      </c>
      <c r="F350" s="28">
        <f t="shared" si="52"/>
        <v>3</v>
      </c>
      <c r="G350" s="26">
        <f t="shared" si="53"/>
        <v>3</v>
      </c>
      <c r="H350" s="18" t="str">
        <f t="shared" si="54"/>
        <v>433</v>
      </c>
      <c r="I350" s="26" t="str">
        <f t="shared" si="55"/>
        <v>Loyal Customers</v>
      </c>
      <c r="J350" s="17">
        <f t="shared" si="56"/>
        <v>258.00142857142856</v>
      </c>
      <c r="K350" s="36">
        <f>_xlfn.MAXIFS(ecommerce_transactions!D:D,ecommerce_transactions!B:B,main_data!A350)</f>
        <v>45637</v>
      </c>
      <c r="L350" s="36">
        <f>_xlfn.MINIFS(ecommerce_transactions!D:D,ecommerce_transactions!B:B,main_data!A350)</f>
        <v>45084</v>
      </c>
      <c r="M350" s="19">
        <f t="shared" si="57"/>
        <v>1.514031485284052</v>
      </c>
      <c r="N350" s="19">
        <f t="shared" si="50"/>
        <v>3.4756159728122342</v>
      </c>
      <c r="O350" s="17">
        <f t="shared" si="58"/>
        <v>1357.6530569243837</v>
      </c>
      <c r="P350" s="17">
        <f t="shared" si="59"/>
        <v>407.2959170773151</v>
      </c>
    </row>
    <row r="351" spans="1:16" x14ac:dyDescent="0.3">
      <c r="A351" s="26" t="str">
        <v>C0350</v>
      </c>
      <c r="B351" s="26">
        <f>_xlfn.DAYS(DATE(2024,12,31),_xlfn.MAXIFS(ecommerce_transactions!$D$2:$D$9999, ecommerce_transactions!$B$2:$B$9999, A351))</f>
        <v>16</v>
      </c>
      <c r="C351" s="26">
        <f>COUNTIF(ecommerce_transactions!B:B,main_data!A351)</f>
        <v>14</v>
      </c>
      <c r="D351" s="35">
        <f>SUMIF(ecommerce_transactions!B:B,main_data!A351,ecommerce_transactions!E:E)</f>
        <v>3948.3900000000003</v>
      </c>
      <c r="E351" s="28">
        <f t="shared" si="51"/>
        <v>4</v>
      </c>
      <c r="F351" s="28">
        <f t="shared" si="52"/>
        <v>5</v>
      </c>
      <c r="G351" s="26">
        <f t="shared" si="53"/>
        <v>5</v>
      </c>
      <c r="H351" s="18" t="str">
        <f t="shared" si="54"/>
        <v>455</v>
      </c>
      <c r="I351" s="26" t="str">
        <f t="shared" si="55"/>
        <v>Champions</v>
      </c>
      <c r="J351" s="17">
        <f t="shared" si="56"/>
        <v>282.02785714285716</v>
      </c>
      <c r="K351" s="36">
        <f>_xlfn.MAXIFS(ecommerce_transactions!D:D,ecommerce_transactions!B:B,main_data!A351)</f>
        <v>45641</v>
      </c>
      <c r="L351" s="36">
        <f>_xlfn.MINIFS(ecommerce_transactions!D:D,ecommerce_transactions!B:B,main_data!A351)</f>
        <v>45414</v>
      </c>
      <c r="M351" s="19">
        <f t="shared" si="57"/>
        <v>0.62149212867898695</v>
      </c>
      <c r="N351" s="19">
        <f t="shared" si="50"/>
        <v>12.483368935001526</v>
      </c>
      <c r="O351" s="17">
        <f t="shared" si="58"/>
        <v>2188.0611046689041</v>
      </c>
      <c r="P351" s="17">
        <f t="shared" si="59"/>
        <v>656.41833140067126</v>
      </c>
    </row>
    <row r="352" spans="1:16" x14ac:dyDescent="0.3">
      <c r="A352" s="26" t="str">
        <v>C0351</v>
      </c>
      <c r="B352" s="26">
        <f>_xlfn.DAYS(DATE(2024,12,31),_xlfn.MAXIFS(ecommerce_transactions!$D$2:$D$9999, ecommerce_transactions!$B$2:$B$9999, A352))</f>
        <v>5</v>
      </c>
      <c r="C352" s="26">
        <f>COUNTIF(ecommerce_transactions!B:B,main_data!A352)</f>
        <v>8</v>
      </c>
      <c r="D352" s="35">
        <f>SUMIF(ecommerce_transactions!B:B,main_data!A352,ecommerce_transactions!E:E)</f>
        <v>2319.9</v>
      </c>
      <c r="E352" s="28">
        <f t="shared" si="51"/>
        <v>5</v>
      </c>
      <c r="F352" s="28">
        <f t="shared" si="52"/>
        <v>3</v>
      </c>
      <c r="G352" s="26">
        <f t="shared" si="53"/>
        <v>4</v>
      </c>
      <c r="H352" s="18" t="str">
        <f t="shared" si="54"/>
        <v>534</v>
      </c>
      <c r="I352" s="26" t="str">
        <f t="shared" si="55"/>
        <v>Loyal Customers</v>
      </c>
      <c r="J352" s="17">
        <f t="shared" si="56"/>
        <v>289.98750000000001</v>
      </c>
      <c r="K352" s="36">
        <f>_xlfn.MAXIFS(ecommerce_transactions!D:D,ecommerce_transactions!B:B,main_data!A352)</f>
        <v>45652</v>
      </c>
      <c r="L352" s="36">
        <f>_xlfn.MINIFS(ecommerce_transactions!D:D,ecommerce_transactions!B:B,main_data!A352)</f>
        <v>45615</v>
      </c>
      <c r="M352" s="19">
        <f t="shared" si="57"/>
        <v>0.10130047912388775</v>
      </c>
      <c r="N352" s="19">
        <f t="shared" si="50"/>
        <v>13.304496300512238</v>
      </c>
      <c r="O352" s="17">
        <f t="shared" si="58"/>
        <v>390.8311895276039</v>
      </c>
      <c r="P352" s="17">
        <f t="shared" si="59"/>
        <v>117.24935685828116</v>
      </c>
    </row>
    <row r="353" spans="1:16" x14ac:dyDescent="0.3">
      <c r="A353" s="26" t="str">
        <v>C0352</v>
      </c>
      <c r="B353" s="26">
        <f>_xlfn.DAYS(DATE(2024,12,31),_xlfn.MAXIFS(ecommerce_transactions!$D$2:$D$9999, ecommerce_transactions!$B$2:$B$9999, A353))</f>
        <v>83</v>
      </c>
      <c r="C353" s="26">
        <f>COUNTIF(ecommerce_transactions!B:B,main_data!A353)</f>
        <v>10</v>
      </c>
      <c r="D353" s="35">
        <f>SUMIF(ecommerce_transactions!B:B,main_data!A353,ecommerce_transactions!E:E)</f>
        <v>1892.2099999999998</v>
      </c>
      <c r="E353" s="28">
        <f t="shared" si="51"/>
        <v>2</v>
      </c>
      <c r="F353" s="28">
        <f t="shared" si="52"/>
        <v>4</v>
      </c>
      <c r="G353" s="26">
        <f t="shared" si="53"/>
        <v>3</v>
      </c>
      <c r="H353" s="18" t="str">
        <f t="shared" si="54"/>
        <v>243</v>
      </c>
      <c r="I353" s="26" t="str">
        <f t="shared" si="55"/>
        <v>At Risk</v>
      </c>
      <c r="J353" s="17">
        <f t="shared" si="56"/>
        <v>189.22099999999998</v>
      </c>
      <c r="K353" s="36">
        <f>_xlfn.MAXIFS(ecommerce_transactions!D:D,ecommerce_transactions!B:B,main_data!A353)</f>
        <v>45574</v>
      </c>
      <c r="L353" s="36">
        <f>_xlfn.MINIFS(ecommerce_transactions!D:D,ecommerce_transactions!B:B,main_data!A353)</f>
        <v>45324</v>
      </c>
      <c r="M353" s="19">
        <f t="shared" si="57"/>
        <v>0.68446269678302529</v>
      </c>
      <c r="N353" s="19">
        <f t="shared" si="50"/>
        <v>8.4426466339208321</v>
      </c>
      <c r="O353" s="17">
        <f t="shared" si="58"/>
        <v>1093.4469806414329</v>
      </c>
      <c r="P353" s="17">
        <f t="shared" si="59"/>
        <v>328.03409419242985</v>
      </c>
    </row>
    <row r="354" spans="1:16" x14ac:dyDescent="0.3">
      <c r="A354" s="26" t="str">
        <v>C0353</v>
      </c>
      <c r="B354" s="26">
        <f>_xlfn.DAYS(DATE(2024,12,31),_xlfn.MAXIFS(ecommerce_transactions!$D$2:$D$9999, ecommerce_transactions!$B$2:$B$9999, A354))</f>
        <v>19</v>
      </c>
      <c r="C354" s="26">
        <f>COUNTIF(ecommerce_transactions!B:B,main_data!A354)</f>
        <v>13</v>
      </c>
      <c r="D354" s="35">
        <f>SUMIF(ecommerce_transactions!B:B,main_data!A354,ecommerce_transactions!E:E)</f>
        <v>4060.82</v>
      </c>
      <c r="E354" s="28">
        <f t="shared" si="51"/>
        <v>4</v>
      </c>
      <c r="F354" s="28">
        <f t="shared" si="52"/>
        <v>5</v>
      </c>
      <c r="G354" s="26">
        <f t="shared" si="53"/>
        <v>5</v>
      </c>
      <c r="H354" s="18" t="str">
        <f t="shared" si="54"/>
        <v>455</v>
      </c>
      <c r="I354" s="26" t="str">
        <f t="shared" si="55"/>
        <v>Champions</v>
      </c>
      <c r="J354" s="17">
        <f t="shared" si="56"/>
        <v>312.37076923076927</v>
      </c>
      <c r="K354" s="36">
        <f>_xlfn.MAXIFS(ecommerce_transactions!D:D,ecommerce_transactions!B:B,main_data!A354)</f>
        <v>45638</v>
      </c>
      <c r="L354" s="36">
        <f>_xlfn.MINIFS(ecommerce_transactions!D:D,ecommerce_transactions!B:B,main_data!A354)</f>
        <v>45590</v>
      </c>
      <c r="M354" s="19">
        <f t="shared" si="57"/>
        <v>0.13141683778234087</v>
      </c>
      <c r="N354" s="19">
        <f t="shared" si="50"/>
        <v>20.588617886178863</v>
      </c>
      <c r="O354" s="17">
        <f t="shared" si="58"/>
        <v>845.17879674796757</v>
      </c>
      <c r="P354" s="17">
        <f t="shared" si="59"/>
        <v>253.55363902439026</v>
      </c>
    </row>
    <row r="355" spans="1:16" x14ac:dyDescent="0.3">
      <c r="A355" s="26" t="str">
        <v>C0354</v>
      </c>
      <c r="B355" s="26">
        <f>_xlfn.DAYS(DATE(2024,12,31),_xlfn.MAXIFS(ecommerce_transactions!$D$2:$D$9999, ecommerce_transactions!$B$2:$B$9999, A355))</f>
        <v>17</v>
      </c>
      <c r="C355" s="26">
        <f>COUNTIF(ecommerce_transactions!B:B,main_data!A355)</f>
        <v>14</v>
      </c>
      <c r="D355" s="35">
        <f>SUMIF(ecommerce_transactions!B:B,main_data!A355,ecommerce_transactions!E:E)</f>
        <v>3057.3</v>
      </c>
      <c r="E355" s="28">
        <f t="shared" si="51"/>
        <v>4</v>
      </c>
      <c r="F355" s="28">
        <f t="shared" si="52"/>
        <v>5</v>
      </c>
      <c r="G355" s="26">
        <f t="shared" si="53"/>
        <v>4</v>
      </c>
      <c r="H355" s="18" t="str">
        <f t="shared" si="54"/>
        <v>454</v>
      </c>
      <c r="I355" s="26" t="str">
        <f t="shared" si="55"/>
        <v>Champions</v>
      </c>
      <c r="J355" s="17">
        <f t="shared" si="56"/>
        <v>218.37857142857143</v>
      </c>
      <c r="K355" s="36">
        <f>_xlfn.MAXIFS(ecommerce_transactions!D:D,ecommerce_transactions!B:B,main_data!A355)</f>
        <v>45640</v>
      </c>
      <c r="L355" s="36">
        <f>_xlfn.MINIFS(ecommerce_transactions!D:D,ecommerce_transactions!B:B,main_data!A355)</f>
        <v>45275</v>
      </c>
      <c r="M355" s="19">
        <f t="shared" si="57"/>
        <v>0.99931553730321698</v>
      </c>
      <c r="N355" s="19">
        <f t="shared" si="50"/>
        <v>9.3375941565852543</v>
      </c>
      <c r="O355" s="17">
        <f t="shared" si="58"/>
        <v>2037.7347637525679</v>
      </c>
      <c r="P355" s="17">
        <f t="shared" si="59"/>
        <v>611.32042912577037</v>
      </c>
    </row>
    <row r="356" spans="1:16" x14ac:dyDescent="0.3">
      <c r="A356" s="26" t="str">
        <v>C0355</v>
      </c>
      <c r="B356" s="26">
        <f>_xlfn.DAYS(DATE(2024,12,31),_xlfn.MAXIFS(ecommerce_transactions!$D$2:$D$9999, ecommerce_transactions!$B$2:$B$9999, A356))</f>
        <v>8</v>
      </c>
      <c r="C356" s="26">
        <f>COUNTIF(ecommerce_transactions!B:B,main_data!A356)</f>
        <v>4</v>
      </c>
      <c r="D356" s="35">
        <f>SUMIF(ecommerce_transactions!B:B,main_data!A356,ecommerce_transactions!E:E)</f>
        <v>1253.8699999999999</v>
      </c>
      <c r="E356" s="28">
        <f t="shared" si="51"/>
        <v>4</v>
      </c>
      <c r="F356" s="28">
        <f t="shared" si="52"/>
        <v>2</v>
      </c>
      <c r="G356" s="26">
        <f t="shared" si="53"/>
        <v>2</v>
      </c>
      <c r="H356" s="18" t="str">
        <f t="shared" si="54"/>
        <v>422</v>
      </c>
      <c r="I356" s="26" t="str">
        <f t="shared" si="55"/>
        <v>New Customers</v>
      </c>
      <c r="J356" s="17">
        <f t="shared" si="56"/>
        <v>313.46749999999997</v>
      </c>
      <c r="K356" s="36">
        <f>_xlfn.MAXIFS(ecommerce_transactions!D:D,ecommerce_transactions!B:B,main_data!A356)</f>
        <v>45649</v>
      </c>
      <c r="L356" s="36">
        <f>_xlfn.MINIFS(ecommerce_transactions!D:D,ecommerce_transactions!B:B,main_data!A356)</f>
        <v>45243</v>
      </c>
      <c r="M356" s="19">
        <f t="shared" si="57"/>
        <v>1.1115674195756331</v>
      </c>
      <c r="N356" s="19">
        <f t="shared" si="50"/>
        <v>2.4820556381397325</v>
      </c>
      <c r="O356" s="17">
        <f t="shared" si="58"/>
        <v>864.84811212571663</v>
      </c>
      <c r="P356" s="17">
        <f t="shared" si="59"/>
        <v>259.454433637715</v>
      </c>
    </row>
    <row r="357" spans="1:16" x14ac:dyDescent="0.3">
      <c r="A357" s="26" t="str">
        <v>C0356</v>
      </c>
      <c r="B357" s="26">
        <f>_xlfn.DAYS(DATE(2024,12,31),_xlfn.MAXIFS(ecommerce_transactions!$D$2:$D$9999, ecommerce_transactions!$B$2:$B$9999, A357))</f>
        <v>11</v>
      </c>
      <c r="C357" s="26">
        <f>COUNTIF(ecommerce_transactions!B:B,main_data!A357)</f>
        <v>6</v>
      </c>
      <c r="D357" s="35">
        <f>SUMIF(ecommerce_transactions!B:B,main_data!A357,ecommerce_transactions!E:E)</f>
        <v>1983.97</v>
      </c>
      <c r="E357" s="28">
        <f t="shared" si="51"/>
        <v>4</v>
      </c>
      <c r="F357" s="28">
        <f t="shared" si="52"/>
        <v>3</v>
      </c>
      <c r="G357" s="26">
        <f t="shared" si="53"/>
        <v>3</v>
      </c>
      <c r="H357" s="18" t="str">
        <f t="shared" si="54"/>
        <v>433</v>
      </c>
      <c r="I357" s="26" t="str">
        <f t="shared" si="55"/>
        <v>Loyal Customers</v>
      </c>
      <c r="J357" s="17">
        <f t="shared" si="56"/>
        <v>330.66166666666669</v>
      </c>
      <c r="K357" s="36">
        <f>_xlfn.MAXIFS(ecommerce_transactions!D:D,ecommerce_transactions!B:B,main_data!A357)</f>
        <v>45646</v>
      </c>
      <c r="L357" s="36">
        <f>_xlfn.MINIFS(ecommerce_transactions!D:D,ecommerce_transactions!B:B,main_data!A357)</f>
        <v>45551</v>
      </c>
      <c r="M357" s="19">
        <f t="shared" si="57"/>
        <v>0.26009582477754961</v>
      </c>
      <c r="N357" s="19">
        <f t="shared" si="50"/>
        <v>7.8937415578568215</v>
      </c>
      <c r="O357" s="17">
        <f t="shared" si="58"/>
        <v>678.8911301215669</v>
      </c>
      <c r="P357" s="17">
        <f t="shared" si="59"/>
        <v>203.66733903647005</v>
      </c>
    </row>
    <row r="358" spans="1:16" x14ac:dyDescent="0.3">
      <c r="A358" s="26" t="str">
        <v>C0357</v>
      </c>
      <c r="B358" s="26">
        <f>_xlfn.DAYS(DATE(2024,12,31),_xlfn.MAXIFS(ecommerce_transactions!$D$2:$D$9999, ecommerce_transactions!$B$2:$B$9999, A358))</f>
        <v>2</v>
      </c>
      <c r="C358" s="26">
        <f>COUNTIF(ecommerce_transactions!B:B,main_data!A358)</f>
        <v>5</v>
      </c>
      <c r="D358" s="35">
        <f>SUMIF(ecommerce_transactions!B:B,main_data!A358,ecommerce_transactions!E:E)</f>
        <v>1556.8999999999999</v>
      </c>
      <c r="E358" s="28">
        <f t="shared" si="51"/>
        <v>5</v>
      </c>
      <c r="F358" s="28">
        <f t="shared" si="52"/>
        <v>2</v>
      </c>
      <c r="G358" s="26">
        <f t="shared" si="53"/>
        <v>2</v>
      </c>
      <c r="H358" s="18" t="str">
        <f t="shared" si="54"/>
        <v>522</v>
      </c>
      <c r="I358" s="26" t="str">
        <f t="shared" si="55"/>
        <v>New Customers</v>
      </c>
      <c r="J358" s="17">
        <f t="shared" si="56"/>
        <v>311.38</v>
      </c>
      <c r="K358" s="36">
        <f>_xlfn.MAXIFS(ecommerce_transactions!D:D,ecommerce_transactions!B:B,main_data!A358)</f>
        <v>45655</v>
      </c>
      <c r="L358" s="36">
        <f>_xlfn.MINIFS(ecommerce_transactions!D:D,ecommerce_transactions!B:B,main_data!A358)</f>
        <v>45577</v>
      </c>
      <c r="M358" s="19">
        <f t="shared" si="57"/>
        <v>0.2135523613963039</v>
      </c>
      <c r="N358" s="19">
        <f t="shared" si="50"/>
        <v>7.0071942446043156</v>
      </c>
      <c r="O358" s="17">
        <f t="shared" si="58"/>
        <v>465.9499280575539</v>
      </c>
      <c r="P358" s="17">
        <f t="shared" si="59"/>
        <v>139.78497841726616</v>
      </c>
    </row>
    <row r="359" spans="1:16" x14ac:dyDescent="0.3">
      <c r="A359" s="26" t="str">
        <v>C0358</v>
      </c>
      <c r="B359" s="26">
        <f>_xlfn.DAYS(DATE(2024,12,31),_xlfn.MAXIFS(ecommerce_transactions!$D$2:$D$9999, ecommerce_transactions!$B$2:$B$9999, A359))</f>
        <v>70</v>
      </c>
      <c r="C359" s="26">
        <f>COUNTIF(ecommerce_transactions!B:B,main_data!A359)</f>
        <v>6</v>
      </c>
      <c r="D359" s="35">
        <f>SUMIF(ecommerce_transactions!B:B,main_data!A359,ecommerce_transactions!E:E)</f>
        <v>1364.0900000000001</v>
      </c>
      <c r="E359" s="28">
        <f t="shared" si="51"/>
        <v>2</v>
      </c>
      <c r="F359" s="28">
        <f t="shared" si="52"/>
        <v>3</v>
      </c>
      <c r="G359" s="26">
        <f t="shared" si="53"/>
        <v>2</v>
      </c>
      <c r="H359" s="18" t="str">
        <f t="shared" si="54"/>
        <v>232</v>
      </c>
      <c r="I359" s="26" t="str">
        <f t="shared" si="55"/>
        <v>At Risk</v>
      </c>
      <c r="J359" s="17">
        <f t="shared" si="56"/>
        <v>227.34833333333336</v>
      </c>
      <c r="K359" s="36">
        <f>_xlfn.MAXIFS(ecommerce_transactions!D:D,ecommerce_transactions!B:B,main_data!A359)</f>
        <v>45587</v>
      </c>
      <c r="L359" s="36">
        <f>_xlfn.MINIFS(ecommerce_transactions!D:D,ecommerce_transactions!B:B,main_data!A359)</f>
        <v>45391</v>
      </c>
      <c r="M359" s="19">
        <f t="shared" si="57"/>
        <v>0.53661875427789185</v>
      </c>
      <c r="N359" s="19">
        <f t="shared" si="50"/>
        <v>5.7880488610102336</v>
      </c>
      <c r="O359" s="17">
        <f t="shared" si="58"/>
        <v>706.13836909871247</v>
      </c>
      <c r="P359" s="17">
        <f t="shared" si="59"/>
        <v>211.84151072961373</v>
      </c>
    </row>
    <row r="360" spans="1:16" x14ac:dyDescent="0.3">
      <c r="A360" s="26" t="str">
        <v>C0359</v>
      </c>
      <c r="B360" s="26">
        <f>_xlfn.DAYS(DATE(2024,12,31),_xlfn.MAXIFS(ecommerce_transactions!$D$2:$D$9999, ecommerce_transactions!$B$2:$B$9999, A360))</f>
        <v>79</v>
      </c>
      <c r="C360" s="26">
        <f>COUNTIF(ecommerce_transactions!B:B,main_data!A360)</f>
        <v>13</v>
      </c>
      <c r="D360" s="35">
        <f>SUMIF(ecommerce_transactions!B:B,main_data!A360,ecommerce_transactions!E:E)</f>
        <v>2759.0999999999995</v>
      </c>
      <c r="E360" s="28">
        <f t="shared" si="51"/>
        <v>2</v>
      </c>
      <c r="F360" s="28">
        <f t="shared" si="52"/>
        <v>5</v>
      </c>
      <c r="G360" s="26">
        <f t="shared" si="53"/>
        <v>4</v>
      </c>
      <c r="H360" s="18" t="str">
        <f t="shared" si="54"/>
        <v>254</v>
      </c>
      <c r="I360" s="26" t="str">
        <f t="shared" si="55"/>
        <v>At Risk</v>
      </c>
      <c r="J360" s="17">
        <f t="shared" si="56"/>
        <v>212.23846153846151</v>
      </c>
      <c r="K360" s="36">
        <f>_xlfn.MAXIFS(ecommerce_transactions!D:D,ecommerce_transactions!B:B,main_data!A360)</f>
        <v>45578</v>
      </c>
      <c r="L360" s="36">
        <f>_xlfn.MINIFS(ecommerce_transactions!D:D,ecommerce_transactions!B:B,main_data!A360)</f>
        <v>45325</v>
      </c>
      <c r="M360" s="19">
        <f t="shared" si="57"/>
        <v>0.69267624914442161</v>
      </c>
      <c r="N360" s="19">
        <f t="shared" si="50"/>
        <v>10.899856527977045</v>
      </c>
      <c r="O360" s="17">
        <f t="shared" si="58"/>
        <v>1602.4156097560972</v>
      </c>
      <c r="P360" s="17">
        <f t="shared" si="59"/>
        <v>480.72468292682913</v>
      </c>
    </row>
    <row r="361" spans="1:16" x14ac:dyDescent="0.3">
      <c r="A361" s="26" t="str">
        <v>C0360</v>
      </c>
      <c r="B361" s="26">
        <f>_xlfn.DAYS(DATE(2024,12,31),_xlfn.MAXIFS(ecommerce_transactions!$D$2:$D$9999, ecommerce_transactions!$B$2:$B$9999, A361))</f>
        <v>18</v>
      </c>
      <c r="C361" s="26">
        <f>COUNTIF(ecommerce_transactions!B:B,main_data!A361)</f>
        <v>6</v>
      </c>
      <c r="D361" s="35">
        <f>SUMIF(ecommerce_transactions!B:B,main_data!A361,ecommerce_transactions!E:E)</f>
        <v>1845.9699999999998</v>
      </c>
      <c r="E361" s="28">
        <f t="shared" si="51"/>
        <v>4</v>
      </c>
      <c r="F361" s="28">
        <f t="shared" si="52"/>
        <v>3</v>
      </c>
      <c r="G361" s="26">
        <f t="shared" si="53"/>
        <v>3</v>
      </c>
      <c r="H361" s="18" t="str">
        <f t="shared" si="54"/>
        <v>433</v>
      </c>
      <c r="I361" s="26" t="str">
        <f t="shared" si="55"/>
        <v>Loyal Customers</v>
      </c>
      <c r="J361" s="17">
        <f t="shared" si="56"/>
        <v>307.66166666666663</v>
      </c>
      <c r="K361" s="36">
        <f>_xlfn.MAXIFS(ecommerce_transactions!D:D,ecommerce_transactions!B:B,main_data!A361)</f>
        <v>45639</v>
      </c>
      <c r="L361" s="36">
        <f>_xlfn.MINIFS(ecommerce_transactions!D:D,ecommerce_transactions!B:B,main_data!A361)</f>
        <v>45534</v>
      </c>
      <c r="M361" s="19">
        <f t="shared" si="57"/>
        <v>0.28747433264887062</v>
      </c>
      <c r="N361" s="19">
        <f t="shared" si="50"/>
        <v>7.6192959582790083</v>
      </c>
      <c r="O361" s="17">
        <f t="shared" si="58"/>
        <v>673.88735332464125</v>
      </c>
      <c r="P361" s="17">
        <f t="shared" si="59"/>
        <v>202.16620599739238</v>
      </c>
    </row>
    <row r="362" spans="1:16" x14ac:dyDescent="0.3">
      <c r="A362" s="26" t="str">
        <v>C0361</v>
      </c>
      <c r="B362" s="26">
        <f>_xlfn.DAYS(DATE(2024,12,31),_xlfn.MAXIFS(ecommerce_transactions!$D$2:$D$9999, ecommerce_transactions!$B$2:$B$9999, A362))</f>
        <v>109</v>
      </c>
      <c r="C362" s="26">
        <f>COUNTIF(ecommerce_transactions!B:B,main_data!A362)</f>
        <v>10</v>
      </c>
      <c r="D362" s="35">
        <f>SUMIF(ecommerce_transactions!B:B,main_data!A362,ecommerce_transactions!E:E)</f>
        <v>2496.5899999999997</v>
      </c>
      <c r="E362" s="28">
        <f t="shared" si="51"/>
        <v>1</v>
      </c>
      <c r="F362" s="28">
        <f t="shared" si="52"/>
        <v>4</v>
      </c>
      <c r="G362" s="26">
        <f t="shared" si="53"/>
        <v>4</v>
      </c>
      <c r="H362" s="18" t="str">
        <f t="shared" si="54"/>
        <v>144</v>
      </c>
      <c r="I362" s="26" t="str">
        <f t="shared" si="55"/>
        <v>At Risk</v>
      </c>
      <c r="J362" s="17">
        <f t="shared" si="56"/>
        <v>249.65899999999996</v>
      </c>
      <c r="K362" s="36">
        <f>_xlfn.MAXIFS(ecommerce_transactions!D:D,ecommerce_transactions!B:B,main_data!A362)</f>
        <v>45548</v>
      </c>
      <c r="L362" s="36">
        <f>_xlfn.MINIFS(ecommerce_transactions!D:D,ecommerce_transactions!B:B,main_data!A362)</f>
        <v>45042</v>
      </c>
      <c r="M362" s="19">
        <f t="shared" si="57"/>
        <v>1.3853524982888432</v>
      </c>
      <c r="N362" s="19">
        <f t="shared" si="50"/>
        <v>5.3040479215828649</v>
      </c>
      <c r="O362" s="17">
        <f t="shared" si="58"/>
        <v>1834.4883499727719</v>
      </c>
      <c r="P362" s="17">
        <f t="shared" si="59"/>
        <v>550.34650499183158</v>
      </c>
    </row>
    <row r="363" spans="1:16" x14ac:dyDescent="0.3">
      <c r="A363" s="26" t="str">
        <v>C0362</v>
      </c>
      <c r="B363" s="26">
        <f>_xlfn.DAYS(DATE(2024,12,31),_xlfn.MAXIFS(ecommerce_transactions!$D$2:$D$9999, ecommerce_transactions!$B$2:$B$9999, A363))</f>
        <v>8</v>
      </c>
      <c r="C363" s="26">
        <f>COUNTIF(ecommerce_transactions!B:B,main_data!A363)</f>
        <v>7</v>
      </c>
      <c r="D363" s="35">
        <f>SUMIF(ecommerce_transactions!B:B,main_data!A363,ecommerce_transactions!E:E)</f>
        <v>1718.8799999999999</v>
      </c>
      <c r="E363" s="28">
        <f t="shared" si="51"/>
        <v>4</v>
      </c>
      <c r="F363" s="28">
        <f t="shared" si="52"/>
        <v>3</v>
      </c>
      <c r="G363" s="26">
        <f t="shared" si="53"/>
        <v>3</v>
      </c>
      <c r="H363" s="18" t="str">
        <f t="shared" si="54"/>
        <v>433</v>
      </c>
      <c r="I363" s="26" t="str">
        <f t="shared" si="55"/>
        <v>Loyal Customers</v>
      </c>
      <c r="J363" s="17">
        <f t="shared" si="56"/>
        <v>245.5542857142857</v>
      </c>
      <c r="K363" s="36">
        <f>_xlfn.MAXIFS(ecommerce_transactions!D:D,ecommerce_transactions!B:B,main_data!A363)</f>
        <v>45649</v>
      </c>
      <c r="L363" s="36">
        <f>_xlfn.MINIFS(ecommerce_transactions!D:D,ecommerce_transactions!B:B,main_data!A363)</f>
        <v>45610</v>
      </c>
      <c r="M363" s="19">
        <f t="shared" si="57"/>
        <v>0.10677618069815195</v>
      </c>
      <c r="N363" s="19">
        <f t="shared" si="50"/>
        <v>11.536379018612521</v>
      </c>
      <c r="O363" s="17">
        <f t="shared" si="58"/>
        <v>302.476345177665</v>
      </c>
      <c r="P363" s="17">
        <f t="shared" si="59"/>
        <v>90.742903553299499</v>
      </c>
    </row>
    <row r="364" spans="1:16" x14ac:dyDescent="0.3">
      <c r="A364" s="26" t="str">
        <v>C0363</v>
      </c>
      <c r="B364" s="26">
        <f>_xlfn.DAYS(DATE(2024,12,31),_xlfn.MAXIFS(ecommerce_transactions!$D$2:$D$9999, ecommerce_transactions!$B$2:$B$9999, A364))</f>
        <v>145</v>
      </c>
      <c r="C364" s="26">
        <f>COUNTIF(ecommerce_transactions!B:B,main_data!A364)</f>
        <v>3</v>
      </c>
      <c r="D364" s="35">
        <f>SUMIF(ecommerce_transactions!B:B,main_data!A364,ecommerce_transactions!E:E)</f>
        <v>1049.1099999999999</v>
      </c>
      <c r="E364" s="28">
        <f t="shared" si="51"/>
        <v>1</v>
      </c>
      <c r="F364" s="28">
        <f t="shared" si="52"/>
        <v>1</v>
      </c>
      <c r="G364" s="26">
        <f t="shared" si="53"/>
        <v>2</v>
      </c>
      <c r="H364" s="18" t="str">
        <f t="shared" si="54"/>
        <v>112</v>
      </c>
      <c r="I364" s="26" t="str">
        <f t="shared" si="55"/>
        <v>About to Sleep</v>
      </c>
      <c r="J364" s="17">
        <f t="shared" si="56"/>
        <v>349.70333333333332</v>
      </c>
      <c r="K364" s="36">
        <f>_xlfn.MAXIFS(ecommerce_transactions!D:D,ecommerce_transactions!B:B,main_data!A364)</f>
        <v>45512</v>
      </c>
      <c r="L364" s="36">
        <f>_xlfn.MINIFS(ecommerce_transactions!D:D,ecommerce_transactions!B:B,main_data!A364)</f>
        <v>45471</v>
      </c>
      <c r="M364" s="19">
        <f t="shared" si="57"/>
        <v>0.11225188227241616</v>
      </c>
      <c r="N364" s="19">
        <f t="shared" si="50"/>
        <v>4.8999441028507551</v>
      </c>
      <c r="O364" s="17">
        <f t="shared" si="58"/>
        <v>192.34660704304082</v>
      </c>
      <c r="P364" s="17">
        <f t="shared" si="59"/>
        <v>57.703982112912243</v>
      </c>
    </row>
    <row r="365" spans="1:16" x14ac:dyDescent="0.3">
      <c r="A365" s="26" t="str">
        <v>C0364</v>
      </c>
      <c r="B365" s="26">
        <f>_xlfn.DAYS(DATE(2024,12,31),_xlfn.MAXIFS(ecommerce_transactions!$D$2:$D$9999, ecommerce_transactions!$B$2:$B$9999, A365))</f>
        <v>98</v>
      </c>
      <c r="C365" s="26">
        <f>COUNTIF(ecommerce_transactions!B:B,main_data!A365)</f>
        <v>8</v>
      </c>
      <c r="D365" s="35">
        <f>SUMIF(ecommerce_transactions!B:B,main_data!A365,ecommerce_transactions!E:E)</f>
        <v>1892.07</v>
      </c>
      <c r="E365" s="28">
        <f t="shared" si="51"/>
        <v>1</v>
      </c>
      <c r="F365" s="28">
        <f t="shared" si="52"/>
        <v>3</v>
      </c>
      <c r="G365" s="26">
        <f t="shared" si="53"/>
        <v>3</v>
      </c>
      <c r="H365" s="18" t="str">
        <f t="shared" si="54"/>
        <v>133</v>
      </c>
      <c r="I365" s="26" t="str">
        <f t="shared" si="55"/>
        <v>At Risk</v>
      </c>
      <c r="J365" s="17">
        <f t="shared" si="56"/>
        <v>236.50874999999999</v>
      </c>
      <c r="K365" s="36">
        <f>_xlfn.MAXIFS(ecommerce_transactions!D:D,ecommerce_transactions!B:B,main_data!A365)</f>
        <v>45559</v>
      </c>
      <c r="L365" s="36">
        <f>_xlfn.MINIFS(ecommerce_transactions!D:D,ecommerce_transactions!B:B,main_data!A365)</f>
        <v>45027</v>
      </c>
      <c r="M365" s="19">
        <f t="shared" si="57"/>
        <v>1.4565366187542779</v>
      </c>
      <c r="N365" s="19">
        <f t="shared" si="50"/>
        <v>4.0888577925485396</v>
      </c>
      <c r="O365" s="17">
        <f t="shared" si="58"/>
        <v>1408.5446772782927</v>
      </c>
      <c r="P365" s="17">
        <f t="shared" si="59"/>
        <v>422.56340318348782</v>
      </c>
    </row>
    <row r="366" spans="1:16" x14ac:dyDescent="0.3">
      <c r="A366" s="26" t="str">
        <v>C0365</v>
      </c>
      <c r="B366" s="26">
        <f>_xlfn.DAYS(DATE(2024,12,31),_xlfn.MAXIFS(ecommerce_transactions!$D$2:$D$9999, ecommerce_transactions!$B$2:$B$9999, A366))</f>
        <v>2</v>
      </c>
      <c r="C366" s="26">
        <f>COUNTIF(ecommerce_transactions!B:B,main_data!A366)</f>
        <v>14</v>
      </c>
      <c r="D366" s="35">
        <f>SUMIF(ecommerce_transactions!B:B,main_data!A366,ecommerce_transactions!E:E)</f>
        <v>3241.09</v>
      </c>
      <c r="E366" s="28">
        <f t="shared" si="51"/>
        <v>5</v>
      </c>
      <c r="F366" s="28">
        <f t="shared" si="52"/>
        <v>5</v>
      </c>
      <c r="G366" s="26">
        <f t="shared" si="53"/>
        <v>5</v>
      </c>
      <c r="H366" s="18" t="str">
        <f t="shared" si="54"/>
        <v>555</v>
      </c>
      <c r="I366" s="26" t="str">
        <f t="shared" si="55"/>
        <v>Champions</v>
      </c>
      <c r="J366" s="17">
        <f t="shared" si="56"/>
        <v>231.50642857142859</v>
      </c>
      <c r="K366" s="36">
        <f>_xlfn.MAXIFS(ecommerce_transactions!D:D,ecommerce_transactions!B:B,main_data!A366)</f>
        <v>45655</v>
      </c>
      <c r="L366" s="36">
        <f>_xlfn.MINIFS(ecommerce_transactions!D:D,ecommerce_transactions!B:B,main_data!A366)</f>
        <v>45512</v>
      </c>
      <c r="M366" s="19">
        <f t="shared" si="57"/>
        <v>0.39151266255989048</v>
      </c>
      <c r="N366" s="19">
        <f t="shared" si="50"/>
        <v>15.703646833013435</v>
      </c>
      <c r="O366" s="17">
        <f t="shared" si="58"/>
        <v>1423.3424030710173</v>
      </c>
      <c r="P366" s="17">
        <f t="shared" si="59"/>
        <v>427.00272092130518</v>
      </c>
    </row>
    <row r="367" spans="1:16" x14ac:dyDescent="0.3">
      <c r="A367" s="26" t="str">
        <v>C0366</v>
      </c>
      <c r="B367" s="26">
        <f>_xlfn.DAYS(DATE(2024,12,31),_xlfn.MAXIFS(ecommerce_transactions!$D$2:$D$9999, ecommerce_transactions!$B$2:$B$9999, A367))</f>
        <v>27</v>
      </c>
      <c r="C367" s="26">
        <f>COUNTIF(ecommerce_transactions!B:B,main_data!A367)</f>
        <v>8</v>
      </c>
      <c r="D367" s="35">
        <f>SUMIF(ecommerce_transactions!B:B,main_data!A367,ecommerce_transactions!E:E)</f>
        <v>2666.36</v>
      </c>
      <c r="E367" s="28">
        <f t="shared" si="51"/>
        <v>3</v>
      </c>
      <c r="F367" s="28">
        <f t="shared" si="52"/>
        <v>3</v>
      </c>
      <c r="G367" s="26">
        <f t="shared" si="53"/>
        <v>4</v>
      </c>
      <c r="H367" s="18" t="str">
        <f t="shared" si="54"/>
        <v>334</v>
      </c>
      <c r="I367" s="26" t="str">
        <f t="shared" si="55"/>
        <v>Loyal Customers</v>
      </c>
      <c r="J367" s="17">
        <f t="shared" si="56"/>
        <v>333.29500000000002</v>
      </c>
      <c r="K367" s="36">
        <f>_xlfn.MAXIFS(ecommerce_transactions!D:D,ecommerce_transactions!B:B,main_data!A367)</f>
        <v>45630</v>
      </c>
      <c r="L367" s="36">
        <f>_xlfn.MINIFS(ecommerce_transactions!D:D,ecommerce_transactions!B:B,main_data!A367)</f>
        <v>45386</v>
      </c>
      <c r="M367" s="19">
        <f t="shared" si="57"/>
        <v>0.66803559206023266</v>
      </c>
      <c r="N367" s="19">
        <f t="shared" si="50"/>
        <v>6.8491063580427785</v>
      </c>
      <c r="O367" s="17">
        <f t="shared" si="58"/>
        <v>1524.9735481980665</v>
      </c>
      <c r="P367" s="17">
        <f t="shared" si="59"/>
        <v>457.49206445941996</v>
      </c>
    </row>
    <row r="368" spans="1:16" x14ac:dyDescent="0.3">
      <c r="A368" s="26" t="str">
        <v>C0367</v>
      </c>
      <c r="B368" s="26">
        <f>_xlfn.DAYS(DATE(2024,12,31),_xlfn.MAXIFS(ecommerce_transactions!$D$2:$D$9999, ecommerce_transactions!$B$2:$B$9999, A368))</f>
        <v>18</v>
      </c>
      <c r="C368" s="26">
        <f>COUNTIF(ecommerce_transactions!B:B,main_data!A368)</f>
        <v>8</v>
      </c>
      <c r="D368" s="35">
        <f>SUMIF(ecommerce_transactions!B:B,main_data!A368,ecommerce_transactions!E:E)</f>
        <v>2136.5800000000004</v>
      </c>
      <c r="E368" s="28">
        <f t="shared" si="51"/>
        <v>4</v>
      </c>
      <c r="F368" s="28">
        <f t="shared" si="52"/>
        <v>3</v>
      </c>
      <c r="G368" s="26">
        <f t="shared" si="53"/>
        <v>3</v>
      </c>
      <c r="H368" s="18" t="str">
        <f t="shared" si="54"/>
        <v>433</v>
      </c>
      <c r="I368" s="26" t="str">
        <f t="shared" si="55"/>
        <v>Loyal Customers</v>
      </c>
      <c r="J368" s="17">
        <f t="shared" si="56"/>
        <v>267.07250000000005</v>
      </c>
      <c r="K368" s="36">
        <f>_xlfn.MAXIFS(ecommerce_transactions!D:D,ecommerce_transactions!B:B,main_data!A368)</f>
        <v>45639</v>
      </c>
      <c r="L368" s="36">
        <f>_xlfn.MINIFS(ecommerce_transactions!D:D,ecommerce_transactions!B:B,main_data!A368)</f>
        <v>45613</v>
      </c>
      <c r="M368" s="19">
        <f t="shared" si="57"/>
        <v>7.1184120465434639E-2</v>
      </c>
      <c r="N368" s="19">
        <f t="shared" si="50"/>
        <v>14.005991611743559</v>
      </c>
      <c r="O368" s="17">
        <f t="shared" si="58"/>
        <v>266.27240263630927</v>
      </c>
      <c r="P368" s="17">
        <f t="shared" si="59"/>
        <v>79.881720790892771</v>
      </c>
    </row>
    <row r="369" spans="1:16" x14ac:dyDescent="0.3">
      <c r="A369" s="26" t="str">
        <v>C0368</v>
      </c>
      <c r="B369" s="26">
        <f>_xlfn.DAYS(DATE(2024,12,31),_xlfn.MAXIFS(ecommerce_transactions!$D$2:$D$9999, ecommerce_transactions!$B$2:$B$9999, A369))</f>
        <v>178</v>
      </c>
      <c r="C369" s="26">
        <f>COUNTIF(ecommerce_transactions!B:B,main_data!A369)</f>
        <v>3</v>
      </c>
      <c r="D369" s="35">
        <f>SUMIF(ecommerce_transactions!B:B,main_data!A369,ecommerce_transactions!E:E)</f>
        <v>985.19999999999993</v>
      </c>
      <c r="E369" s="28">
        <f t="shared" si="51"/>
        <v>1</v>
      </c>
      <c r="F369" s="28">
        <f t="shared" si="52"/>
        <v>1</v>
      </c>
      <c r="G369" s="26">
        <f t="shared" si="53"/>
        <v>2</v>
      </c>
      <c r="H369" s="18" t="str">
        <f t="shared" si="54"/>
        <v>112</v>
      </c>
      <c r="I369" s="26" t="str">
        <f t="shared" si="55"/>
        <v>About to Sleep</v>
      </c>
      <c r="J369" s="17">
        <f t="shared" si="56"/>
        <v>328.4</v>
      </c>
      <c r="K369" s="36">
        <f>_xlfn.MAXIFS(ecommerce_transactions!D:D,ecommerce_transactions!B:B,main_data!A369)</f>
        <v>45479</v>
      </c>
      <c r="L369" s="36">
        <f>_xlfn.MINIFS(ecommerce_transactions!D:D,ecommerce_transactions!B:B,main_data!A369)</f>
        <v>45398</v>
      </c>
      <c r="M369" s="19">
        <f t="shared" si="57"/>
        <v>0.22176591375770022</v>
      </c>
      <c r="N369" s="19">
        <f t="shared" si="50"/>
        <v>4.1564722617354199</v>
      </c>
      <c r="O369" s="17">
        <f t="shared" si="58"/>
        <v>302.70725462304409</v>
      </c>
      <c r="P369" s="17">
        <f t="shared" si="59"/>
        <v>90.812176386913222</v>
      </c>
    </row>
    <row r="370" spans="1:16" x14ac:dyDescent="0.3">
      <c r="A370" s="26" t="str">
        <v>C0369</v>
      </c>
      <c r="B370" s="26">
        <f>_xlfn.DAYS(DATE(2024,12,31),_xlfn.MAXIFS(ecommerce_transactions!$D$2:$D$9999, ecommerce_transactions!$B$2:$B$9999, A370))</f>
        <v>71</v>
      </c>
      <c r="C370" s="26">
        <f>COUNTIF(ecommerce_transactions!B:B,main_data!A370)</f>
        <v>4</v>
      </c>
      <c r="D370" s="35">
        <f>SUMIF(ecommerce_transactions!B:B,main_data!A370,ecommerce_transactions!E:E)</f>
        <v>1145.8600000000001</v>
      </c>
      <c r="E370" s="28">
        <f t="shared" si="51"/>
        <v>2</v>
      </c>
      <c r="F370" s="28">
        <f t="shared" si="52"/>
        <v>2</v>
      </c>
      <c r="G370" s="26">
        <f t="shared" si="53"/>
        <v>2</v>
      </c>
      <c r="H370" s="18" t="str">
        <f t="shared" si="54"/>
        <v>222</v>
      </c>
      <c r="I370" s="26" t="str">
        <f t="shared" si="55"/>
        <v>About to Sleep</v>
      </c>
      <c r="J370" s="17">
        <f t="shared" si="56"/>
        <v>286.46500000000003</v>
      </c>
      <c r="K370" s="36">
        <f>_xlfn.MAXIFS(ecommerce_transactions!D:D,ecommerce_transactions!B:B,main_data!A370)</f>
        <v>45586</v>
      </c>
      <c r="L370" s="36">
        <f>_xlfn.MINIFS(ecommerce_transactions!D:D,ecommerce_transactions!B:B,main_data!A370)</f>
        <v>45011</v>
      </c>
      <c r="M370" s="19">
        <f t="shared" si="57"/>
        <v>1.5742642026009583</v>
      </c>
      <c r="N370" s="19">
        <f t="shared" si="50"/>
        <v>1.928394654347467</v>
      </c>
      <c r="O370" s="17">
        <f t="shared" si="58"/>
        <v>869.65121267117627</v>
      </c>
      <c r="P370" s="17">
        <f t="shared" si="59"/>
        <v>260.89536380135286</v>
      </c>
    </row>
    <row r="371" spans="1:16" x14ac:dyDescent="0.3">
      <c r="A371" s="26" t="str">
        <v>C0370</v>
      </c>
      <c r="B371" s="26">
        <f>_xlfn.DAYS(DATE(2024,12,31),_xlfn.MAXIFS(ecommerce_transactions!$D$2:$D$9999, ecommerce_transactions!$B$2:$B$9999, A371))</f>
        <v>207</v>
      </c>
      <c r="C371" s="26">
        <f>COUNTIF(ecommerce_transactions!B:B,main_data!A371)</f>
        <v>1</v>
      </c>
      <c r="D371" s="35">
        <f>SUMIF(ecommerce_transactions!B:B,main_data!A371,ecommerce_transactions!E:E)</f>
        <v>246.1</v>
      </c>
      <c r="E371" s="28">
        <f t="shared" si="51"/>
        <v>1</v>
      </c>
      <c r="F371" s="28">
        <f t="shared" si="52"/>
        <v>1</v>
      </c>
      <c r="G371" s="26">
        <f t="shared" si="53"/>
        <v>1</v>
      </c>
      <c r="H371" s="18" t="str">
        <f t="shared" si="54"/>
        <v>111</v>
      </c>
      <c r="I371" s="26" t="str">
        <f t="shared" si="55"/>
        <v>About to Sleep</v>
      </c>
      <c r="J371" s="17">
        <f t="shared" si="56"/>
        <v>246.1</v>
      </c>
      <c r="K371" s="36">
        <f>_xlfn.MAXIFS(ecommerce_transactions!D:D,ecommerce_transactions!B:B,main_data!A371)</f>
        <v>45450</v>
      </c>
      <c r="L371" s="36">
        <f>_xlfn.MINIFS(ecommerce_transactions!D:D,ecommerce_transactions!B:B,main_data!A371)</f>
        <v>45450</v>
      </c>
      <c r="M371" s="19">
        <f t="shared" si="57"/>
        <v>0</v>
      </c>
      <c r="N371" s="19">
        <f t="shared" si="50"/>
        <v>2</v>
      </c>
      <c r="O371" s="17">
        <f t="shared" si="58"/>
        <v>0</v>
      </c>
      <c r="P371" s="17">
        <f t="shared" si="59"/>
        <v>0</v>
      </c>
    </row>
    <row r="372" spans="1:16" x14ac:dyDescent="0.3">
      <c r="A372" s="26" t="str">
        <v>C0371</v>
      </c>
      <c r="B372" s="26">
        <f>_xlfn.DAYS(DATE(2024,12,31),_xlfn.MAXIFS(ecommerce_transactions!$D$2:$D$9999, ecommerce_transactions!$B$2:$B$9999, A372))</f>
        <v>35</v>
      </c>
      <c r="C372" s="26">
        <f>COUNTIF(ecommerce_transactions!B:B,main_data!A372)</f>
        <v>7</v>
      </c>
      <c r="D372" s="35">
        <f>SUMIF(ecommerce_transactions!B:B,main_data!A372,ecommerce_transactions!E:E)</f>
        <v>2307.58</v>
      </c>
      <c r="E372" s="28">
        <f t="shared" si="51"/>
        <v>3</v>
      </c>
      <c r="F372" s="28">
        <f t="shared" si="52"/>
        <v>3</v>
      </c>
      <c r="G372" s="26">
        <f t="shared" si="53"/>
        <v>4</v>
      </c>
      <c r="H372" s="18" t="str">
        <f t="shared" si="54"/>
        <v>334</v>
      </c>
      <c r="I372" s="26" t="str">
        <f t="shared" si="55"/>
        <v>Loyal Customers</v>
      </c>
      <c r="J372" s="17">
        <f t="shared" si="56"/>
        <v>329.65428571428572</v>
      </c>
      <c r="K372" s="36">
        <f>_xlfn.MAXIFS(ecommerce_transactions!D:D,ecommerce_transactions!B:B,main_data!A372)</f>
        <v>45622</v>
      </c>
      <c r="L372" s="36">
        <f>_xlfn.MINIFS(ecommerce_transactions!D:D,ecommerce_transactions!B:B,main_data!A372)</f>
        <v>45142</v>
      </c>
      <c r="M372" s="19">
        <f t="shared" si="57"/>
        <v>1.3141683778234086</v>
      </c>
      <c r="N372" s="19">
        <f t="shared" si="50"/>
        <v>3.8585172608941711</v>
      </c>
      <c r="O372" s="17">
        <f t="shared" si="58"/>
        <v>1671.591624221845</v>
      </c>
      <c r="P372" s="17">
        <f t="shared" si="59"/>
        <v>501.47748726655345</v>
      </c>
    </row>
    <row r="373" spans="1:16" x14ac:dyDescent="0.3">
      <c r="A373" s="26" t="str">
        <v>C0372</v>
      </c>
      <c r="B373" s="26">
        <f>_xlfn.DAYS(DATE(2024,12,31),_xlfn.MAXIFS(ecommerce_transactions!$D$2:$D$9999, ecommerce_transactions!$B$2:$B$9999, A373))</f>
        <v>289</v>
      </c>
      <c r="C373" s="26">
        <f>COUNTIF(ecommerce_transactions!B:B,main_data!A373)</f>
        <v>1</v>
      </c>
      <c r="D373" s="35">
        <f>SUMIF(ecommerce_transactions!B:B,main_data!A373,ecommerce_transactions!E:E)</f>
        <v>469.8</v>
      </c>
      <c r="E373" s="28">
        <f t="shared" si="51"/>
        <v>1</v>
      </c>
      <c r="F373" s="28">
        <f t="shared" si="52"/>
        <v>1</v>
      </c>
      <c r="G373" s="26">
        <f t="shared" si="53"/>
        <v>1</v>
      </c>
      <c r="H373" s="18" t="str">
        <f t="shared" si="54"/>
        <v>111</v>
      </c>
      <c r="I373" s="26" t="str">
        <f t="shared" si="55"/>
        <v>About to Sleep</v>
      </c>
      <c r="J373" s="17">
        <f t="shared" si="56"/>
        <v>469.8</v>
      </c>
      <c r="K373" s="36">
        <f>_xlfn.MAXIFS(ecommerce_transactions!D:D,ecommerce_transactions!B:B,main_data!A373)</f>
        <v>45368</v>
      </c>
      <c r="L373" s="36">
        <f>_xlfn.MINIFS(ecommerce_transactions!D:D,ecommerce_transactions!B:B,main_data!A373)</f>
        <v>45368</v>
      </c>
      <c r="M373" s="19">
        <f t="shared" si="57"/>
        <v>0</v>
      </c>
      <c r="N373" s="19">
        <f t="shared" si="50"/>
        <v>2</v>
      </c>
      <c r="O373" s="17">
        <f t="shared" si="58"/>
        <v>0</v>
      </c>
      <c r="P373" s="17">
        <f t="shared" si="59"/>
        <v>0</v>
      </c>
    </row>
    <row r="374" spans="1:16" x14ac:dyDescent="0.3">
      <c r="A374" s="26" t="str">
        <v>C0373</v>
      </c>
      <c r="B374" s="26">
        <f>_xlfn.DAYS(DATE(2024,12,31),_xlfn.MAXIFS(ecommerce_transactions!$D$2:$D$9999, ecommerce_transactions!$B$2:$B$9999, A374))</f>
        <v>2</v>
      </c>
      <c r="C374" s="26">
        <f>COUNTIF(ecommerce_transactions!B:B,main_data!A374)</f>
        <v>15</v>
      </c>
      <c r="D374" s="35">
        <f>SUMIF(ecommerce_transactions!B:B,main_data!A374,ecommerce_transactions!E:E)</f>
        <v>4158.3900000000003</v>
      </c>
      <c r="E374" s="28">
        <f t="shared" si="51"/>
        <v>5</v>
      </c>
      <c r="F374" s="28">
        <f t="shared" si="52"/>
        <v>5</v>
      </c>
      <c r="G374" s="26">
        <f t="shared" si="53"/>
        <v>5</v>
      </c>
      <c r="H374" s="18" t="str">
        <f t="shared" si="54"/>
        <v>555</v>
      </c>
      <c r="I374" s="26" t="str">
        <f t="shared" si="55"/>
        <v>Champions</v>
      </c>
      <c r="J374" s="17">
        <f t="shared" si="56"/>
        <v>277.226</v>
      </c>
      <c r="K374" s="36">
        <f>_xlfn.MAXIFS(ecommerce_transactions!D:D,ecommerce_transactions!B:B,main_data!A374)</f>
        <v>45655</v>
      </c>
      <c r="L374" s="36">
        <f>_xlfn.MINIFS(ecommerce_transactions!D:D,ecommerce_transactions!B:B,main_data!A374)</f>
        <v>45615</v>
      </c>
      <c r="M374" s="19">
        <f t="shared" si="57"/>
        <v>0.10951403148528405</v>
      </c>
      <c r="N374" s="19">
        <f t="shared" si="50"/>
        <v>24.609769792251544</v>
      </c>
      <c r="O374" s="17">
        <f t="shared" si="58"/>
        <v>747.15597978663664</v>
      </c>
      <c r="P374" s="17">
        <f t="shared" si="59"/>
        <v>224.14679393599098</v>
      </c>
    </row>
    <row r="375" spans="1:16" x14ac:dyDescent="0.3">
      <c r="A375" s="26" t="str">
        <v>C0374</v>
      </c>
      <c r="B375" s="26">
        <f>_xlfn.DAYS(DATE(2024,12,31),_xlfn.MAXIFS(ecommerce_transactions!$D$2:$D$9999, ecommerce_transactions!$B$2:$B$9999, A375))</f>
        <v>12</v>
      </c>
      <c r="C375" s="26">
        <f>COUNTIF(ecommerce_transactions!B:B,main_data!A375)</f>
        <v>14</v>
      </c>
      <c r="D375" s="35">
        <f>SUMIF(ecommerce_transactions!B:B,main_data!A375,ecommerce_transactions!E:E)</f>
        <v>3104.8299999999995</v>
      </c>
      <c r="E375" s="28">
        <f t="shared" si="51"/>
        <v>4</v>
      </c>
      <c r="F375" s="28">
        <f t="shared" si="52"/>
        <v>5</v>
      </c>
      <c r="G375" s="26">
        <f t="shared" si="53"/>
        <v>4</v>
      </c>
      <c r="H375" s="18" t="str">
        <f t="shared" si="54"/>
        <v>454</v>
      </c>
      <c r="I375" s="26" t="str">
        <f t="shared" si="55"/>
        <v>Champions</v>
      </c>
      <c r="J375" s="17">
        <f t="shared" si="56"/>
        <v>221.77357142857139</v>
      </c>
      <c r="K375" s="36">
        <f>_xlfn.MAXIFS(ecommerce_transactions!D:D,ecommerce_transactions!B:B,main_data!A375)</f>
        <v>45645</v>
      </c>
      <c r="L375" s="36">
        <f>_xlfn.MINIFS(ecommerce_transactions!D:D,ecommerce_transactions!B:B,main_data!A375)</f>
        <v>45176</v>
      </c>
      <c r="M375" s="19">
        <f t="shared" si="57"/>
        <v>1.2840520191649556</v>
      </c>
      <c r="N375" s="19">
        <f t="shared" si="50"/>
        <v>7.8473048148858622</v>
      </c>
      <c r="O375" s="17">
        <f t="shared" si="58"/>
        <v>2234.6675925570685</v>
      </c>
      <c r="P375" s="17">
        <f t="shared" si="59"/>
        <v>670.40027776712054</v>
      </c>
    </row>
    <row r="376" spans="1:16" x14ac:dyDescent="0.3">
      <c r="A376" s="26" t="str">
        <v>C0375</v>
      </c>
      <c r="B376" s="26">
        <f>_xlfn.DAYS(DATE(2024,12,31),_xlfn.MAXIFS(ecommerce_transactions!$D$2:$D$9999, ecommerce_transactions!$B$2:$B$9999, A376))</f>
        <v>273</v>
      </c>
      <c r="C376" s="26">
        <f>COUNTIF(ecommerce_transactions!B:B,main_data!A376)</f>
        <v>1</v>
      </c>
      <c r="D376" s="35">
        <f>SUMIF(ecommerce_transactions!B:B,main_data!A376,ecommerce_transactions!E:E)</f>
        <v>281.62</v>
      </c>
      <c r="E376" s="28">
        <f t="shared" si="51"/>
        <v>1</v>
      </c>
      <c r="F376" s="28">
        <f t="shared" si="52"/>
        <v>1</v>
      </c>
      <c r="G376" s="26">
        <f t="shared" si="53"/>
        <v>1</v>
      </c>
      <c r="H376" s="18" t="str">
        <f t="shared" si="54"/>
        <v>111</v>
      </c>
      <c r="I376" s="26" t="str">
        <f t="shared" si="55"/>
        <v>About to Sleep</v>
      </c>
      <c r="J376" s="17">
        <f t="shared" si="56"/>
        <v>281.62</v>
      </c>
      <c r="K376" s="36">
        <f>_xlfn.MAXIFS(ecommerce_transactions!D:D,ecommerce_transactions!B:B,main_data!A376)</f>
        <v>45384</v>
      </c>
      <c r="L376" s="36">
        <f>_xlfn.MINIFS(ecommerce_transactions!D:D,ecommerce_transactions!B:B,main_data!A376)</f>
        <v>45384</v>
      </c>
      <c r="M376" s="19">
        <f t="shared" si="57"/>
        <v>0</v>
      </c>
      <c r="N376" s="19">
        <f t="shared" si="50"/>
        <v>2</v>
      </c>
      <c r="O376" s="17">
        <f t="shared" si="58"/>
        <v>0</v>
      </c>
      <c r="P376" s="17">
        <f t="shared" si="59"/>
        <v>0</v>
      </c>
    </row>
    <row r="377" spans="1:16" x14ac:dyDescent="0.3">
      <c r="A377" s="26" t="str">
        <v>C0376</v>
      </c>
      <c r="B377" s="26">
        <f>_xlfn.DAYS(DATE(2024,12,31),_xlfn.MAXIFS(ecommerce_transactions!$D$2:$D$9999, ecommerce_transactions!$B$2:$B$9999, A377))</f>
        <v>29</v>
      </c>
      <c r="C377" s="26">
        <f>COUNTIF(ecommerce_transactions!B:B,main_data!A377)</f>
        <v>6</v>
      </c>
      <c r="D377" s="35">
        <f>SUMIF(ecommerce_transactions!B:B,main_data!A377,ecommerce_transactions!E:E)</f>
        <v>1367.01</v>
      </c>
      <c r="E377" s="28">
        <f t="shared" si="51"/>
        <v>3</v>
      </c>
      <c r="F377" s="28">
        <f t="shared" si="52"/>
        <v>3</v>
      </c>
      <c r="G377" s="26">
        <f t="shared" si="53"/>
        <v>2</v>
      </c>
      <c r="H377" s="18" t="str">
        <f t="shared" si="54"/>
        <v>332</v>
      </c>
      <c r="I377" s="26" t="str">
        <f t="shared" si="55"/>
        <v>Lost</v>
      </c>
      <c r="J377" s="17">
        <f t="shared" si="56"/>
        <v>227.83500000000001</v>
      </c>
      <c r="K377" s="36">
        <f>_xlfn.MAXIFS(ecommerce_transactions!D:D,ecommerce_transactions!B:B,main_data!A377)</f>
        <v>45628</v>
      </c>
      <c r="L377" s="36">
        <f>_xlfn.MINIFS(ecommerce_transactions!D:D,ecommerce_transactions!B:B,main_data!A377)</f>
        <v>45557</v>
      </c>
      <c r="M377" s="19">
        <f t="shared" si="57"/>
        <v>0.19438740588637921</v>
      </c>
      <c r="N377" s="19">
        <f t="shared" si="50"/>
        <v>8.6407097092163614</v>
      </c>
      <c r="O377" s="17">
        <f t="shared" si="58"/>
        <v>382.681951700345</v>
      </c>
      <c r="P377" s="17">
        <f t="shared" si="59"/>
        <v>114.80458551010349</v>
      </c>
    </row>
    <row r="378" spans="1:16" x14ac:dyDescent="0.3">
      <c r="A378" s="26" t="str">
        <v>C0377</v>
      </c>
      <c r="B378" s="26">
        <f>_xlfn.DAYS(DATE(2024,12,31),_xlfn.MAXIFS(ecommerce_transactions!$D$2:$D$9999, ecommerce_transactions!$B$2:$B$9999, A378))</f>
        <v>60</v>
      </c>
      <c r="C378" s="26">
        <f>COUNTIF(ecommerce_transactions!B:B,main_data!A378)</f>
        <v>15</v>
      </c>
      <c r="D378" s="35">
        <f>SUMIF(ecommerce_transactions!B:B,main_data!A378,ecommerce_transactions!E:E)</f>
        <v>3612.65</v>
      </c>
      <c r="E378" s="28">
        <f t="shared" si="51"/>
        <v>2</v>
      </c>
      <c r="F378" s="28">
        <f t="shared" si="52"/>
        <v>5</v>
      </c>
      <c r="G378" s="26">
        <f t="shared" si="53"/>
        <v>5</v>
      </c>
      <c r="H378" s="18" t="str">
        <f t="shared" si="54"/>
        <v>255</v>
      </c>
      <c r="I378" s="26" t="str">
        <f t="shared" si="55"/>
        <v>At Risk</v>
      </c>
      <c r="J378" s="17">
        <f t="shared" si="56"/>
        <v>240.84333333333333</v>
      </c>
      <c r="K378" s="36">
        <f>_xlfn.MAXIFS(ecommerce_transactions!D:D,ecommerce_transactions!B:B,main_data!A378)</f>
        <v>45597</v>
      </c>
      <c r="L378" s="36">
        <f>_xlfn.MINIFS(ecommerce_transactions!D:D,ecommerce_transactions!B:B,main_data!A378)</f>
        <v>45048</v>
      </c>
      <c r="M378" s="19">
        <f t="shared" si="57"/>
        <v>1.5030800821355237</v>
      </c>
      <c r="N378" s="19">
        <f t="shared" si="50"/>
        <v>7.4884674525884147</v>
      </c>
      <c r="O378" s="17">
        <f t="shared" si="58"/>
        <v>2710.8762685802149</v>
      </c>
      <c r="P378" s="17">
        <f t="shared" si="59"/>
        <v>813.26288057406441</v>
      </c>
    </row>
    <row r="379" spans="1:16" x14ac:dyDescent="0.3">
      <c r="A379" s="26" t="str">
        <v>C0378</v>
      </c>
      <c r="B379" s="26">
        <f>_xlfn.DAYS(DATE(2024,12,31),_xlfn.MAXIFS(ecommerce_transactions!$D$2:$D$9999, ecommerce_transactions!$B$2:$B$9999, A379))</f>
        <v>110</v>
      </c>
      <c r="C379" s="26">
        <f>COUNTIF(ecommerce_transactions!B:B,main_data!A379)</f>
        <v>5</v>
      </c>
      <c r="D379" s="35">
        <f>SUMIF(ecommerce_transactions!B:B,main_data!A379,ecommerce_transactions!E:E)</f>
        <v>1097.8</v>
      </c>
      <c r="E379" s="28">
        <f t="shared" si="51"/>
        <v>1</v>
      </c>
      <c r="F379" s="28">
        <f t="shared" si="52"/>
        <v>2</v>
      </c>
      <c r="G379" s="26">
        <f t="shared" si="53"/>
        <v>2</v>
      </c>
      <c r="H379" s="18" t="str">
        <f t="shared" si="54"/>
        <v>122</v>
      </c>
      <c r="I379" s="26" t="str">
        <f t="shared" si="55"/>
        <v>About to Sleep</v>
      </c>
      <c r="J379" s="17">
        <f t="shared" si="56"/>
        <v>219.56</v>
      </c>
      <c r="K379" s="36">
        <f>_xlfn.MAXIFS(ecommerce_transactions!D:D,ecommerce_transactions!B:B,main_data!A379)</f>
        <v>45547</v>
      </c>
      <c r="L379" s="36">
        <f>_xlfn.MINIFS(ecommerce_transactions!D:D,ecommerce_transactions!B:B,main_data!A379)</f>
        <v>45379</v>
      </c>
      <c r="M379" s="19">
        <f t="shared" si="57"/>
        <v>0.45995893223819301</v>
      </c>
      <c r="N379" s="19">
        <f t="shared" si="50"/>
        <v>5.2085561497326207</v>
      </c>
      <c r="O379" s="17">
        <f t="shared" si="58"/>
        <v>526.00470588235305</v>
      </c>
      <c r="P379" s="17">
        <f t="shared" si="59"/>
        <v>157.8014117647059</v>
      </c>
    </row>
    <row r="380" spans="1:16" x14ac:dyDescent="0.3">
      <c r="A380" s="26" t="str">
        <v>C0379</v>
      </c>
      <c r="B380" s="26">
        <f>_xlfn.DAYS(DATE(2024,12,31),_xlfn.MAXIFS(ecommerce_transactions!$D$2:$D$9999, ecommerce_transactions!$B$2:$B$9999, A380))</f>
        <v>38</v>
      </c>
      <c r="C380" s="26">
        <f>COUNTIF(ecommerce_transactions!B:B,main_data!A380)</f>
        <v>2</v>
      </c>
      <c r="D380" s="35">
        <f>SUMIF(ecommerce_transactions!B:B,main_data!A380,ecommerce_transactions!E:E)</f>
        <v>582.67000000000007</v>
      </c>
      <c r="E380" s="28">
        <f t="shared" si="51"/>
        <v>3</v>
      </c>
      <c r="F380" s="28">
        <f t="shared" si="52"/>
        <v>1</v>
      </c>
      <c r="G380" s="26">
        <f t="shared" si="53"/>
        <v>1</v>
      </c>
      <c r="H380" s="18" t="str">
        <f t="shared" si="54"/>
        <v>311</v>
      </c>
      <c r="I380" s="26" t="str">
        <f t="shared" si="55"/>
        <v>Lost</v>
      </c>
      <c r="J380" s="17">
        <f t="shared" si="56"/>
        <v>291.33500000000004</v>
      </c>
      <c r="K380" s="36">
        <f>_xlfn.MAXIFS(ecommerce_transactions!D:D,ecommerce_transactions!B:B,main_data!A380)</f>
        <v>45619</v>
      </c>
      <c r="L380" s="36">
        <f>_xlfn.MINIFS(ecommerce_transactions!D:D,ecommerce_transactions!B:B,main_data!A380)</f>
        <v>45282</v>
      </c>
      <c r="M380" s="19">
        <f t="shared" si="57"/>
        <v>0.92265571526351808</v>
      </c>
      <c r="N380" s="19">
        <f t="shared" si="50"/>
        <v>1.4058215058936734</v>
      </c>
      <c r="O380" s="17">
        <f t="shared" si="58"/>
        <v>377.8874957902334</v>
      </c>
      <c r="P380" s="17">
        <f t="shared" si="59"/>
        <v>113.36624873707002</v>
      </c>
    </row>
    <row r="381" spans="1:16" x14ac:dyDescent="0.3">
      <c r="A381" s="26" t="str">
        <v>C0380</v>
      </c>
      <c r="B381" s="26">
        <f>_xlfn.DAYS(DATE(2024,12,31),_xlfn.MAXIFS(ecommerce_transactions!$D$2:$D$9999, ecommerce_transactions!$B$2:$B$9999, A381))</f>
        <v>15</v>
      </c>
      <c r="C381" s="26">
        <f>COUNTIF(ecommerce_transactions!B:B,main_data!A381)</f>
        <v>8</v>
      </c>
      <c r="D381" s="35">
        <f>SUMIF(ecommerce_transactions!B:B,main_data!A381,ecommerce_transactions!E:E)</f>
        <v>2295.86</v>
      </c>
      <c r="E381" s="28">
        <f t="shared" si="51"/>
        <v>4</v>
      </c>
      <c r="F381" s="28">
        <f t="shared" si="52"/>
        <v>3</v>
      </c>
      <c r="G381" s="26">
        <f t="shared" si="53"/>
        <v>4</v>
      </c>
      <c r="H381" s="18" t="str">
        <f t="shared" si="54"/>
        <v>434</v>
      </c>
      <c r="I381" s="26" t="str">
        <f t="shared" si="55"/>
        <v>Loyal Customers</v>
      </c>
      <c r="J381" s="17">
        <f t="shared" si="56"/>
        <v>286.98250000000002</v>
      </c>
      <c r="K381" s="36">
        <f>_xlfn.MAXIFS(ecommerce_transactions!D:D,ecommerce_transactions!B:B,main_data!A381)</f>
        <v>45642</v>
      </c>
      <c r="L381" s="36">
        <f>_xlfn.MINIFS(ecommerce_transactions!D:D,ecommerce_transactions!B:B,main_data!A381)</f>
        <v>45258</v>
      </c>
      <c r="M381" s="19">
        <f t="shared" si="57"/>
        <v>1.0513347022587269</v>
      </c>
      <c r="N381" s="19">
        <f t="shared" si="50"/>
        <v>5.1568497683653209</v>
      </c>
      <c r="O381" s="17">
        <f t="shared" si="58"/>
        <v>1555.8971806750496</v>
      </c>
      <c r="P381" s="17">
        <f t="shared" si="59"/>
        <v>466.76915420251487</v>
      </c>
    </row>
    <row r="382" spans="1:16" x14ac:dyDescent="0.3">
      <c r="A382" s="26" t="str">
        <v>C0381</v>
      </c>
      <c r="B382" s="26">
        <f>_xlfn.DAYS(DATE(2024,12,31),_xlfn.MAXIFS(ecommerce_transactions!$D$2:$D$9999, ecommerce_transactions!$B$2:$B$9999, A382))</f>
        <v>64</v>
      </c>
      <c r="C382" s="26">
        <f>COUNTIF(ecommerce_transactions!B:B,main_data!A382)</f>
        <v>8</v>
      </c>
      <c r="D382" s="35">
        <f>SUMIF(ecommerce_transactions!B:B,main_data!A382,ecommerce_transactions!E:E)</f>
        <v>1594.4099999999999</v>
      </c>
      <c r="E382" s="28">
        <f t="shared" si="51"/>
        <v>2</v>
      </c>
      <c r="F382" s="28">
        <f t="shared" si="52"/>
        <v>3</v>
      </c>
      <c r="G382" s="26">
        <f t="shared" si="53"/>
        <v>3</v>
      </c>
      <c r="H382" s="18" t="str">
        <f t="shared" si="54"/>
        <v>233</v>
      </c>
      <c r="I382" s="26" t="str">
        <f t="shared" si="55"/>
        <v>At Risk</v>
      </c>
      <c r="J382" s="17">
        <f t="shared" si="56"/>
        <v>199.30124999999998</v>
      </c>
      <c r="K382" s="36">
        <f>_xlfn.MAXIFS(ecommerce_transactions!D:D,ecommerce_transactions!B:B,main_data!A382)</f>
        <v>45593</v>
      </c>
      <c r="L382" s="36">
        <f>_xlfn.MINIFS(ecommerce_transactions!D:D,ecommerce_transactions!B:B,main_data!A382)</f>
        <v>45269</v>
      </c>
      <c r="M382" s="19">
        <f t="shared" si="57"/>
        <v>0.88706365503080087</v>
      </c>
      <c r="N382" s="19">
        <f t="shared" si="50"/>
        <v>5.7675795706883788</v>
      </c>
      <c r="O382" s="17">
        <f t="shared" si="58"/>
        <v>1019.6670910436713</v>
      </c>
      <c r="P382" s="17">
        <f t="shared" si="59"/>
        <v>305.90012731310139</v>
      </c>
    </row>
    <row r="383" spans="1:16" x14ac:dyDescent="0.3">
      <c r="A383" s="26" t="str">
        <v>C0382</v>
      </c>
      <c r="B383" s="26">
        <f>_xlfn.DAYS(DATE(2024,12,31),_xlfn.MAXIFS(ecommerce_transactions!$D$2:$D$9999, ecommerce_transactions!$B$2:$B$9999, A383))</f>
        <v>111</v>
      </c>
      <c r="C383" s="26">
        <f>COUNTIF(ecommerce_transactions!B:B,main_data!A383)</f>
        <v>3</v>
      </c>
      <c r="D383" s="35">
        <f>SUMIF(ecommerce_transactions!B:B,main_data!A383,ecommerce_transactions!E:E)</f>
        <v>1245.8599999999999</v>
      </c>
      <c r="E383" s="28">
        <f t="shared" si="51"/>
        <v>1</v>
      </c>
      <c r="F383" s="28">
        <f t="shared" si="52"/>
        <v>1</v>
      </c>
      <c r="G383" s="26">
        <f t="shared" si="53"/>
        <v>2</v>
      </c>
      <c r="H383" s="18" t="str">
        <f t="shared" si="54"/>
        <v>112</v>
      </c>
      <c r="I383" s="26" t="str">
        <f t="shared" si="55"/>
        <v>About to Sleep</v>
      </c>
      <c r="J383" s="17">
        <f t="shared" si="56"/>
        <v>415.28666666666663</v>
      </c>
      <c r="K383" s="36">
        <f>_xlfn.MAXIFS(ecommerce_transactions!D:D,ecommerce_transactions!B:B,main_data!A383)</f>
        <v>45546</v>
      </c>
      <c r="L383" s="36">
        <f>_xlfn.MINIFS(ecommerce_transactions!D:D,ecommerce_transactions!B:B,main_data!A383)</f>
        <v>45145</v>
      </c>
      <c r="M383" s="19">
        <f t="shared" si="57"/>
        <v>1.0978781656399725</v>
      </c>
      <c r="N383" s="19">
        <f t="shared" si="50"/>
        <v>1.8774898265153139</v>
      </c>
      <c r="O383" s="17">
        <f t="shared" si="58"/>
        <v>856.01175412293844</v>
      </c>
      <c r="P383" s="17">
        <f t="shared" si="59"/>
        <v>256.80352623688151</v>
      </c>
    </row>
    <row r="384" spans="1:16" x14ac:dyDescent="0.3">
      <c r="A384" s="26" t="str">
        <v>C0383</v>
      </c>
      <c r="B384" s="26">
        <f>_xlfn.DAYS(DATE(2024,12,31),_xlfn.MAXIFS(ecommerce_transactions!$D$2:$D$9999, ecommerce_transactions!$B$2:$B$9999, A384))</f>
        <v>16</v>
      </c>
      <c r="C384" s="26">
        <f>COUNTIF(ecommerce_transactions!B:B,main_data!A384)</f>
        <v>11</v>
      </c>
      <c r="D384" s="35">
        <f>SUMIF(ecommerce_transactions!B:B,main_data!A384,ecommerce_transactions!E:E)</f>
        <v>2622.94</v>
      </c>
      <c r="E384" s="28">
        <f t="shared" si="51"/>
        <v>4</v>
      </c>
      <c r="F384" s="28">
        <f t="shared" si="52"/>
        <v>4</v>
      </c>
      <c r="G384" s="26">
        <f t="shared" si="53"/>
        <v>4</v>
      </c>
      <c r="H384" s="18" t="str">
        <f t="shared" si="54"/>
        <v>444</v>
      </c>
      <c r="I384" s="26" t="str">
        <f t="shared" si="55"/>
        <v>Champions</v>
      </c>
      <c r="J384" s="17">
        <f t="shared" si="56"/>
        <v>238.44909090909093</v>
      </c>
      <c r="K384" s="36">
        <f>_xlfn.MAXIFS(ecommerce_transactions!D:D,ecommerce_transactions!B:B,main_data!A384)</f>
        <v>45641</v>
      </c>
      <c r="L384" s="36">
        <f>_xlfn.MINIFS(ecommerce_transactions!D:D,ecommerce_transactions!B:B,main_data!A384)</f>
        <v>45077</v>
      </c>
      <c r="M384" s="19">
        <f t="shared" si="57"/>
        <v>1.5441478439425051</v>
      </c>
      <c r="N384" s="19">
        <f t="shared" si="50"/>
        <v>5.3812154696132604</v>
      </c>
      <c r="O384" s="17">
        <f t="shared" si="58"/>
        <v>1981.3670316423913</v>
      </c>
      <c r="P384" s="17">
        <f t="shared" si="59"/>
        <v>594.41010949271742</v>
      </c>
    </row>
    <row r="385" spans="1:16" x14ac:dyDescent="0.3">
      <c r="A385" s="26" t="str">
        <v>C0384</v>
      </c>
      <c r="B385" s="26">
        <f>_xlfn.DAYS(DATE(2024,12,31),_xlfn.MAXIFS(ecommerce_transactions!$D$2:$D$9999, ecommerce_transactions!$B$2:$B$9999, A385))</f>
        <v>171</v>
      </c>
      <c r="C385" s="26">
        <f>COUNTIF(ecommerce_transactions!B:B,main_data!A385)</f>
        <v>3</v>
      </c>
      <c r="D385" s="35">
        <f>SUMIF(ecommerce_transactions!B:B,main_data!A385,ecommerce_transactions!E:E)</f>
        <v>620.44000000000005</v>
      </c>
      <c r="E385" s="28">
        <f t="shared" si="51"/>
        <v>1</v>
      </c>
      <c r="F385" s="28">
        <f t="shared" si="52"/>
        <v>1</v>
      </c>
      <c r="G385" s="26">
        <f t="shared" si="53"/>
        <v>1</v>
      </c>
      <c r="H385" s="18" t="str">
        <f t="shared" si="54"/>
        <v>111</v>
      </c>
      <c r="I385" s="26" t="str">
        <f t="shared" si="55"/>
        <v>About to Sleep</v>
      </c>
      <c r="J385" s="17">
        <f t="shared" si="56"/>
        <v>206.81333333333336</v>
      </c>
      <c r="K385" s="36">
        <f>_xlfn.MAXIFS(ecommerce_transactions!D:D,ecommerce_transactions!B:B,main_data!A385)</f>
        <v>45486</v>
      </c>
      <c r="L385" s="36">
        <f>_xlfn.MINIFS(ecommerce_transactions!D:D,ecommerce_transactions!B:B,main_data!A385)</f>
        <v>45461</v>
      </c>
      <c r="M385" s="19">
        <f t="shared" si="57"/>
        <v>6.8446269678302529E-2</v>
      </c>
      <c r="N385" s="19">
        <f t="shared" si="50"/>
        <v>5.277543648404575</v>
      </c>
      <c r="O385" s="17">
        <f t="shared" si="58"/>
        <v>74.70680313064419</v>
      </c>
      <c r="P385" s="17">
        <f t="shared" si="59"/>
        <v>22.412040939193258</v>
      </c>
    </row>
    <row r="386" spans="1:16" x14ac:dyDescent="0.3">
      <c r="A386" s="26" t="str">
        <v>C0385</v>
      </c>
      <c r="B386" s="26">
        <f>_xlfn.DAYS(DATE(2024,12,31),_xlfn.MAXIFS(ecommerce_transactions!$D$2:$D$9999, ecommerce_transactions!$B$2:$B$9999, A386))</f>
        <v>2</v>
      </c>
      <c r="C386" s="26">
        <f>COUNTIF(ecommerce_transactions!B:B,main_data!A386)</f>
        <v>14</v>
      </c>
      <c r="D386" s="35">
        <f>SUMIF(ecommerce_transactions!B:B,main_data!A386,ecommerce_transactions!E:E)</f>
        <v>3803.02</v>
      </c>
      <c r="E386" s="28">
        <f t="shared" si="51"/>
        <v>5</v>
      </c>
      <c r="F386" s="28">
        <f t="shared" si="52"/>
        <v>5</v>
      </c>
      <c r="G386" s="26">
        <f t="shared" si="53"/>
        <v>5</v>
      </c>
      <c r="H386" s="18" t="str">
        <f t="shared" si="54"/>
        <v>555</v>
      </c>
      <c r="I386" s="26" t="str">
        <f t="shared" si="55"/>
        <v>Champions</v>
      </c>
      <c r="J386" s="17">
        <f t="shared" si="56"/>
        <v>271.64428571428573</v>
      </c>
      <c r="K386" s="36">
        <f>_xlfn.MAXIFS(ecommerce_transactions!D:D,ecommerce_transactions!B:B,main_data!A386)</f>
        <v>45655</v>
      </c>
      <c r="L386" s="36">
        <f>_xlfn.MINIFS(ecommerce_transactions!D:D,ecommerce_transactions!B:B,main_data!A386)</f>
        <v>45604</v>
      </c>
      <c r="M386" s="19">
        <f t="shared" si="57"/>
        <v>0.13963039014373715</v>
      </c>
      <c r="N386" s="19">
        <f t="shared" ref="N386:N449" si="60">C386/(M386+0.5)</f>
        <v>21.887640449438205</v>
      </c>
      <c r="O386" s="17">
        <f t="shared" si="58"/>
        <v>830.1937720706261</v>
      </c>
      <c r="P386" s="17">
        <f t="shared" si="59"/>
        <v>249.05813162118781</v>
      </c>
    </row>
    <row r="387" spans="1:16" x14ac:dyDescent="0.3">
      <c r="A387" s="26" t="str">
        <v>C0386</v>
      </c>
      <c r="B387" s="26">
        <f>_xlfn.DAYS(DATE(2024,12,31),_xlfn.MAXIFS(ecommerce_transactions!$D$2:$D$9999, ecommerce_transactions!$B$2:$B$9999, A387))</f>
        <v>29</v>
      </c>
      <c r="C387" s="26">
        <f>COUNTIF(ecommerce_transactions!B:B,main_data!A387)</f>
        <v>10</v>
      </c>
      <c r="D387" s="35">
        <f>SUMIF(ecommerce_transactions!B:B,main_data!A387,ecommerce_transactions!E:E)</f>
        <v>2372.04</v>
      </c>
      <c r="E387" s="28">
        <f t="shared" ref="E387:E450" si="61">IF(B387&lt;=PERCENTILE($B$2:$B$501,0.2),5,IF(B387&lt;=PERCENTILE($B$2:$B$501,0.4),4,IF(B387&lt;=PERCENTILE($B$2:$B$501,0.6),3,IF(B387&lt;=PERCENTILE($B$2:$B$501,0.8),2,1))))</f>
        <v>3</v>
      </c>
      <c r="F387" s="28">
        <f t="shared" ref="F387:F450" si="62">IF(C387&gt;=PERCENTILE($C$2:$C$501, 0.8), 5,IF(C387&gt;=PERCENTILE($C$2:$C$501, 0.6), 4, IF(C387&gt;=PERCENTILE($C$2:$C$501, 0.4), 3, IF(C387&gt;=PERCENTILE($C$2:$C$501, 0.2), 2, 1))))</f>
        <v>4</v>
      </c>
      <c r="G387" s="26">
        <f t="shared" ref="G387:G450" si="63">IF(D387&gt;=PERCENTILE($D$2:$D$501,0.8),5,IF(D387&gt;=PERCENTILE($D$2:$D$501,0.6),4,IF(D387&gt;=PERCENTILE($D$2:$D$501,0.4),3,IF(D387&gt;=PERCENTILE($D$2:$D$501,0.2),2,1))))</f>
        <v>4</v>
      </c>
      <c r="H387" s="18" t="str">
        <f t="shared" ref="H387:H450" si="64">CONCATENATE(E387,F387,G387)</f>
        <v>344</v>
      </c>
      <c r="I387" s="26" t="str">
        <f t="shared" ref="I387:I450" si="65">IF(AND(E387&gt;=4, F387&gt;=4, G387&gt;=4), "Champions",
    IF(AND(E387&gt;=3, F387&gt;=3, G387&gt;=3), "Loyal Customers",
    IF(AND(E387&gt;=4, F387&lt;=2), "New Customers",
    IF(AND(E387&gt;=4, F387&gt;=2, G387&gt;=2), "Potential Loyalists",
    IF(AND(G387&gt;=4, E387&lt;=2, F387&lt;=2), "Cannot Lose Them",
    IF(AND(F387&gt;=3, E387&lt;=2), "At Risk",
    IF(AND(E387&lt;=2, F387&lt;=2), "About to Sleep",
    IF(AND(E387&lt;=2, F387&lt;=3), "Hibernating", "Lost"))))))))</f>
        <v>Loyal Customers</v>
      </c>
      <c r="J387" s="17">
        <f t="shared" ref="J387:J450" si="66">D387/C387</f>
        <v>237.20400000000001</v>
      </c>
      <c r="K387" s="36">
        <f>_xlfn.MAXIFS(ecommerce_transactions!D:D,ecommerce_transactions!B:B,main_data!A387)</f>
        <v>45628</v>
      </c>
      <c r="L387" s="36">
        <f>_xlfn.MINIFS(ecommerce_transactions!D:D,ecommerce_transactions!B:B,main_data!A387)</f>
        <v>45149</v>
      </c>
      <c r="M387" s="19">
        <f t="shared" ref="M387:M450" si="67">(K387-L387)/365.25</f>
        <v>1.3114305270362765</v>
      </c>
      <c r="N387" s="19">
        <f t="shared" si="60"/>
        <v>5.5204987719629699</v>
      </c>
      <c r="O387" s="17">
        <f t="shared" ref="O387:O450" si="68">J387*N387*M387</f>
        <v>1717.2978046476478</v>
      </c>
      <c r="P387" s="17">
        <f t="shared" ref="P387:P450" si="69">O387*0.3</f>
        <v>515.18934139429427</v>
      </c>
    </row>
    <row r="388" spans="1:16" x14ac:dyDescent="0.3">
      <c r="A388" s="26" t="str">
        <v>C0387</v>
      </c>
      <c r="B388" s="26">
        <f>_xlfn.DAYS(DATE(2024,12,31),_xlfn.MAXIFS(ecommerce_transactions!$D$2:$D$9999, ecommerce_transactions!$B$2:$B$9999, A388))</f>
        <v>45</v>
      </c>
      <c r="C388" s="26">
        <f>COUNTIF(ecommerce_transactions!B:B,main_data!A388)</f>
        <v>5</v>
      </c>
      <c r="D388" s="35">
        <f>SUMIF(ecommerce_transactions!B:B,main_data!A388,ecommerce_transactions!E:E)</f>
        <v>1174.7199999999998</v>
      </c>
      <c r="E388" s="28">
        <f t="shared" si="61"/>
        <v>2</v>
      </c>
      <c r="F388" s="28">
        <f t="shared" si="62"/>
        <v>2</v>
      </c>
      <c r="G388" s="26">
        <f t="shared" si="63"/>
        <v>2</v>
      </c>
      <c r="H388" s="18" t="str">
        <f t="shared" si="64"/>
        <v>222</v>
      </c>
      <c r="I388" s="26" t="str">
        <f t="shared" si="65"/>
        <v>About to Sleep</v>
      </c>
      <c r="J388" s="17">
        <f t="shared" si="66"/>
        <v>234.94399999999996</v>
      </c>
      <c r="K388" s="36">
        <f>_xlfn.MAXIFS(ecommerce_transactions!D:D,ecommerce_transactions!B:B,main_data!A388)</f>
        <v>45612</v>
      </c>
      <c r="L388" s="36">
        <f>_xlfn.MINIFS(ecommerce_transactions!D:D,ecommerce_transactions!B:B,main_data!A388)</f>
        <v>45248</v>
      </c>
      <c r="M388" s="19">
        <f t="shared" si="67"/>
        <v>0.99657768651608492</v>
      </c>
      <c r="N388" s="19">
        <f t="shared" si="60"/>
        <v>3.3409558655385316</v>
      </c>
      <c r="O388" s="17">
        <f t="shared" si="68"/>
        <v>782.25123256345739</v>
      </c>
      <c r="P388" s="17">
        <f t="shared" si="69"/>
        <v>234.67536976903722</v>
      </c>
    </row>
    <row r="389" spans="1:16" x14ac:dyDescent="0.3">
      <c r="A389" s="26" t="str">
        <v>C0388</v>
      </c>
      <c r="B389" s="26">
        <f>_xlfn.DAYS(DATE(2024,12,31),_xlfn.MAXIFS(ecommerce_transactions!$D$2:$D$9999, ecommerce_transactions!$B$2:$B$9999, A389))</f>
        <v>23</v>
      </c>
      <c r="C389" s="26">
        <f>COUNTIF(ecommerce_transactions!B:B,main_data!A389)</f>
        <v>11</v>
      </c>
      <c r="D389" s="35">
        <f>SUMIF(ecommerce_transactions!B:B,main_data!A389,ecommerce_transactions!E:E)</f>
        <v>3641.9999999999995</v>
      </c>
      <c r="E389" s="28">
        <f t="shared" si="61"/>
        <v>3</v>
      </c>
      <c r="F389" s="28">
        <f t="shared" si="62"/>
        <v>4</v>
      </c>
      <c r="G389" s="26">
        <f t="shared" si="63"/>
        <v>5</v>
      </c>
      <c r="H389" s="18" t="str">
        <f t="shared" si="64"/>
        <v>345</v>
      </c>
      <c r="I389" s="26" t="str">
        <f t="shared" si="65"/>
        <v>Loyal Customers</v>
      </c>
      <c r="J389" s="17">
        <f t="shared" si="66"/>
        <v>331.09090909090907</v>
      </c>
      <c r="K389" s="36">
        <f>_xlfn.MAXIFS(ecommerce_transactions!D:D,ecommerce_transactions!B:B,main_data!A389)</f>
        <v>45634</v>
      </c>
      <c r="L389" s="36">
        <f>_xlfn.MINIFS(ecommerce_transactions!D:D,ecommerce_transactions!B:B,main_data!A389)</f>
        <v>45372</v>
      </c>
      <c r="M389" s="19">
        <f t="shared" si="67"/>
        <v>0.71731690622861055</v>
      </c>
      <c r="N389" s="19">
        <f t="shared" si="60"/>
        <v>9.0362665167275793</v>
      </c>
      <c r="O389" s="17">
        <f t="shared" si="68"/>
        <v>2146.0871520944615</v>
      </c>
      <c r="P389" s="17">
        <f t="shared" si="69"/>
        <v>643.82614562833839</v>
      </c>
    </row>
    <row r="390" spans="1:16" x14ac:dyDescent="0.3">
      <c r="A390" s="26" t="str">
        <v>C0389</v>
      </c>
      <c r="B390" s="26">
        <f>_xlfn.DAYS(DATE(2024,12,31),_xlfn.MAXIFS(ecommerce_transactions!$D$2:$D$9999, ecommerce_transactions!$B$2:$B$9999, A390))</f>
        <v>97</v>
      </c>
      <c r="C390" s="26">
        <f>COUNTIF(ecommerce_transactions!B:B,main_data!A390)</f>
        <v>12</v>
      </c>
      <c r="D390" s="35">
        <f>SUMIF(ecommerce_transactions!B:B,main_data!A390,ecommerce_transactions!E:E)</f>
        <v>3367.0700000000006</v>
      </c>
      <c r="E390" s="28">
        <f t="shared" si="61"/>
        <v>1</v>
      </c>
      <c r="F390" s="28">
        <f t="shared" si="62"/>
        <v>5</v>
      </c>
      <c r="G390" s="26">
        <f t="shared" si="63"/>
        <v>5</v>
      </c>
      <c r="H390" s="18" t="str">
        <f t="shared" si="64"/>
        <v>155</v>
      </c>
      <c r="I390" s="26" t="str">
        <f t="shared" si="65"/>
        <v>At Risk</v>
      </c>
      <c r="J390" s="17">
        <f t="shared" si="66"/>
        <v>280.5891666666667</v>
      </c>
      <c r="K390" s="36">
        <f>_xlfn.MAXIFS(ecommerce_transactions!D:D,ecommerce_transactions!B:B,main_data!A390)</f>
        <v>45560</v>
      </c>
      <c r="L390" s="36">
        <f>_xlfn.MINIFS(ecommerce_transactions!D:D,ecommerce_transactions!B:B,main_data!A390)</f>
        <v>45234</v>
      </c>
      <c r="M390" s="19">
        <f t="shared" si="67"/>
        <v>0.892539356605065</v>
      </c>
      <c r="N390" s="19">
        <f t="shared" si="60"/>
        <v>8.6173507004177932</v>
      </c>
      <c r="O390" s="17">
        <f t="shared" si="68"/>
        <v>2158.1023740476776</v>
      </c>
      <c r="P390" s="17">
        <f t="shared" si="69"/>
        <v>647.4307122143033</v>
      </c>
    </row>
    <row r="391" spans="1:16" x14ac:dyDescent="0.3">
      <c r="A391" s="26" t="str">
        <v>C0390</v>
      </c>
      <c r="B391" s="26">
        <f>_xlfn.DAYS(DATE(2024,12,31),_xlfn.MAXIFS(ecommerce_transactions!$D$2:$D$9999, ecommerce_transactions!$B$2:$B$9999, A391))</f>
        <v>11</v>
      </c>
      <c r="C391" s="26">
        <f>COUNTIF(ecommerce_transactions!B:B,main_data!A391)</f>
        <v>2</v>
      </c>
      <c r="D391" s="35">
        <f>SUMIF(ecommerce_transactions!B:B,main_data!A391,ecommerce_transactions!E:E)</f>
        <v>581.6</v>
      </c>
      <c r="E391" s="28">
        <f t="shared" si="61"/>
        <v>4</v>
      </c>
      <c r="F391" s="28">
        <f t="shared" si="62"/>
        <v>1</v>
      </c>
      <c r="G391" s="26">
        <f t="shared" si="63"/>
        <v>1</v>
      </c>
      <c r="H391" s="18" t="str">
        <f t="shared" si="64"/>
        <v>411</v>
      </c>
      <c r="I391" s="26" t="str">
        <f t="shared" si="65"/>
        <v>New Customers</v>
      </c>
      <c r="J391" s="17">
        <f t="shared" si="66"/>
        <v>290.8</v>
      </c>
      <c r="K391" s="36">
        <f>_xlfn.MAXIFS(ecommerce_transactions!D:D,ecommerce_transactions!B:B,main_data!A391)</f>
        <v>45646</v>
      </c>
      <c r="L391" s="36">
        <f>_xlfn.MINIFS(ecommerce_transactions!D:D,ecommerce_transactions!B:B,main_data!A391)</f>
        <v>45600</v>
      </c>
      <c r="M391" s="19">
        <f t="shared" si="67"/>
        <v>0.12594113620807665</v>
      </c>
      <c r="N391" s="19">
        <f t="shared" si="60"/>
        <v>3.1951886276653907</v>
      </c>
      <c r="O391" s="17">
        <f t="shared" si="68"/>
        <v>117.01957353745215</v>
      </c>
      <c r="P391" s="17">
        <f t="shared" si="69"/>
        <v>35.105872061235644</v>
      </c>
    </row>
    <row r="392" spans="1:16" x14ac:dyDescent="0.3">
      <c r="A392" s="26" t="str">
        <v>C0391</v>
      </c>
      <c r="B392" s="26">
        <f>_xlfn.DAYS(DATE(2024,12,31),_xlfn.MAXIFS(ecommerce_transactions!$D$2:$D$9999, ecommerce_transactions!$B$2:$B$9999, A392))</f>
        <v>38</v>
      </c>
      <c r="C392" s="26">
        <f>COUNTIF(ecommerce_transactions!B:B,main_data!A392)</f>
        <v>11</v>
      </c>
      <c r="D392" s="35">
        <f>SUMIF(ecommerce_transactions!B:B,main_data!A392,ecommerce_transactions!E:E)</f>
        <v>3534.5099999999998</v>
      </c>
      <c r="E392" s="28">
        <f t="shared" si="61"/>
        <v>3</v>
      </c>
      <c r="F392" s="28">
        <f t="shared" si="62"/>
        <v>4</v>
      </c>
      <c r="G392" s="26">
        <f t="shared" si="63"/>
        <v>5</v>
      </c>
      <c r="H392" s="18" t="str">
        <f t="shared" si="64"/>
        <v>345</v>
      </c>
      <c r="I392" s="26" t="str">
        <f t="shared" si="65"/>
        <v>Loyal Customers</v>
      </c>
      <c r="J392" s="17">
        <f t="shared" si="66"/>
        <v>321.3190909090909</v>
      </c>
      <c r="K392" s="36">
        <f>_xlfn.MAXIFS(ecommerce_transactions!D:D,ecommerce_transactions!B:B,main_data!A392)</f>
        <v>45619</v>
      </c>
      <c r="L392" s="36">
        <f>_xlfn.MINIFS(ecommerce_transactions!D:D,ecommerce_transactions!B:B,main_data!A392)</f>
        <v>45160</v>
      </c>
      <c r="M392" s="19">
        <f t="shared" si="67"/>
        <v>1.2566735112936345</v>
      </c>
      <c r="N392" s="19">
        <f t="shared" si="60"/>
        <v>6.2618351841028641</v>
      </c>
      <c r="O392" s="17">
        <f t="shared" si="68"/>
        <v>2528.486405610754</v>
      </c>
      <c r="P392" s="17">
        <f t="shared" si="69"/>
        <v>758.5459216832262</v>
      </c>
    </row>
    <row r="393" spans="1:16" x14ac:dyDescent="0.3">
      <c r="A393" s="26" t="str">
        <v>C0392</v>
      </c>
      <c r="B393" s="26">
        <f>_xlfn.DAYS(DATE(2024,12,31),_xlfn.MAXIFS(ecommerce_transactions!$D$2:$D$9999, ecommerce_transactions!$B$2:$B$9999, A393))</f>
        <v>3</v>
      </c>
      <c r="C393" s="26">
        <f>COUNTIF(ecommerce_transactions!B:B,main_data!A393)</f>
        <v>3</v>
      </c>
      <c r="D393" s="35">
        <f>SUMIF(ecommerce_transactions!B:B,main_data!A393,ecommerce_transactions!E:E)</f>
        <v>757.23</v>
      </c>
      <c r="E393" s="28">
        <f t="shared" si="61"/>
        <v>5</v>
      </c>
      <c r="F393" s="28">
        <f t="shared" si="62"/>
        <v>1</v>
      </c>
      <c r="G393" s="26">
        <f t="shared" si="63"/>
        <v>1</v>
      </c>
      <c r="H393" s="18" t="str">
        <f t="shared" si="64"/>
        <v>511</v>
      </c>
      <c r="I393" s="26" t="str">
        <f t="shared" si="65"/>
        <v>New Customers</v>
      </c>
      <c r="J393" s="17">
        <f t="shared" si="66"/>
        <v>252.41</v>
      </c>
      <c r="K393" s="36">
        <f>_xlfn.MAXIFS(ecommerce_transactions!D:D,ecommerce_transactions!B:B,main_data!A393)</f>
        <v>45654</v>
      </c>
      <c r="L393" s="36">
        <f>_xlfn.MINIFS(ecommerce_transactions!D:D,ecommerce_transactions!B:B,main_data!A393)</f>
        <v>45588</v>
      </c>
      <c r="M393" s="19">
        <f t="shared" si="67"/>
        <v>0.1806981519507187</v>
      </c>
      <c r="N393" s="19">
        <f t="shared" si="60"/>
        <v>4.4072398190045252</v>
      </c>
      <c r="O393" s="17">
        <f t="shared" si="68"/>
        <v>201.01429864253396</v>
      </c>
      <c r="P393" s="17">
        <f t="shared" si="69"/>
        <v>60.304289592760185</v>
      </c>
    </row>
    <row r="394" spans="1:16" x14ac:dyDescent="0.3">
      <c r="A394" s="26" t="str">
        <v>C0393</v>
      </c>
      <c r="B394" s="26">
        <f>_xlfn.DAYS(DATE(2024,12,31),_xlfn.MAXIFS(ecommerce_transactions!$D$2:$D$9999, ecommerce_transactions!$B$2:$B$9999, A394))</f>
        <v>9</v>
      </c>
      <c r="C394" s="26">
        <f>COUNTIF(ecommerce_transactions!B:B,main_data!A394)</f>
        <v>10</v>
      </c>
      <c r="D394" s="35">
        <f>SUMIF(ecommerce_transactions!B:B,main_data!A394,ecommerce_transactions!E:E)</f>
        <v>2309.13</v>
      </c>
      <c r="E394" s="28">
        <f t="shared" si="61"/>
        <v>4</v>
      </c>
      <c r="F394" s="28">
        <f t="shared" si="62"/>
        <v>4</v>
      </c>
      <c r="G394" s="26">
        <f t="shared" si="63"/>
        <v>4</v>
      </c>
      <c r="H394" s="18" t="str">
        <f t="shared" si="64"/>
        <v>444</v>
      </c>
      <c r="I394" s="26" t="str">
        <f t="shared" si="65"/>
        <v>Champions</v>
      </c>
      <c r="J394" s="17">
        <f t="shared" si="66"/>
        <v>230.91300000000001</v>
      </c>
      <c r="K394" s="36">
        <f>_xlfn.MAXIFS(ecommerce_transactions!D:D,ecommerce_transactions!B:B,main_data!A394)</f>
        <v>45648</v>
      </c>
      <c r="L394" s="36">
        <f>_xlfn.MINIFS(ecommerce_transactions!D:D,ecommerce_transactions!B:B,main_data!A394)</f>
        <v>45417</v>
      </c>
      <c r="M394" s="19">
        <f t="shared" si="67"/>
        <v>0.63244353182751545</v>
      </c>
      <c r="N394" s="19">
        <f t="shared" si="60"/>
        <v>8.830462375339982</v>
      </c>
      <c r="O394" s="17">
        <f t="shared" si="68"/>
        <v>1289.5957207615595</v>
      </c>
      <c r="P394" s="17">
        <f t="shared" si="69"/>
        <v>386.87871622846785</v>
      </c>
    </row>
    <row r="395" spans="1:16" x14ac:dyDescent="0.3">
      <c r="A395" s="26" t="str">
        <v>C0394</v>
      </c>
      <c r="B395" s="26">
        <f>_xlfn.DAYS(DATE(2024,12,31),_xlfn.MAXIFS(ecommerce_transactions!$D$2:$D$9999, ecommerce_transactions!$B$2:$B$9999, A395))</f>
        <v>5</v>
      </c>
      <c r="C395" s="26">
        <f>COUNTIF(ecommerce_transactions!B:B,main_data!A395)</f>
        <v>6</v>
      </c>
      <c r="D395" s="35">
        <f>SUMIF(ecommerce_transactions!B:B,main_data!A395,ecommerce_transactions!E:E)</f>
        <v>1507.93</v>
      </c>
      <c r="E395" s="28">
        <f t="shared" si="61"/>
        <v>5</v>
      </c>
      <c r="F395" s="28">
        <f t="shared" si="62"/>
        <v>3</v>
      </c>
      <c r="G395" s="26">
        <f t="shared" si="63"/>
        <v>2</v>
      </c>
      <c r="H395" s="18" t="str">
        <f t="shared" si="64"/>
        <v>532</v>
      </c>
      <c r="I395" s="26" t="str">
        <f t="shared" si="65"/>
        <v>Potential Loyalists</v>
      </c>
      <c r="J395" s="17">
        <f t="shared" si="66"/>
        <v>251.32166666666669</v>
      </c>
      <c r="K395" s="36">
        <f>_xlfn.MAXIFS(ecommerce_transactions!D:D,ecommerce_transactions!B:B,main_data!A395)</f>
        <v>45652</v>
      </c>
      <c r="L395" s="36">
        <f>_xlfn.MINIFS(ecommerce_transactions!D:D,ecommerce_transactions!B:B,main_data!A395)</f>
        <v>45531</v>
      </c>
      <c r="M395" s="19">
        <f t="shared" si="67"/>
        <v>0.33127994524298426</v>
      </c>
      <c r="N395" s="19">
        <f t="shared" si="60"/>
        <v>7.2177850967476331</v>
      </c>
      <c r="O395" s="17">
        <f t="shared" si="68"/>
        <v>600.93710992177864</v>
      </c>
      <c r="P395" s="17">
        <f t="shared" si="69"/>
        <v>180.2811329765336</v>
      </c>
    </row>
    <row r="396" spans="1:16" x14ac:dyDescent="0.3">
      <c r="A396" s="26" t="str">
        <v>C0395</v>
      </c>
      <c r="B396" s="26">
        <f>_xlfn.DAYS(DATE(2024,12,31),_xlfn.MAXIFS(ecommerce_transactions!$D$2:$D$9999, ecommerce_transactions!$B$2:$B$9999, A396))</f>
        <v>32</v>
      </c>
      <c r="C396" s="26">
        <f>COUNTIF(ecommerce_transactions!B:B,main_data!A396)</f>
        <v>6</v>
      </c>
      <c r="D396" s="35">
        <f>SUMIF(ecommerce_transactions!B:B,main_data!A396,ecommerce_transactions!E:E)</f>
        <v>1779.6</v>
      </c>
      <c r="E396" s="28">
        <f t="shared" si="61"/>
        <v>3</v>
      </c>
      <c r="F396" s="28">
        <f t="shared" si="62"/>
        <v>3</v>
      </c>
      <c r="G396" s="26">
        <f t="shared" si="63"/>
        <v>3</v>
      </c>
      <c r="H396" s="18" t="str">
        <f t="shared" si="64"/>
        <v>333</v>
      </c>
      <c r="I396" s="26" t="str">
        <f t="shared" si="65"/>
        <v>Loyal Customers</v>
      </c>
      <c r="J396" s="17">
        <f t="shared" si="66"/>
        <v>296.59999999999997</v>
      </c>
      <c r="K396" s="36">
        <f>_xlfn.MAXIFS(ecommerce_transactions!D:D,ecommerce_transactions!B:B,main_data!A396)</f>
        <v>45625</v>
      </c>
      <c r="L396" s="36">
        <f>_xlfn.MINIFS(ecommerce_transactions!D:D,ecommerce_transactions!B:B,main_data!A396)</f>
        <v>45529</v>
      </c>
      <c r="M396" s="19">
        <f t="shared" si="67"/>
        <v>0.26283367556468173</v>
      </c>
      <c r="N396" s="19">
        <f t="shared" si="60"/>
        <v>7.8654104979811574</v>
      </c>
      <c r="O396" s="17">
        <f t="shared" si="68"/>
        <v>613.15962314939441</v>
      </c>
      <c r="P396" s="17">
        <f t="shared" si="69"/>
        <v>183.94788694481832</v>
      </c>
    </row>
    <row r="397" spans="1:16" x14ac:dyDescent="0.3">
      <c r="A397" s="26" t="str">
        <v>C0396</v>
      </c>
      <c r="B397" s="26">
        <f>_xlfn.DAYS(DATE(2024,12,31),_xlfn.MAXIFS(ecommerce_transactions!$D$2:$D$9999, ecommerce_transactions!$B$2:$B$9999, A397))</f>
        <v>288</v>
      </c>
      <c r="C397" s="26">
        <f>COUNTIF(ecommerce_transactions!B:B,main_data!A397)</f>
        <v>1</v>
      </c>
      <c r="D397" s="35">
        <f>SUMIF(ecommerce_transactions!B:B,main_data!A397,ecommerce_transactions!E:E)</f>
        <v>47.17</v>
      </c>
      <c r="E397" s="28">
        <f t="shared" si="61"/>
        <v>1</v>
      </c>
      <c r="F397" s="28">
        <f t="shared" si="62"/>
        <v>1</v>
      </c>
      <c r="G397" s="26">
        <f t="shared" si="63"/>
        <v>1</v>
      </c>
      <c r="H397" s="18" t="str">
        <f t="shared" si="64"/>
        <v>111</v>
      </c>
      <c r="I397" s="26" t="str">
        <f t="shared" si="65"/>
        <v>About to Sleep</v>
      </c>
      <c r="J397" s="17">
        <f t="shared" si="66"/>
        <v>47.17</v>
      </c>
      <c r="K397" s="36">
        <f>_xlfn.MAXIFS(ecommerce_transactions!D:D,ecommerce_transactions!B:B,main_data!A397)</f>
        <v>45369</v>
      </c>
      <c r="L397" s="36">
        <f>_xlfn.MINIFS(ecommerce_transactions!D:D,ecommerce_transactions!B:B,main_data!A397)</f>
        <v>45369</v>
      </c>
      <c r="M397" s="19">
        <f t="shared" si="67"/>
        <v>0</v>
      </c>
      <c r="N397" s="19">
        <f t="shared" si="60"/>
        <v>2</v>
      </c>
      <c r="O397" s="17">
        <f t="shared" si="68"/>
        <v>0</v>
      </c>
      <c r="P397" s="17">
        <f t="shared" si="69"/>
        <v>0</v>
      </c>
    </row>
    <row r="398" spans="1:16" x14ac:dyDescent="0.3">
      <c r="A398" s="26" t="str">
        <v>C0397</v>
      </c>
      <c r="B398" s="26">
        <f>_xlfn.DAYS(DATE(2024,12,31),_xlfn.MAXIFS(ecommerce_transactions!$D$2:$D$9999, ecommerce_transactions!$B$2:$B$9999, A398))</f>
        <v>94</v>
      </c>
      <c r="C398" s="26">
        <f>COUNTIF(ecommerce_transactions!B:B,main_data!A398)</f>
        <v>4</v>
      </c>
      <c r="D398" s="35">
        <f>SUMIF(ecommerce_transactions!B:B,main_data!A398,ecommerce_transactions!E:E)</f>
        <v>1306.3</v>
      </c>
      <c r="E398" s="28">
        <f t="shared" si="61"/>
        <v>1</v>
      </c>
      <c r="F398" s="28">
        <f t="shared" si="62"/>
        <v>2</v>
      </c>
      <c r="G398" s="26">
        <f t="shared" si="63"/>
        <v>2</v>
      </c>
      <c r="H398" s="18" t="str">
        <f t="shared" si="64"/>
        <v>122</v>
      </c>
      <c r="I398" s="26" t="str">
        <f t="shared" si="65"/>
        <v>About to Sleep</v>
      </c>
      <c r="J398" s="17">
        <f t="shared" si="66"/>
        <v>326.57499999999999</v>
      </c>
      <c r="K398" s="36">
        <f>_xlfn.MAXIFS(ecommerce_transactions!D:D,ecommerce_transactions!B:B,main_data!A398)</f>
        <v>45563</v>
      </c>
      <c r="L398" s="36">
        <f>_xlfn.MINIFS(ecommerce_transactions!D:D,ecommerce_transactions!B:B,main_data!A398)</f>
        <v>45518</v>
      </c>
      <c r="M398" s="19">
        <f t="shared" si="67"/>
        <v>0.12320328542094455</v>
      </c>
      <c r="N398" s="19">
        <f t="shared" si="60"/>
        <v>6.4184514003294888</v>
      </c>
      <c r="O398" s="17">
        <f t="shared" si="68"/>
        <v>258.24711696869849</v>
      </c>
      <c r="P398" s="17">
        <f t="shared" si="69"/>
        <v>77.474135090609551</v>
      </c>
    </row>
    <row r="399" spans="1:16" x14ac:dyDescent="0.3">
      <c r="A399" s="26" t="str">
        <v>C0398</v>
      </c>
      <c r="B399" s="26">
        <f>_xlfn.DAYS(DATE(2024,12,31),_xlfn.MAXIFS(ecommerce_transactions!$D$2:$D$9999, ecommerce_transactions!$B$2:$B$9999, A399))</f>
        <v>76</v>
      </c>
      <c r="C399" s="26">
        <f>COUNTIF(ecommerce_transactions!B:B,main_data!A399)</f>
        <v>11</v>
      </c>
      <c r="D399" s="35">
        <f>SUMIF(ecommerce_transactions!B:B,main_data!A399,ecommerce_transactions!E:E)</f>
        <v>1934.8000000000002</v>
      </c>
      <c r="E399" s="28">
        <f t="shared" si="61"/>
        <v>2</v>
      </c>
      <c r="F399" s="28">
        <f t="shared" si="62"/>
        <v>4</v>
      </c>
      <c r="G399" s="26">
        <f t="shared" si="63"/>
        <v>3</v>
      </c>
      <c r="H399" s="18" t="str">
        <f t="shared" si="64"/>
        <v>243</v>
      </c>
      <c r="I399" s="26" t="str">
        <f t="shared" si="65"/>
        <v>At Risk</v>
      </c>
      <c r="J399" s="17">
        <f t="shared" si="66"/>
        <v>175.8909090909091</v>
      </c>
      <c r="K399" s="36">
        <f>_xlfn.MAXIFS(ecommerce_transactions!D:D,ecommerce_transactions!B:B,main_data!A399)</f>
        <v>45581</v>
      </c>
      <c r="L399" s="36">
        <f>_xlfn.MINIFS(ecommerce_transactions!D:D,ecommerce_transactions!B:B,main_data!A399)</f>
        <v>45244</v>
      </c>
      <c r="M399" s="19">
        <f t="shared" si="67"/>
        <v>0.92265571526351808</v>
      </c>
      <c r="N399" s="19">
        <f t="shared" si="60"/>
        <v>7.7320182824152042</v>
      </c>
      <c r="O399" s="17">
        <f t="shared" si="68"/>
        <v>1254.8041375992304</v>
      </c>
      <c r="P399" s="17">
        <f t="shared" si="69"/>
        <v>376.44124127976914</v>
      </c>
    </row>
    <row r="400" spans="1:16" x14ac:dyDescent="0.3">
      <c r="A400" s="26" t="str">
        <v>C0399</v>
      </c>
      <c r="B400" s="26">
        <f>_xlfn.DAYS(DATE(2024,12,31),_xlfn.MAXIFS(ecommerce_transactions!$D$2:$D$9999, ecommerce_transactions!$B$2:$B$9999, A400))</f>
        <v>2</v>
      </c>
      <c r="C400" s="26">
        <f>COUNTIF(ecommerce_transactions!B:B,main_data!A400)</f>
        <v>7</v>
      </c>
      <c r="D400" s="35">
        <f>SUMIF(ecommerce_transactions!B:B,main_data!A400,ecommerce_transactions!E:E)</f>
        <v>1495.2</v>
      </c>
      <c r="E400" s="28">
        <f t="shared" si="61"/>
        <v>5</v>
      </c>
      <c r="F400" s="28">
        <f t="shared" si="62"/>
        <v>3</v>
      </c>
      <c r="G400" s="26">
        <f t="shared" si="63"/>
        <v>2</v>
      </c>
      <c r="H400" s="18" t="str">
        <f t="shared" si="64"/>
        <v>532</v>
      </c>
      <c r="I400" s="26" t="str">
        <f t="shared" si="65"/>
        <v>Potential Loyalists</v>
      </c>
      <c r="J400" s="17">
        <f t="shared" si="66"/>
        <v>213.6</v>
      </c>
      <c r="K400" s="36">
        <f>_xlfn.MAXIFS(ecommerce_transactions!D:D,ecommerce_transactions!B:B,main_data!A400)</f>
        <v>45655</v>
      </c>
      <c r="L400" s="36">
        <f>_xlfn.MINIFS(ecommerce_transactions!D:D,ecommerce_transactions!B:B,main_data!A400)</f>
        <v>45593</v>
      </c>
      <c r="M400" s="19">
        <f t="shared" si="67"/>
        <v>0.16974674880219029</v>
      </c>
      <c r="N400" s="19">
        <f t="shared" si="60"/>
        <v>10.451711803781297</v>
      </c>
      <c r="O400" s="17">
        <f t="shared" si="68"/>
        <v>378.95717935615738</v>
      </c>
      <c r="P400" s="17">
        <f t="shared" si="69"/>
        <v>113.68715380684721</v>
      </c>
    </row>
    <row r="401" spans="1:16" x14ac:dyDescent="0.3">
      <c r="A401" s="26" t="str">
        <v>C0400</v>
      </c>
      <c r="B401" s="26">
        <f>_xlfn.DAYS(DATE(2024,12,31),_xlfn.MAXIFS(ecommerce_transactions!$D$2:$D$9999, ecommerce_transactions!$B$2:$B$9999, A401))</f>
        <v>53</v>
      </c>
      <c r="C401" s="26">
        <f>COUNTIF(ecommerce_transactions!B:B,main_data!A401)</f>
        <v>12</v>
      </c>
      <c r="D401" s="35">
        <f>SUMIF(ecommerce_transactions!B:B,main_data!A401,ecommerce_transactions!E:E)</f>
        <v>3994.1799999999994</v>
      </c>
      <c r="E401" s="28">
        <f t="shared" si="61"/>
        <v>2</v>
      </c>
      <c r="F401" s="28">
        <f t="shared" si="62"/>
        <v>5</v>
      </c>
      <c r="G401" s="26">
        <f t="shared" si="63"/>
        <v>5</v>
      </c>
      <c r="H401" s="18" t="str">
        <f t="shared" si="64"/>
        <v>255</v>
      </c>
      <c r="I401" s="26" t="str">
        <f t="shared" si="65"/>
        <v>At Risk</v>
      </c>
      <c r="J401" s="17">
        <f t="shared" si="66"/>
        <v>332.8483333333333</v>
      </c>
      <c r="K401" s="36">
        <f>_xlfn.MAXIFS(ecommerce_transactions!D:D,ecommerce_transactions!B:B,main_data!A401)</f>
        <v>45604</v>
      </c>
      <c r="L401" s="36">
        <f>_xlfn.MINIFS(ecommerce_transactions!D:D,ecommerce_transactions!B:B,main_data!A401)</f>
        <v>45473</v>
      </c>
      <c r="M401" s="19">
        <f t="shared" si="67"/>
        <v>0.35865845311430528</v>
      </c>
      <c r="N401" s="19">
        <f t="shared" si="60"/>
        <v>13.975288959744917</v>
      </c>
      <c r="O401" s="17">
        <f t="shared" si="68"/>
        <v>1668.3541809485846</v>
      </c>
      <c r="P401" s="17">
        <f t="shared" si="69"/>
        <v>500.50625428457533</v>
      </c>
    </row>
    <row r="402" spans="1:16" x14ac:dyDescent="0.3">
      <c r="A402" s="26" t="str">
        <v>C0401</v>
      </c>
      <c r="B402" s="26">
        <f>_xlfn.DAYS(DATE(2024,12,31),_xlfn.MAXIFS(ecommerce_transactions!$D$2:$D$9999, ecommerce_transactions!$B$2:$B$9999, A402))</f>
        <v>27</v>
      </c>
      <c r="C402" s="26">
        <f>COUNTIF(ecommerce_transactions!B:B,main_data!A402)</f>
        <v>4</v>
      </c>
      <c r="D402" s="35">
        <f>SUMIF(ecommerce_transactions!B:B,main_data!A402,ecommerce_transactions!E:E)</f>
        <v>946.62</v>
      </c>
      <c r="E402" s="28">
        <f t="shared" si="61"/>
        <v>3</v>
      </c>
      <c r="F402" s="28">
        <f t="shared" si="62"/>
        <v>2</v>
      </c>
      <c r="G402" s="26">
        <f t="shared" si="63"/>
        <v>2</v>
      </c>
      <c r="H402" s="18" t="str">
        <f t="shared" si="64"/>
        <v>322</v>
      </c>
      <c r="I402" s="26" t="str">
        <f t="shared" si="65"/>
        <v>Lost</v>
      </c>
      <c r="J402" s="17">
        <f t="shared" si="66"/>
        <v>236.655</v>
      </c>
      <c r="K402" s="36">
        <f>_xlfn.MAXIFS(ecommerce_transactions!D:D,ecommerce_transactions!B:B,main_data!A402)</f>
        <v>45630</v>
      </c>
      <c r="L402" s="36">
        <f>_xlfn.MINIFS(ecommerce_transactions!D:D,ecommerce_transactions!B:B,main_data!A402)</f>
        <v>45266</v>
      </c>
      <c r="M402" s="19">
        <f t="shared" si="67"/>
        <v>0.99657768651608492</v>
      </c>
      <c r="N402" s="19">
        <f t="shared" si="60"/>
        <v>2.6727646924308255</v>
      </c>
      <c r="O402" s="17">
        <f t="shared" si="68"/>
        <v>630.35843585639145</v>
      </c>
      <c r="P402" s="17">
        <f t="shared" si="69"/>
        <v>189.10753075691744</v>
      </c>
    </row>
    <row r="403" spans="1:16" x14ac:dyDescent="0.3">
      <c r="A403" s="26" t="str">
        <v>C0402</v>
      </c>
      <c r="B403" s="26">
        <f>_xlfn.DAYS(DATE(2024,12,31),_xlfn.MAXIFS(ecommerce_transactions!$D$2:$D$9999, ecommerce_transactions!$B$2:$B$9999, A403))</f>
        <v>12</v>
      </c>
      <c r="C403" s="26">
        <f>COUNTIF(ecommerce_transactions!B:B,main_data!A403)</f>
        <v>12</v>
      </c>
      <c r="D403" s="35">
        <f>SUMIF(ecommerce_transactions!B:B,main_data!A403,ecommerce_transactions!E:E)</f>
        <v>2414.6999999999998</v>
      </c>
      <c r="E403" s="28">
        <f t="shared" si="61"/>
        <v>4</v>
      </c>
      <c r="F403" s="28">
        <f t="shared" si="62"/>
        <v>5</v>
      </c>
      <c r="G403" s="26">
        <f t="shared" si="63"/>
        <v>4</v>
      </c>
      <c r="H403" s="18" t="str">
        <f t="shared" si="64"/>
        <v>454</v>
      </c>
      <c r="I403" s="26" t="str">
        <f t="shared" si="65"/>
        <v>Champions</v>
      </c>
      <c r="J403" s="17">
        <f t="shared" si="66"/>
        <v>201.22499999999999</v>
      </c>
      <c r="K403" s="36">
        <f>_xlfn.MAXIFS(ecommerce_transactions!D:D,ecommerce_transactions!B:B,main_data!A403)</f>
        <v>45645</v>
      </c>
      <c r="L403" s="36">
        <f>_xlfn.MINIFS(ecommerce_transactions!D:D,ecommerce_transactions!B:B,main_data!A403)</f>
        <v>45365</v>
      </c>
      <c r="M403" s="19">
        <f t="shared" si="67"/>
        <v>0.76659822039698833</v>
      </c>
      <c r="N403" s="19">
        <f t="shared" si="60"/>
        <v>9.4741961631991352</v>
      </c>
      <c r="O403" s="17">
        <f t="shared" si="68"/>
        <v>1461.4774385301268</v>
      </c>
      <c r="P403" s="17">
        <f t="shared" si="69"/>
        <v>438.44323155903805</v>
      </c>
    </row>
    <row r="404" spans="1:16" x14ac:dyDescent="0.3">
      <c r="A404" s="26" t="str">
        <v>C0403</v>
      </c>
      <c r="B404" s="26">
        <f>_xlfn.DAYS(DATE(2024,12,31),_xlfn.MAXIFS(ecommerce_transactions!$D$2:$D$9999, ecommerce_transactions!$B$2:$B$9999, A404))</f>
        <v>47</v>
      </c>
      <c r="C404" s="26">
        <f>COUNTIF(ecommerce_transactions!B:B,main_data!A404)</f>
        <v>1</v>
      </c>
      <c r="D404" s="35">
        <f>SUMIF(ecommerce_transactions!B:B,main_data!A404,ecommerce_transactions!E:E)</f>
        <v>230.25</v>
      </c>
      <c r="E404" s="28">
        <f t="shared" si="61"/>
        <v>2</v>
      </c>
      <c r="F404" s="28">
        <f t="shared" si="62"/>
        <v>1</v>
      </c>
      <c r="G404" s="26">
        <f t="shared" si="63"/>
        <v>1</v>
      </c>
      <c r="H404" s="18" t="str">
        <f t="shared" si="64"/>
        <v>211</v>
      </c>
      <c r="I404" s="26" t="str">
        <f t="shared" si="65"/>
        <v>About to Sleep</v>
      </c>
      <c r="J404" s="17">
        <f t="shared" si="66"/>
        <v>230.25</v>
      </c>
      <c r="K404" s="36">
        <f>_xlfn.MAXIFS(ecommerce_transactions!D:D,ecommerce_transactions!B:B,main_data!A404)</f>
        <v>45610</v>
      </c>
      <c r="L404" s="36">
        <f>_xlfn.MINIFS(ecommerce_transactions!D:D,ecommerce_transactions!B:B,main_data!A404)</f>
        <v>45610</v>
      </c>
      <c r="M404" s="19">
        <f t="shared" si="67"/>
        <v>0</v>
      </c>
      <c r="N404" s="19">
        <f t="shared" si="60"/>
        <v>2</v>
      </c>
      <c r="O404" s="17">
        <f t="shared" si="68"/>
        <v>0</v>
      </c>
      <c r="P404" s="17">
        <f t="shared" si="69"/>
        <v>0</v>
      </c>
    </row>
    <row r="405" spans="1:16" x14ac:dyDescent="0.3">
      <c r="A405" s="26" t="str">
        <v>C0404</v>
      </c>
      <c r="B405" s="26">
        <f>_xlfn.DAYS(DATE(2024,12,31),_xlfn.MAXIFS(ecommerce_transactions!$D$2:$D$9999, ecommerce_transactions!$B$2:$B$9999, A405))</f>
        <v>107</v>
      </c>
      <c r="C405" s="26">
        <f>COUNTIF(ecommerce_transactions!B:B,main_data!A405)</f>
        <v>2</v>
      </c>
      <c r="D405" s="35">
        <f>SUMIF(ecommerce_transactions!B:B,main_data!A405,ecommerce_transactions!E:E)</f>
        <v>255.65</v>
      </c>
      <c r="E405" s="28">
        <f t="shared" si="61"/>
        <v>1</v>
      </c>
      <c r="F405" s="28">
        <f t="shared" si="62"/>
        <v>1</v>
      </c>
      <c r="G405" s="26">
        <f t="shared" si="63"/>
        <v>1</v>
      </c>
      <c r="H405" s="18" t="str">
        <f t="shared" si="64"/>
        <v>111</v>
      </c>
      <c r="I405" s="26" t="str">
        <f t="shared" si="65"/>
        <v>About to Sleep</v>
      </c>
      <c r="J405" s="17">
        <f t="shared" si="66"/>
        <v>127.825</v>
      </c>
      <c r="K405" s="36">
        <f>_xlfn.MAXIFS(ecommerce_transactions!D:D,ecommerce_transactions!B:B,main_data!A405)</f>
        <v>45550</v>
      </c>
      <c r="L405" s="36">
        <f>_xlfn.MINIFS(ecommerce_transactions!D:D,ecommerce_transactions!B:B,main_data!A405)</f>
        <v>45332</v>
      </c>
      <c r="M405" s="19">
        <f t="shared" si="67"/>
        <v>0.59685147159479812</v>
      </c>
      <c r="N405" s="19">
        <f t="shared" si="60"/>
        <v>1.8234009360374415</v>
      </c>
      <c r="O405" s="17">
        <f t="shared" si="68"/>
        <v>139.11188767550703</v>
      </c>
      <c r="P405" s="17">
        <f t="shared" si="69"/>
        <v>41.733566302652108</v>
      </c>
    </row>
    <row r="406" spans="1:16" x14ac:dyDescent="0.3">
      <c r="A406" s="26" t="str">
        <v>C0405</v>
      </c>
      <c r="B406" s="26">
        <f>_xlfn.DAYS(DATE(2024,12,31),_xlfn.MAXIFS(ecommerce_transactions!$D$2:$D$9999, ecommerce_transactions!$B$2:$B$9999, A406))</f>
        <v>14</v>
      </c>
      <c r="C406" s="26">
        <f>COUNTIF(ecommerce_transactions!B:B,main_data!A406)</f>
        <v>15</v>
      </c>
      <c r="D406" s="35">
        <f>SUMIF(ecommerce_transactions!B:B,main_data!A406,ecommerce_transactions!E:E)</f>
        <v>3913.45</v>
      </c>
      <c r="E406" s="28">
        <f t="shared" si="61"/>
        <v>4</v>
      </c>
      <c r="F406" s="28">
        <f t="shared" si="62"/>
        <v>5</v>
      </c>
      <c r="G406" s="26">
        <f t="shared" si="63"/>
        <v>5</v>
      </c>
      <c r="H406" s="18" t="str">
        <f t="shared" si="64"/>
        <v>455</v>
      </c>
      <c r="I406" s="26" t="str">
        <f t="shared" si="65"/>
        <v>Champions</v>
      </c>
      <c r="J406" s="17">
        <f t="shared" si="66"/>
        <v>260.89666666666665</v>
      </c>
      <c r="K406" s="36">
        <f>_xlfn.MAXIFS(ecommerce_transactions!D:D,ecommerce_transactions!B:B,main_data!A406)</f>
        <v>45643</v>
      </c>
      <c r="L406" s="36">
        <f>_xlfn.MINIFS(ecommerce_transactions!D:D,ecommerce_transactions!B:B,main_data!A406)</f>
        <v>45515</v>
      </c>
      <c r="M406" s="19">
        <f t="shared" si="67"/>
        <v>0.35044490075290896</v>
      </c>
      <c r="N406" s="19">
        <f t="shared" si="60"/>
        <v>17.637826961770624</v>
      </c>
      <c r="O406" s="17">
        <f t="shared" si="68"/>
        <v>1612.6248692152917</v>
      </c>
      <c r="P406" s="17">
        <f t="shared" si="69"/>
        <v>483.78746076458748</v>
      </c>
    </row>
    <row r="407" spans="1:16" x14ac:dyDescent="0.3">
      <c r="A407" s="26" t="str">
        <v>C0406</v>
      </c>
      <c r="B407" s="26">
        <f>_xlfn.DAYS(DATE(2024,12,31),_xlfn.MAXIFS(ecommerce_transactions!$D$2:$D$9999, ecommerce_transactions!$B$2:$B$9999, A407))</f>
        <v>45</v>
      </c>
      <c r="C407" s="26">
        <f>COUNTIF(ecommerce_transactions!B:B,main_data!A407)</f>
        <v>13</v>
      </c>
      <c r="D407" s="35">
        <f>SUMIF(ecommerce_transactions!B:B,main_data!A407,ecommerce_transactions!E:E)</f>
        <v>3282.91</v>
      </c>
      <c r="E407" s="28">
        <f t="shared" si="61"/>
        <v>2</v>
      </c>
      <c r="F407" s="28">
        <f t="shared" si="62"/>
        <v>5</v>
      </c>
      <c r="G407" s="26">
        <f t="shared" si="63"/>
        <v>5</v>
      </c>
      <c r="H407" s="18" t="str">
        <f t="shared" si="64"/>
        <v>255</v>
      </c>
      <c r="I407" s="26" t="str">
        <f t="shared" si="65"/>
        <v>At Risk</v>
      </c>
      <c r="J407" s="17">
        <f t="shared" si="66"/>
        <v>252.53153846153845</v>
      </c>
      <c r="K407" s="36">
        <f>_xlfn.MAXIFS(ecommerce_transactions!D:D,ecommerce_transactions!B:B,main_data!A407)</f>
        <v>45612</v>
      </c>
      <c r="L407" s="36">
        <f>_xlfn.MINIFS(ecommerce_transactions!D:D,ecommerce_transactions!B:B,main_data!A407)</f>
        <v>45173</v>
      </c>
      <c r="M407" s="19">
        <f t="shared" si="67"/>
        <v>1.2019164955509924</v>
      </c>
      <c r="N407" s="19">
        <f t="shared" si="60"/>
        <v>7.638447617132516</v>
      </c>
      <c r="O407" s="17">
        <f t="shared" si="68"/>
        <v>2318.4355358938265</v>
      </c>
      <c r="P407" s="17">
        <f t="shared" si="69"/>
        <v>695.53066076814787</v>
      </c>
    </row>
    <row r="408" spans="1:16" x14ac:dyDescent="0.3">
      <c r="A408" s="26" t="str">
        <v>C0407</v>
      </c>
      <c r="B408" s="26">
        <f>_xlfn.DAYS(DATE(2024,12,31),_xlfn.MAXIFS(ecommerce_transactions!$D$2:$D$9999, ecommerce_transactions!$B$2:$B$9999, A408))</f>
        <v>7</v>
      </c>
      <c r="C408" s="26">
        <f>COUNTIF(ecommerce_transactions!B:B,main_data!A408)</f>
        <v>14</v>
      </c>
      <c r="D408" s="35">
        <f>SUMIF(ecommerce_transactions!B:B,main_data!A408,ecommerce_transactions!E:E)</f>
        <v>2964.4300000000003</v>
      </c>
      <c r="E408" s="28">
        <f t="shared" si="61"/>
        <v>5</v>
      </c>
      <c r="F408" s="28">
        <f t="shared" si="62"/>
        <v>5</v>
      </c>
      <c r="G408" s="26">
        <f t="shared" si="63"/>
        <v>4</v>
      </c>
      <c r="H408" s="18" t="str">
        <f t="shared" si="64"/>
        <v>554</v>
      </c>
      <c r="I408" s="26" t="str">
        <f t="shared" si="65"/>
        <v>Champions</v>
      </c>
      <c r="J408" s="17">
        <f t="shared" si="66"/>
        <v>211.74500000000003</v>
      </c>
      <c r="K408" s="36">
        <f>_xlfn.MAXIFS(ecommerce_transactions!D:D,ecommerce_transactions!B:B,main_data!A408)</f>
        <v>45650</v>
      </c>
      <c r="L408" s="36">
        <f>_xlfn.MINIFS(ecommerce_transactions!D:D,ecommerce_transactions!B:B,main_data!A408)</f>
        <v>45544</v>
      </c>
      <c r="M408" s="19">
        <f t="shared" si="67"/>
        <v>0.29021218343600275</v>
      </c>
      <c r="N408" s="19">
        <f t="shared" si="60"/>
        <v>17.716760502381984</v>
      </c>
      <c r="O408" s="17">
        <f t="shared" si="68"/>
        <v>1088.7122737115635</v>
      </c>
      <c r="P408" s="17">
        <f t="shared" si="69"/>
        <v>326.61368211346905</v>
      </c>
    </row>
    <row r="409" spans="1:16" x14ac:dyDescent="0.3">
      <c r="A409" s="26" t="str">
        <v>C0408</v>
      </c>
      <c r="B409" s="26">
        <f>_xlfn.DAYS(DATE(2024,12,31),_xlfn.MAXIFS(ecommerce_transactions!$D$2:$D$9999, ecommerce_transactions!$B$2:$B$9999, A409))</f>
        <v>2</v>
      </c>
      <c r="C409" s="26">
        <f>COUNTIF(ecommerce_transactions!B:B,main_data!A409)</f>
        <v>15</v>
      </c>
      <c r="D409" s="35">
        <f>SUMIF(ecommerce_transactions!B:B,main_data!A409,ecommerce_transactions!E:E)</f>
        <v>5083.6899999999996</v>
      </c>
      <c r="E409" s="28">
        <f t="shared" si="61"/>
        <v>5</v>
      </c>
      <c r="F409" s="28">
        <f t="shared" si="62"/>
        <v>5</v>
      </c>
      <c r="G409" s="26">
        <f t="shared" si="63"/>
        <v>5</v>
      </c>
      <c r="H409" s="18" t="str">
        <f t="shared" si="64"/>
        <v>555</v>
      </c>
      <c r="I409" s="26" t="str">
        <f t="shared" si="65"/>
        <v>Champions</v>
      </c>
      <c r="J409" s="17">
        <f t="shared" si="66"/>
        <v>338.91266666666667</v>
      </c>
      <c r="K409" s="36">
        <f>_xlfn.MAXIFS(ecommerce_transactions!D:D,ecommerce_transactions!B:B,main_data!A409)</f>
        <v>45655</v>
      </c>
      <c r="L409" s="36">
        <f>_xlfn.MINIFS(ecommerce_transactions!D:D,ecommerce_transactions!B:B,main_data!A409)</f>
        <v>45421</v>
      </c>
      <c r="M409" s="19">
        <f t="shared" si="67"/>
        <v>0.64065708418891165</v>
      </c>
      <c r="N409" s="19">
        <f t="shared" si="60"/>
        <v>13.150315031503151</v>
      </c>
      <c r="O409" s="17">
        <f t="shared" si="68"/>
        <v>2855.2858325832585</v>
      </c>
      <c r="P409" s="17">
        <f t="shared" si="69"/>
        <v>856.58574977497756</v>
      </c>
    </row>
    <row r="410" spans="1:16" x14ac:dyDescent="0.3">
      <c r="A410" s="26" t="str">
        <v>C0409</v>
      </c>
      <c r="B410" s="26">
        <f>_xlfn.DAYS(DATE(2024,12,31),_xlfn.MAXIFS(ecommerce_transactions!$D$2:$D$9999, ecommerce_transactions!$B$2:$B$9999, A410))</f>
        <v>2</v>
      </c>
      <c r="C410" s="26">
        <f>COUNTIF(ecommerce_transactions!B:B,main_data!A410)</f>
        <v>12</v>
      </c>
      <c r="D410" s="35">
        <f>SUMIF(ecommerce_transactions!B:B,main_data!A410,ecommerce_transactions!E:E)</f>
        <v>2836.0699999999997</v>
      </c>
      <c r="E410" s="28">
        <f t="shared" si="61"/>
        <v>5</v>
      </c>
      <c r="F410" s="28">
        <f t="shared" si="62"/>
        <v>5</v>
      </c>
      <c r="G410" s="26">
        <f t="shared" si="63"/>
        <v>4</v>
      </c>
      <c r="H410" s="18" t="str">
        <f t="shared" si="64"/>
        <v>554</v>
      </c>
      <c r="I410" s="26" t="str">
        <f t="shared" si="65"/>
        <v>Champions</v>
      </c>
      <c r="J410" s="17">
        <f t="shared" si="66"/>
        <v>236.33916666666664</v>
      </c>
      <c r="K410" s="36">
        <f>_xlfn.MAXIFS(ecommerce_transactions!D:D,ecommerce_transactions!B:B,main_data!A410)</f>
        <v>45655</v>
      </c>
      <c r="L410" s="36">
        <f>_xlfn.MINIFS(ecommerce_transactions!D:D,ecommerce_transactions!B:B,main_data!A410)</f>
        <v>45584</v>
      </c>
      <c r="M410" s="19">
        <f t="shared" si="67"/>
        <v>0.19438740588637921</v>
      </c>
      <c r="N410" s="19">
        <f t="shared" si="60"/>
        <v>17.281419418432723</v>
      </c>
      <c r="O410" s="17">
        <f t="shared" si="68"/>
        <v>793.93186791522908</v>
      </c>
      <c r="P410" s="17">
        <f t="shared" si="69"/>
        <v>238.17956037456872</v>
      </c>
    </row>
    <row r="411" spans="1:16" x14ac:dyDescent="0.3">
      <c r="A411" s="26" t="str">
        <v>C0410</v>
      </c>
      <c r="B411" s="26">
        <f>_xlfn.DAYS(DATE(2024,12,31),_xlfn.MAXIFS(ecommerce_transactions!$D$2:$D$9999, ecommerce_transactions!$B$2:$B$9999, A411))</f>
        <v>12</v>
      </c>
      <c r="C411" s="26">
        <f>COUNTIF(ecommerce_transactions!B:B,main_data!A411)</f>
        <v>4</v>
      </c>
      <c r="D411" s="35">
        <f>SUMIF(ecommerce_transactions!B:B,main_data!A411,ecommerce_transactions!E:E)</f>
        <v>1059.8499999999999</v>
      </c>
      <c r="E411" s="28">
        <f t="shared" si="61"/>
        <v>4</v>
      </c>
      <c r="F411" s="28">
        <f t="shared" si="62"/>
        <v>2</v>
      </c>
      <c r="G411" s="26">
        <f t="shared" si="63"/>
        <v>2</v>
      </c>
      <c r="H411" s="18" t="str">
        <f t="shared" si="64"/>
        <v>422</v>
      </c>
      <c r="I411" s="26" t="str">
        <f t="shared" si="65"/>
        <v>New Customers</v>
      </c>
      <c r="J411" s="17">
        <f t="shared" si="66"/>
        <v>264.96249999999998</v>
      </c>
      <c r="K411" s="36">
        <f>_xlfn.MAXIFS(ecommerce_transactions!D:D,ecommerce_transactions!B:B,main_data!A411)</f>
        <v>45645</v>
      </c>
      <c r="L411" s="36">
        <f>_xlfn.MINIFS(ecommerce_transactions!D:D,ecommerce_transactions!B:B,main_data!A411)</f>
        <v>45415</v>
      </c>
      <c r="M411" s="19">
        <f t="shared" si="67"/>
        <v>0.62970568104038327</v>
      </c>
      <c r="N411" s="19">
        <f t="shared" si="60"/>
        <v>3.5407452287185706</v>
      </c>
      <c r="O411" s="17">
        <f t="shared" si="68"/>
        <v>590.76764616782793</v>
      </c>
      <c r="P411" s="17">
        <f t="shared" si="69"/>
        <v>177.23029385034837</v>
      </c>
    </row>
    <row r="412" spans="1:16" x14ac:dyDescent="0.3">
      <c r="A412" s="26" t="str">
        <v>C0411</v>
      </c>
      <c r="B412" s="26">
        <f>_xlfn.DAYS(DATE(2024,12,31),_xlfn.MAXIFS(ecommerce_transactions!$D$2:$D$9999, ecommerce_transactions!$B$2:$B$9999, A412))</f>
        <v>3</v>
      </c>
      <c r="C412" s="26">
        <f>COUNTIF(ecommerce_transactions!B:B,main_data!A412)</f>
        <v>15</v>
      </c>
      <c r="D412" s="35">
        <f>SUMIF(ecommerce_transactions!B:B,main_data!A412,ecommerce_transactions!E:E)</f>
        <v>3803.8199999999997</v>
      </c>
      <c r="E412" s="28">
        <f t="shared" si="61"/>
        <v>5</v>
      </c>
      <c r="F412" s="28">
        <f t="shared" si="62"/>
        <v>5</v>
      </c>
      <c r="G412" s="26">
        <f t="shared" si="63"/>
        <v>5</v>
      </c>
      <c r="H412" s="18" t="str">
        <f t="shared" si="64"/>
        <v>555</v>
      </c>
      <c r="I412" s="26" t="str">
        <f t="shared" si="65"/>
        <v>Champions</v>
      </c>
      <c r="J412" s="17">
        <f t="shared" si="66"/>
        <v>253.58799999999999</v>
      </c>
      <c r="K412" s="36">
        <f>_xlfn.MAXIFS(ecommerce_transactions!D:D,ecommerce_transactions!B:B,main_data!A412)</f>
        <v>45654</v>
      </c>
      <c r="L412" s="36">
        <f>_xlfn.MINIFS(ecommerce_transactions!D:D,ecommerce_transactions!B:B,main_data!A412)</f>
        <v>45549</v>
      </c>
      <c r="M412" s="19">
        <f t="shared" si="67"/>
        <v>0.28747433264887062</v>
      </c>
      <c r="N412" s="19">
        <f t="shared" si="60"/>
        <v>19.04823989569752</v>
      </c>
      <c r="O412" s="17">
        <f t="shared" si="68"/>
        <v>1388.6174706649279</v>
      </c>
      <c r="P412" s="17">
        <f t="shared" si="69"/>
        <v>416.58524119947833</v>
      </c>
    </row>
    <row r="413" spans="1:16" x14ac:dyDescent="0.3">
      <c r="A413" s="26" t="str">
        <v>C0412</v>
      </c>
      <c r="B413" s="26">
        <f>_xlfn.DAYS(DATE(2024,12,31),_xlfn.MAXIFS(ecommerce_transactions!$D$2:$D$9999, ecommerce_transactions!$B$2:$B$9999, A413))</f>
        <v>5</v>
      </c>
      <c r="C413" s="26">
        <f>COUNTIF(ecommerce_transactions!B:B,main_data!A413)</f>
        <v>2</v>
      </c>
      <c r="D413" s="35">
        <f>SUMIF(ecommerce_transactions!B:B,main_data!A413,ecommerce_transactions!E:E)</f>
        <v>886.45</v>
      </c>
      <c r="E413" s="28">
        <f t="shared" si="61"/>
        <v>5</v>
      </c>
      <c r="F413" s="28">
        <f t="shared" si="62"/>
        <v>1</v>
      </c>
      <c r="G413" s="26">
        <f t="shared" si="63"/>
        <v>1</v>
      </c>
      <c r="H413" s="18" t="str">
        <f t="shared" si="64"/>
        <v>511</v>
      </c>
      <c r="I413" s="26" t="str">
        <f t="shared" si="65"/>
        <v>New Customers</v>
      </c>
      <c r="J413" s="17">
        <f t="shared" si="66"/>
        <v>443.22500000000002</v>
      </c>
      <c r="K413" s="36">
        <f>_xlfn.MAXIFS(ecommerce_transactions!D:D,ecommerce_transactions!B:B,main_data!A413)</f>
        <v>45652</v>
      </c>
      <c r="L413" s="36">
        <f>_xlfn.MINIFS(ecommerce_transactions!D:D,ecommerce_transactions!B:B,main_data!A413)</f>
        <v>45556</v>
      </c>
      <c r="M413" s="19">
        <f t="shared" si="67"/>
        <v>0.26283367556468173</v>
      </c>
      <c r="N413" s="19">
        <f t="shared" si="60"/>
        <v>2.6218034993270525</v>
      </c>
      <c r="O413" s="17">
        <f t="shared" si="68"/>
        <v>305.42557200538357</v>
      </c>
      <c r="P413" s="17">
        <f t="shared" si="69"/>
        <v>91.627671601615063</v>
      </c>
    </row>
    <row r="414" spans="1:16" x14ac:dyDescent="0.3">
      <c r="A414" s="26" t="str">
        <v>C0413</v>
      </c>
      <c r="B414" s="26">
        <f>_xlfn.DAYS(DATE(2024,12,31),_xlfn.MAXIFS(ecommerce_transactions!$D$2:$D$9999, ecommerce_transactions!$B$2:$B$9999, A414))</f>
        <v>88</v>
      </c>
      <c r="C414" s="26">
        <f>COUNTIF(ecommerce_transactions!B:B,main_data!A414)</f>
        <v>14</v>
      </c>
      <c r="D414" s="35">
        <f>SUMIF(ecommerce_transactions!B:B,main_data!A414,ecommerce_transactions!E:E)</f>
        <v>4649.5600000000004</v>
      </c>
      <c r="E414" s="28">
        <f t="shared" si="61"/>
        <v>2</v>
      </c>
      <c r="F414" s="28">
        <f t="shared" si="62"/>
        <v>5</v>
      </c>
      <c r="G414" s="26">
        <f t="shared" si="63"/>
        <v>5</v>
      </c>
      <c r="H414" s="18" t="str">
        <f t="shared" si="64"/>
        <v>255</v>
      </c>
      <c r="I414" s="26" t="str">
        <f t="shared" si="65"/>
        <v>At Risk</v>
      </c>
      <c r="J414" s="17">
        <f t="shared" si="66"/>
        <v>332.11142857142858</v>
      </c>
      <c r="K414" s="36">
        <f>_xlfn.MAXIFS(ecommerce_transactions!D:D,ecommerce_transactions!B:B,main_data!A414)</f>
        <v>45569</v>
      </c>
      <c r="L414" s="36">
        <f>_xlfn.MINIFS(ecommerce_transactions!D:D,ecommerce_transactions!B:B,main_data!A414)</f>
        <v>45217</v>
      </c>
      <c r="M414" s="19">
        <f t="shared" si="67"/>
        <v>0.96372347707049966</v>
      </c>
      <c r="N414" s="19">
        <f t="shared" si="60"/>
        <v>9.5646481178396066</v>
      </c>
      <c r="O414" s="17">
        <f t="shared" si="68"/>
        <v>3061.2955249006309</v>
      </c>
      <c r="P414" s="17">
        <f t="shared" si="69"/>
        <v>918.38865747018929</v>
      </c>
    </row>
    <row r="415" spans="1:16" x14ac:dyDescent="0.3">
      <c r="A415" s="26" t="str">
        <v>C0414</v>
      </c>
      <c r="B415" s="26">
        <f>_xlfn.DAYS(DATE(2024,12,31),_xlfn.MAXIFS(ecommerce_transactions!$D$2:$D$9999, ecommerce_transactions!$B$2:$B$9999, A415))</f>
        <v>88</v>
      </c>
      <c r="C415" s="26">
        <f>COUNTIF(ecommerce_transactions!B:B,main_data!A415)</f>
        <v>1</v>
      </c>
      <c r="D415" s="35">
        <f>SUMIF(ecommerce_transactions!B:B,main_data!A415,ecommerce_transactions!E:E)</f>
        <v>121.45</v>
      </c>
      <c r="E415" s="28">
        <f t="shared" si="61"/>
        <v>2</v>
      </c>
      <c r="F415" s="28">
        <f t="shared" si="62"/>
        <v>1</v>
      </c>
      <c r="G415" s="26">
        <f t="shared" si="63"/>
        <v>1</v>
      </c>
      <c r="H415" s="18" t="str">
        <f t="shared" si="64"/>
        <v>211</v>
      </c>
      <c r="I415" s="26" t="str">
        <f t="shared" si="65"/>
        <v>About to Sleep</v>
      </c>
      <c r="J415" s="17">
        <f t="shared" si="66"/>
        <v>121.45</v>
      </c>
      <c r="K415" s="36">
        <f>_xlfn.MAXIFS(ecommerce_transactions!D:D,ecommerce_transactions!B:B,main_data!A415)</f>
        <v>45569</v>
      </c>
      <c r="L415" s="36">
        <f>_xlfn.MINIFS(ecommerce_transactions!D:D,ecommerce_transactions!B:B,main_data!A415)</f>
        <v>45569</v>
      </c>
      <c r="M415" s="19">
        <f t="shared" si="67"/>
        <v>0</v>
      </c>
      <c r="N415" s="19">
        <f t="shared" si="60"/>
        <v>2</v>
      </c>
      <c r="O415" s="17">
        <f t="shared" si="68"/>
        <v>0</v>
      </c>
      <c r="P415" s="17">
        <f t="shared" si="69"/>
        <v>0</v>
      </c>
    </row>
    <row r="416" spans="1:16" x14ac:dyDescent="0.3">
      <c r="A416" s="26" t="str">
        <v>C0415</v>
      </c>
      <c r="B416" s="26">
        <f>_xlfn.DAYS(DATE(2024,12,31),_xlfn.MAXIFS(ecommerce_transactions!$D$2:$D$9999, ecommerce_transactions!$B$2:$B$9999, A416))</f>
        <v>89</v>
      </c>
      <c r="C416" s="26">
        <f>COUNTIF(ecommerce_transactions!B:B,main_data!A416)</f>
        <v>7</v>
      </c>
      <c r="D416" s="35">
        <f>SUMIF(ecommerce_transactions!B:B,main_data!A416,ecommerce_transactions!E:E)</f>
        <v>1728.1</v>
      </c>
      <c r="E416" s="28">
        <f t="shared" si="61"/>
        <v>2</v>
      </c>
      <c r="F416" s="28">
        <f t="shared" si="62"/>
        <v>3</v>
      </c>
      <c r="G416" s="26">
        <f t="shared" si="63"/>
        <v>3</v>
      </c>
      <c r="H416" s="18" t="str">
        <f t="shared" si="64"/>
        <v>233</v>
      </c>
      <c r="I416" s="26" t="str">
        <f t="shared" si="65"/>
        <v>At Risk</v>
      </c>
      <c r="J416" s="17">
        <f t="shared" si="66"/>
        <v>246.87142857142857</v>
      </c>
      <c r="K416" s="36">
        <f>_xlfn.MAXIFS(ecommerce_transactions!D:D,ecommerce_transactions!B:B,main_data!A416)</f>
        <v>45568</v>
      </c>
      <c r="L416" s="36">
        <f>_xlfn.MINIFS(ecommerce_transactions!D:D,ecommerce_transactions!B:B,main_data!A416)</f>
        <v>45203</v>
      </c>
      <c r="M416" s="19">
        <f t="shared" si="67"/>
        <v>0.99931553730321698</v>
      </c>
      <c r="N416" s="19">
        <f t="shared" si="60"/>
        <v>4.6687970782926271</v>
      </c>
      <c r="O416" s="17">
        <f t="shared" si="68"/>
        <v>1151.8036977858937</v>
      </c>
      <c r="P416" s="17">
        <f t="shared" si="69"/>
        <v>345.54110933576811</v>
      </c>
    </row>
    <row r="417" spans="1:16" x14ac:dyDescent="0.3">
      <c r="A417" s="26" t="str">
        <v>C0416</v>
      </c>
      <c r="B417" s="26">
        <f>_xlfn.DAYS(DATE(2024,12,31),_xlfn.MAXIFS(ecommerce_transactions!$D$2:$D$9999, ecommerce_transactions!$B$2:$B$9999, A417))</f>
        <v>124</v>
      </c>
      <c r="C417" s="26">
        <f>COUNTIF(ecommerce_transactions!B:B,main_data!A417)</f>
        <v>8</v>
      </c>
      <c r="D417" s="35">
        <f>SUMIF(ecommerce_transactions!B:B,main_data!A417,ecommerce_transactions!E:E)</f>
        <v>1830.35</v>
      </c>
      <c r="E417" s="28">
        <f t="shared" si="61"/>
        <v>1</v>
      </c>
      <c r="F417" s="28">
        <f t="shared" si="62"/>
        <v>3</v>
      </c>
      <c r="G417" s="26">
        <f t="shared" si="63"/>
        <v>3</v>
      </c>
      <c r="H417" s="18" t="str">
        <f t="shared" si="64"/>
        <v>133</v>
      </c>
      <c r="I417" s="26" t="str">
        <f t="shared" si="65"/>
        <v>At Risk</v>
      </c>
      <c r="J417" s="17">
        <f t="shared" si="66"/>
        <v>228.79374999999999</v>
      </c>
      <c r="K417" s="36">
        <f>_xlfn.MAXIFS(ecommerce_transactions!D:D,ecommerce_transactions!B:B,main_data!A417)</f>
        <v>45533</v>
      </c>
      <c r="L417" s="36">
        <f>_xlfn.MINIFS(ecommerce_transactions!D:D,ecommerce_transactions!B:B,main_data!A417)</f>
        <v>45055</v>
      </c>
      <c r="M417" s="19">
        <f t="shared" si="67"/>
        <v>1.3086926762491444</v>
      </c>
      <c r="N417" s="19">
        <f t="shared" si="60"/>
        <v>4.4230842005676445</v>
      </c>
      <c r="O417" s="17">
        <f t="shared" si="68"/>
        <v>1324.3629895931883</v>
      </c>
      <c r="P417" s="17">
        <f t="shared" si="69"/>
        <v>397.3088968779565</v>
      </c>
    </row>
    <row r="418" spans="1:16" x14ac:dyDescent="0.3">
      <c r="A418" s="26" t="str">
        <v>C0417</v>
      </c>
      <c r="B418" s="26">
        <f>_xlfn.DAYS(DATE(2024,12,31),_xlfn.MAXIFS(ecommerce_transactions!$D$2:$D$9999, ecommerce_transactions!$B$2:$B$9999, A418))</f>
        <v>37</v>
      </c>
      <c r="C418" s="26">
        <f>COUNTIF(ecommerce_transactions!B:B,main_data!A418)</f>
        <v>12</v>
      </c>
      <c r="D418" s="35">
        <f>SUMIF(ecommerce_transactions!B:B,main_data!A418,ecommerce_transactions!E:E)</f>
        <v>3931</v>
      </c>
      <c r="E418" s="28">
        <f t="shared" si="61"/>
        <v>3</v>
      </c>
      <c r="F418" s="28">
        <f t="shared" si="62"/>
        <v>5</v>
      </c>
      <c r="G418" s="26">
        <f t="shared" si="63"/>
        <v>5</v>
      </c>
      <c r="H418" s="18" t="str">
        <f t="shared" si="64"/>
        <v>355</v>
      </c>
      <c r="I418" s="26" t="str">
        <f t="shared" si="65"/>
        <v>Loyal Customers</v>
      </c>
      <c r="J418" s="17">
        <f t="shared" si="66"/>
        <v>327.58333333333331</v>
      </c>
      <c r="K418" s="36">
        <f>_xlfn.MAXIFS(ecommerce_transactions!D:D,ecommerce_transactions!B:B,main_data!A418)</f>
        <v>45620</v>
      </c>
      <c r="L418" s="36">
        <f>_xlfn.MINIFS(ecommerce_transactions!D:D,ecommerce_transactions!B:B,main_data!A418)</f>
        <v>44947</v>
      </c>
      <c r="M418" s="19">
        <f t="shared" si="67"/>
        <v>1.8425735797399041</v>
      </c>
      <c r="N418" s="19">
        <f t="shared" si="60"/>
        <v>5.1225712198685178</v>
      </c>
      <c r="O418" s="17">
        <f t="shared" si="68"/>
        <v>3091.9655222790357</v>
      </c>
      <c r="P418" s="17">
        <f t="shared" si="69"/>
        <v>927.5896566837107</v>
      </c>
    </row>
    <row r="419" spans="1:16" x14ac:dyDescent="0.3">
      <c r="A419" s="26" t="str">
        <v>C0418</v>
      </c>
      <c r="B419" s="26">
        <f>_xlfn.DAYS(DATE(2024,12,31),_xlfn.MAXIFS(ecommerce_transactions!$D$2:$D$9999, ecommerce_transactions!$B$2:$B$9999, A419))</f>
        <v>65</v>
      </c>
      <c r="C419" s="26">
        <f>COUNTIF(ecommerce_transactions!B:B,main_data!A419)</f>
        <v>10</v>
      </c>
      <c r="D419" s="35">
        <f>SUMIF(ecommerce_transactions!B:B,main_data!A419,ecommerce_transactions!E:E)</f>
        <v>2766.0999999999995</v>
      </c>
      <c r="E419" s="28">
        <f t="shared" si="61"/>
        <v>2</v>
      </c>
      <c r="F419" s="28">
        <f t="shared" si="62"/>
        <v>4</v>
      </c>
      <c r="G419" s="26">
        <f t="shared" si="63"/>
        <v>4</v>
      </c>
      <c r="H419" s="18" t="str">
        <f t="shared" si="64"/>
        <v>244</v>
      </c>
      <c r="I419" s="26" t="str">
        <f t="shared" si="65"/>
        <v>At Risk</v>
      </c>
      <c r="J419" s="17">
        <f t="shared" si="66"/>
        <v>276.60999999999996</v>
      </c>
      <c r="K419" s="36">
        <f>_xlfn.MAXIFS(ecommerce_transactions!D:D,ecommerce_transactions!B:B,main_data!A419)</f>
        <v>45592</v>
      </c>
      <c r="L419" s="36">
        <f>_xlfn.MINIFS(ecommerce_transactions!D:D,ecommerce_transactions!B:B,main_data!A419)</f>
        <v>45304</v>
      </c>
      <c r="M419" s="19">
        <f t="shared" si="67"/>
        <v>0.7885010266940452</v>
      </c>
      <c r="N419" s="19">
        <f t="shared" si="60"/>
        <v>7.7609561752988041</v>
      </c>
      <c r="O419" s="17">
        <f t="shared" si="68"/>
        <v>1692.7209561752984</v>
      </c>
      <c r="P419" s="17">
        <f t="shared" si="69"/>
        <v>507.81628685258949</v>
      </c>
    </row>
    <row r="420" spans="1:16" x14ac:dyDescent="0.3">
      <c r="A420" s="26" t="str">
        <v>C0419</v>
      </c>
      <c r="B420" s="26">
        <f>_xlfn.DAYS(DATE(2024,12,31),_xlfn.MAXIFS(ecommerce_transactions!$D$2:$D$9999, ecommerce_transactions!$B$2:$B$9999, A420))</f>
        <v>42</v>
      </c>
      <c r="C420" s="26">
        <f>COUNTIF(ecommerce_transactions!B:B,main_data!A420)</f>
        <v>4</v>
      </c>
      <c r="D420" s="35">
        <f>SUMIF(ecommerce_transactions!B:B,main_data!A420,ecommerce_transactions!E:E)</f>
        <v>741.21</v>
      </c>
      <c r="E420" s="28">
        <f t="shared" si="61"/>
        <v>3</v>
      </c>
      <c r="F420" s="28">
        <f t="shared" si="62"/>
        <v>2</v>
      </c>
      <c r="G420" s="26">
        <f t="shared" si="63"/>
        <v>1</v>
      </c>
      <c r="H420" s="18" t="str">
        <f t="shared" si="64"/>
        <v>321</v>
      </c>
      <c r="I420" s="26" t="str">
        <f t="shared" si="65"/>
        <v>Lost</v>
      </c>
      <c r="J420" s="17">
        <f t="shared" si="66"/>
        <v>185.30250000000001</v>
      </c>
      <c r="K420" s="36">
        <f>_xlfn.MAXIFS(ecommerce_transactions!D:D,ecommerce_transactions!B:B,main_data!A420)</f>
        <v>45615</v>
      </c>
      <c r="L420" s="36">
        <f>_xlfn.MINIFS(ecommerce_transactions!D:D,ecommerce_transactions!B:B,main_data!A420)</f>
        <v>45071</v>
      </c>
      <c r="M420" s="19">
        <f t="shared" si="67"/>
        <v>1.4893908281998631</v>
      </c>
      <c r="N420" s="19">
        <f t="shared" si="60"/>
        <v>2.0106657491828659</v>
      </c>
      <c r="O420" s="17">
        <f t="shared" si="68"/>
        <v>554.91930500602098</v>
      </c>
      <c r="P420" s="17">
        <f t="shared" si="69"/>
        <v>166.4757915018063</v>
      </c>
    </row>
    <row r="421" spans="1:16" x14ac:dyDescent="0.3">
      <c r="A421" s="26" t="str">
        <v>C0420</v>
      </c>
      <c r="B421" s="26">
        <f>_xlfn.DAYS(DATE(2024,12,31),_xlfn.MAXIFS(ecommerce_transactions!$D$2:$D$9999, ecommerce_transactions!$B$2:$B$9999, A421))</f>
        <v>64</v>
      </c>
      <c r="C421" s="26">
        <f>COUNTIF(ecommerce_transactions!B:B,main_data!A421)</f>
        <v>5</v>
      </c>
      <c r="D421" s="35">
        <f>SUMIF(ecommerce_transactions!B:B,main_data!A421,ecommerce_transactions!E:E)</f>
        <v>1744.8900000000003</v>
      </c>
      <c r="E421" s="28">
        <f t="shared" si="61"/>
        <v>2</v>
      </c>
      <c r="F421" s="28">
        <f t="shared" si="62"/>
        <v>2</v>
      </c>
      <c r="G421" s="26">
        <f t="shared" si="63"/>
        <v>3</v>
      </c>
      <c r="H421" s="18" t="str">
        <f t="shared" si="64"/>
        <v>223</v>
      </c>
      <c r="I421" s="26" t="str">
        <f t="shared" si="65"/>
        <v>About to Sleep</v>
      </c>
      <c r="J421" s="17">
        <f t="shared" si="66"/>
        <v>348.97800000000007</v>
      </c>
      <c r="K421" s="36">
        <f>_xlfn.MAXIFS(ecommerce_transactions!D:D,ecommerce_transactions!B:B,main_data!A421)</f>
        <v>45593</v>
      </c>
      <c r="L421" s="36">
        <f>_xlfn.MINIFS(ecommerce_transactions!D:D,ecommerce_transactions!B:B,main_data!A421)</f>
        <v>45387</v>
      </c>
      <c r="M421" s="19">
        <f t="shared" si="67"/>
        <v>0.56399726214921286</v>
      </c>
      <c r="N421" s="19">
        <f t="shared" si="60"/>
        <v>4.6992602122869087</v>
      </c>
      <c r="O421" s="17">
        <f t="shared" si="68"/>
        <v>924.92078481826957</v>
      </c>
      <c r="P421" s="17">
        <f t="shared" si="69"/>
        <v>277.47623544548088</v>
      </c>
    </row>
    <row r="422" spans="1:16" x14ac:dyDescent="0.3">
      <c r="A422" s="26" t="str">
        <v>C0421</v>
      </c>
      <c r="B422" s="26">
        <f>_xlfn.DAYS(DATE(2024,12,31),_xlfn.MAXIFS(ecommerce_transactions!$D$2:$D$9999, ecommerce_transactions!$B$2:$B$9999, A422))</f>
        <v>4</v>
      </c>
      <c r="C422" s="26">
        <f>COUNTIF(ecommerce_transactions!B:B,main_data!A422)</f>
        <v>11</v>
      </c>
      <c r="D422" s="35">
        <f>SUMIF(ecommerce_transactions!B:B,main_data!A422,ecommerce_transactions!E:E)</f>
        <v>2773.0599999999995</v>
      </c>
      <c r="E422" s="28">
        <f t="shared" si="61"/>
        <v>5</v>
      </c>
      <c r="F422" s="28">
        <f t="shared" si="62"/>
        <v>4</v>
      </c>
      <c r="G422" s="26">
        <f t="shared" si="63"/>
        <v>4</v>
      </c>
      <c r="H422" s="18" t="str">
        <f t="shared" si="64"/>
        <v>544</v>
      </c>
      <c r="I422" s="26" t="str">
        <f t="shared" si="65"/>
        <v>Champions</v>
      </c>
      <c r="J422" s="17">
        <f t="shared" si="66"/>
        <v>252.09636363636358</v>
      </c>
      <c r="K422" s="36">
        <f>_xlfn.MAXIFS(ecommerce_transactions!D:D,ecommerce_transactions!B:B,main_data!A422)</f>
        <v>45653</v>
      </c>
      <c r="L422" s="36">
        <f>_xlfn.MINIFS(ecommerce_transactions!D:D,ecommerce_transactions!B:B,main_data!A422)</f>
        <v>45387</v>
      </c>
      <c r="M422" s="19">
        <f t="shared" si="67"/>
        <v>0.72826830937713893</v>
      </c>
      <c r="N422" s="19">
        <f t="shared" si="60"/>
        <v>8.9556979660072447</v>
      </c>
      <c r="O422" s="17">
        <f t="shared" si="68"/>
        <v>1644.2105544719973</v>
      </c>
      <c r="P422" s="17">
        <f t="shared" si="69"/>
        <v>493.26316634159917</v>
      </c>
    </row>
    <row r="423" spans="1:16" x14ac:dyDescent="0.3">
      <c r="A423" s="26" t="str">
        <v>C0422</v>
      </c>
      <c r="B423" s="26">
        <f>_xlfn.DAYS(DATE(2024,12,31),_xlfn.MAXIFS(ecommerce_transactions!$D$2:$D$9999, ecommerce_transactions!$B$2:$B$9999, A423))</f>
        <v>1</v>
      </c>
      <c r="C423" s="26">
        <f>COUNTIF(ecommerce_transactions!B:B,main_data!A423)</f>
        <v>14</v>
      </c>
      <c r="D423" s="35">
        <f>SUMIF(ecommerce_transactions!B:B,main_data!A423,ecommerce_transactions!E:E)</f>
        <v>3713.1099999999997</v>
      </c>
      <c r="E423" s="28">
        <f t="shared" si="61"/>
        <v>5</v>
      </c>
      <c r="F423" s="28">
        <f t="shared" si="62"/>
        <v>5</v>
      </c>
      <c r="G423" s="26">
        <f t="shared" si="63"/>
        <v>5</v>
      </c>
      <c r="H423" s="18" t="str">
        <f t="shared" si="64"/>
        <v>555</v>
      </c>
      <c r="I423" s="26" t="str">
        <f t="shared" si="65"/>
        <v>Champions</v>
      </c>
      <c r="J423" s="17">
        <f t="shared" si="66"/>
        <v>265.22214285714284</v>
      </c>
      <c r="K423" s="36">
        <f>_xlfn.MAXIFS(ecommerce_transactions!D:D,ecommerce_transactions!B:B,main_data!A423)</f>
        <v>45656</v>
      </c>
      <c r="L423" s="36">
        <f>_xlfn.MINIFS(ecommerce_transactions!D:D,ecommerce_transactions!B:B,main_data!A423)</f>
        <v>45618</v>
      </c>
      <c r="M423" s="19">
        <f t="shared" si="67"/>
        <v>0.10403832991101986</v>
      </c>
      <c r="N423" s="19">
        <f t="shared" si="60"/>
        <v>23.177337110481584</v>
      </c>
      <c r="O423" s="17">
        <f t="shared" si="68"/>
        <v>639.53849291784695</v>
      </c>
      <c r="P423" s="17">
        <f t="shared" si="69"/>
        <v>191.86154787535409</v>
      </c>
    </row>
    <row r="424" spans="1:16" x14ac:dyDescent="0.3">
      <c r="A424" s="26" t="str">
        <v>C0423</v>
      </c>
      <c r="B424" s="26">
        <f>_xlfn.DAYS(DATE(2024,12,31),_xlfn.MAXIFS(ecommerce_transactions!$D$2:$D$9999, ecommerce_transactions!$B$2:$B$9999, A424))</f>
        <v>1</v>
      </c>
      <c r="C424" s="26">
        <f>COUNTIF(ecommerce_transactions!B:B,main_data!A424)</f>
        <v>12</v>
      </c>
      <c r="D424" s="35">
        <f>SUMIF(ecommerce_transactions!B:B,main_data!A424,ecommerce_transactions!E:E)</f>
        <v>3120.99</v>
      </c>
      <c r="E424" s="28">
        <f t="shared" si="61"/>
        <v>5</v>
      </c>
      <c r="F424" s="28">
        <f t="shared" si="62"/>
        <v>5</v>
      </c>
      <c r="G424" s="26">
        <f t="shared" si="63"/>
        <v>4</v>
      </c>
      <c r="H424" s="18" t="str">
        <f t="shared" si="64"/>
        <v>554</v>
      </c>
      <c r="I424" s="26" t="str">
        <f t="shared" si="65"/>
        <v>Champions</v>
      </c>
      <c r="J424" s="17">
        <f t="shared" si="66"/>
        <v>260.08249999999998</v>
      </c>
      <c r="K424" s="36">
        <f>_xlfn.MAXIFS(ecommerce_transactions!D:D,ecommerce_transactions!B:B,main_data!A424)</f>
        <v>45656</v>
      </c>
      <c r="L424" s="36">
        <f>_xlfn.MINIFS(ecommerce_transactions!D:D,ecommerce_transactions!B:B,main_data!A424)</f>
        <v>45119</v>
      </c>
      <c r="M424" s="19">
        <f t="shared" si="67"/>
        <v>1.4702258726899384</v>
      </c>
      <c r="N424" s="19">
        <f t="shared" si="60"/>
        <v>6.090672225117248</v>
      </c>
      <c r="O424" s="17">
        <f t="shared" si="68"/>
        <v>2328.9513705054715</v>
      </c>
      <c r="P424" s="17">
        <f t="shared" si="69"/>
        <v>698.68541115164146</v>
      </c>
    </row>
    <row r="425" spans="1:16" x14ac:dyDescent="0.3">
      <c r="A425" s="26" t="str">
        <v>C0424</v>
      </c>
      <c r="B425" s="26">
        <f>_xlfn.DAYS(DATE(2024,12,31),_xlfn.MAXIFS(ecommerce_transactions!$D$2:$D$9999, ecommerce_transactions!$B$2:$B$9999, A425))</f>
        <v>32</v>
      </c>
      <c r="C425" s="26">
        <f>COUNTIF(ecommerce_transactions!B:B,main_data!A425)</f>
        <v>4</v>
      </c>
      <c r="D425" s="35">
        <f>SUMIF(ecommerce_transactions!B:B,main_data!A425,ecommerce_transactions!E:E)</f>
        <v>1255.73</v>
      </c>
      <c r="E425" s="28">
        <f t="shared" si="61"/>
        <v>3</v>
      </c>
      <c r="F425" s="28">
        <f t="shared" si="62"/>
        <v>2</v>
      </c>
      <c r="G425" s="26">
        <f t="shared" si="63"/>
        <v>2</v>
      </c>
      <c r="H425" s="18" t="str">
        <f t="shared" si="64"/>
        <v>322</v>
      </c>
      <c r="I425" s="26" t="str">
        <f t="shared" si="65"/>
        <v>Lost</v>
      </c>
      <c r="J425" s="17">
        <f t="shared" si="66"/>
        <v>313.9325</v>
      </c>
      <c r="K425" s="36">
        <f>_xlfn.MAXIFS(ecommerce_transactions!D:D,ecommerce_transactions!B:B,main_data!A425)</f>
        <v>45625</v>
      </c>
      <c r="L425" s="36">
        <f>_xlfn.MINIFS(ecommerce_transactions!D:D,ecommerce_transactions!B:B,main_data!A425)</f>
        <v>45518</v>
      </c>
      <c r="M425" s="19">
        <f t="shared" si="67"/>
        <v>0.29295003422313481</v>
      </c>
      <c r="N425" s="19">
        <f t="shared" si="60"/>
        <v>5.0444540353905918</v>
      </c>
      <c r="O425" s="17">
        <f t="shared" si="68"/>
        <v>463.92096676737162</v>
      </c>
      <c r="P425" s="17">
        <f t="shared" si="69"/>
        <v>139.17629003021148</v>
      </c>
    </row>
    <row r="426" spans="1:16" x14ac:dyDescent="0.3">
      <c r="A426" s="26" t="str">
        <v>C0425</v>
      </c>
      <c r="B426" s="26">
        <f>_xlfn.DAYS(DATE(2024,12,31),_xlfn.MAXIFS(ecommerce_transactions!$D$2:$D$9999, ecommerce_transactions!$B$2:$B$9999, A426))</f>
        <v>56</v>
      </c>
      <c r="C426" s="26">
        <f>COUNTIF(ecommerce_transactions!B:B,main_data!A426)</f>
        <v>4</v>
      </c>
      <c r="D426" s="35">
        <f>SUMIF(ecommerce_transactions!B:B,main_data!A426,ecommerce_transactions!E:E)</f>
        <v>1145.1500000000001</v>
      </c>
      <c r="E426" s="28">
        <f t="shared" si="61"/>
        <v>2</v>
      </c>
      <c r="F426" s="28">
        <f t="shared" si="62"/>
        <v>2</v>
      </c>
      <c r="G426" s="26">
        <f t="shared" si="63"/>
        <v>2</v>
      </c>
      <c r="H426" s="18" t="str">
        <f t="shared" si="64"/>
        <v>222</v>
      </c>
      <c r="I426" s="26" t="str">
        <f t="shared" si="65"/>
        <v>About to Sleep</v>
      </c>
      <c r="J426" s="17">
        <f t="shared" si="66"/>
        <v>286.28750000000002</v>
      </c>
      <c r="K426" s="36">
        <f>_xlfn.MAXIFS(ecommerce_transactions!D:D,ecommerce_transactions!B:B,main_data!A426)</f>
        <v>45601</v>
      </c>
      <c r="L426" s="36">
        <f>_xlfn.MINIFS(ecommerce_transactions!D:D,ecommerce_transactions!B:B,main_data!A426)</f>
        <v>45143</v>
      </c>
      <c r="M426" s="19">
        <f t="shared" si="67"/>
        <v>1.2539356605065024</v>
      </c>
      <c r="N426" s="19">
        <f t="shared" si="60"/>
        <v>2.2805853658536583</v>
      </c>
      <c r="O426" s="17">
        <f t="shared" si="68"/>
        <v>818.69845853658535</v>
      </c>
      <c r="P426" s="17">
        <f t="shared" si="69"/>
        <v>245.60953756097558</v>
      </c>
    </row>
    <row r="427" spans="1:16" x14ac:dyDescent="0.3">
      <c r="A427" s="26" t="str">
        <v>C0426</v>
      </c>
      <c r="B427" s="26">
        <f>_xlfn.DAYS(DATE(2024,12,31),_xlfn.MAXIFS(ecommerce_transactions!$D$2:$D$9999, ecommerce_transactions!$B$2:$B$9999, A427))</f>
        <v>57</v>
      </c>
      <c r="C427" s="26">
        <f>COUNTIF(ecommerce_transactions!B:B,main_data!A427)</f>
        <v>13</v>
      </c>
      <c r="D427" s="35">
        <f>SUMIF(ecommerce_transactions!B:B,main_data!A427,ecommerce_transactions!E:E)</f>
        <v>3891.36</v>
      </c>
      <c r="E427" s="28">
        <f t="shared" si="61"/>
        <v>2</v>
      </c>
      <c r="F427" s="28">
        <f t="shared" si="62"/>
        <v>5</v>
      </c>
      <c r="G427" s="26">
        <f t="shared" si="63"/>
        <v>5</v>
      </c>
      <c r="H427" s="18" t="str">
        <f t="shared" si="64"/>
        <v>255</v>
      </c>
      <c r="I427" s="26" t="str">
        <f t="shared" si="65"/>
        <v>At Risk</v>
      </c>
      <c r="J427" s="17">
        <f t="shared" si="66"/>
        <v>299.33538461538461</v>
      </c>
      <c r="K427" s="36">
        <f>_xlfn.MAXIFS(ecommerce_transactions!D:D,ecommerce_transactions!B:B,main_data!A427)</f>
        <v>45600</v>
      </c>
      <c r="L427" s="36">
        <f>_xlfn.MINIFS(ecommerce_transactions!D:D,ecommerce_transactions!B:B,main_data!A427)</f>
        <v>44944</v>
      </c>
      <c r="M427" s="19">
        <f t="shared" si="67"/>
        <v>1.7960301163586585</v>
      </c>
      <c r="N427" s="19">
        <f t="shared" si="60"/>
        <v>5.6619466388433439</v>
      </c>
      <c r="O427" s="17">
        <f t="shared" si="68"/>
        <v>3043.9495125950211</v>
      </c>
      <c r="P427" s="17">
        <f t="shared" si="69"/>
        <v>913.18485377850629</v>
      </c>
    </row>
    <row r="428" spans="1:16" x14ac:dyDescent="0.3">
      <c r="A428" s="26" t="str">
        <v>C0427</v>
      </c>
      <c r="B428" s="26">
        <f>_xlfn.DAYS(DATE(2024,12,31),_xlfn.MAXIFS(ecommerce_transactions!$D$2:$D$9999, ecommerce_transactions!$B$2:$B$9999, A428))</f>
        <v>355</v>
      </c>
      <c r="C428" s="26">
        <f>COUNTIF(ecommerce_transactions!B:B,main_data!A428)</f>
        <v>1</v>
      </c>
      <c r="D428" s="35">
        <f>SUMIF(ecommerce_transactions!B:B,main_data!A428,ecommerce_transactions!E:E)</f>
        <v>53.33</v>
      </c>
      <c r="E428" s="28">
        <f t="shared" si="61"/>
        <v>1</v>
      </c>
      <c r="F428" s="28">
        <f t="shared" si="62"/>
        <v>1</v>
      </c>
      <c r="G428" s="26">
        <f t="shared" si="63"/>
        <v>1</v>
      </c>
      <c r="H428" s="18" t="str">
        <f t="shared" si="64"/>
        <v>111</v>
      </c>
      <c r="I428" s="26" t="str">
        <f t="shared" si="65"/>
        <v>About to Sleep</v>
      </c>
      <c r="J428" s="17">
        <f t="shared" si="66"/>
        <v>53.33</v>
      </c>
      <c r="K428" s="36">
        <f>_xlfn.MAXIFS(ecommerce_transactions!D:D,ecommerce_transactions!B:B,main_data!A428)</f>
        <v>45302</v>
      </c>
      <c r="L428" s="36">
        <f>_xlfn.MINIFS(ecommerce_transactions!D:D,ecommerce_transactions!B:B,main_data!A428)</f>
        <v>45302</v>
      </c>
      <c r="M428" s="19">
        <f t="shared" si="67"/>
        <v>0</v>
      </c>
      <c r="N428" s="19">
        <f t="shared" si="60"/>
        <v>2</v>
      </c>
      <c r="O428" s="17">
        <f t="shared" si="68"/>
        <v>0</v>
      </c>
      <c r="P428" s="17">
        <f t="shared" si="69"/>
        <v>0</v>
      </c>
    </row>
    <row r="429" spans="1:16" x14ac:dyDescent="0.3">
      <c r="A429" s="26" t="str">
        <v>C0428</v>
      </c>
      <c r="B429" s="26">
        <f>_xlfn.DAYS(DATE(2024,12,31),_xlfn.MAXIFS(ecommerce_transactions!$D$2:$D$9999, ecommerce_transactions!$B$2:$B$9999, A429))</f>
        <v>2</v>
      </c>
      <c r="C429" s="26">
        <f>COUNTIF(ecommerce_transactions!B:B,main_data!A429)</f>
        <v>5</v>
      </c>
      <c r="D429" s="35">
        <f>SUMIF(ecommerce_transactions!B:B,main_data!A429,ecommerce_transactions!E:E)</f>
        <v>1159.06</v>
      </c>
      <c r="E429" s="28">
        <f t="shared" si="61"/>
        <v>5</v>
      </c>
      <c r="F429" s="28">
        <f t="shared" si="62"/>
        <v>2</v>
      </c>
      <c r="G429" s="26">
        <f t="shared" si="63"/>
        <v>2</v>
      </c>
      <c r="H429" s="18" t="str">
        <f t="shared" si="64"/>
        <v>522</v>
      </c>
      <c r="I429" s="26" t="str">
        <f t="shared" si="65"/>
        <v>New Customers</v>
      </c>
      <c r="J429" s="17">
        <f t="shared" si="66"/>
        <v>231.81199999999998</v>
      </c>
      <c r="K429" s="36">
        <f>_xlfn.MAXIFS(ecommerce_transactions!D:D,ecommerce_transactions!B:B,main_data!A429)</f>
        <v>45655</v>
      </c>
      <c r="L429" s="36">
        <f>_xlfn.MINIFS(ecommerce_transactions!D:D,ecommerce_transactions!B:B,main_data!A429)</f>
        <v>45603</v>
      </c>
      <c r="M429" s="19">
        <f t="shared" si="67"/>
        <v>0.14236824093086928</v>
      </c>
      <c r="N429" s="19">
        <f t="shared" si="60"/>
        <v>7.7836973894512518</v>
      </c>
      <c r="O429" s="17">
        <f t="shared" si="68"/>
        <v>256.88277037826316</v>
      </c>
      <c r="P429" s="17">
        <f t="shared" si="69"/>
        <v>77.064831113478945</v>
      </c>
    </row>
    <row r="430" spans="1:16" x14ac:dyDescent="0.3">
      <c r="A430" s="26" t="str">
        <v>C0429</v>
      </c>
      <c r="B430" s="26">
        <f>_xlfn.DAYS(DATE(2024,12,31),_xlfn.MAXIFS(ecommerce_transactions!$D$2:$D$9999, ecommerce_transactions!$B$2:$B$9999, A430))</f>
        <v>175</v>
      </c>
      <c r="C430" s="26">
        <f>COUNTIF(ecommerce_transactions!B:B,main_data!A430)</f>
        <v>1</v>
      </c>
      <c r="D430" s="35">
        <f>SUMIF(ecommerce_transactions!B:B,main_data!A430,ecommerce_transactions!E:E)</f>
        <v>219.66</v>
      </c>
      <c r="E430" s="28">
        <f t="shared" si="61"/>
        <v>1</v>
      </c>
      <c r="F430" s="28">
        <f t="shared" si="62"/>
        <v>1</v>
      </c>
      <c r="G430" s="26">
        <f t="shared" si="63"/>
        <v>1</v>
      </c>
      <c r="H430" s="18" t="str">
        <f t="shared" si="64"/>
        <v>111</v>
      </c>
      <c r="I430" s="26" t="str">
        <f t="shared" si="65"/>
        <v>About to Sleep</v>
      </c>
      <c r="J430" s="17">
        <f t="shared" si="66"/>
        <v>219.66</v>
      </c>
      <c r="K430" s="36">
        <f>_xlfn.MAXIFS(ecommerce_transactions!D:D,ecommerce_transactions!B:B,main_data!A430)</f>
        <v>45482</v>
      </c>
      <c r="L430" s="36">
        <f>_xlfn.MINIFS(ecommerce_transactions!D:D,ecommerce_transactions!B:B,main_data!A430)</f>
        <v>45482</v>
      </c>
      <c r="M430" s="19">
        <f t="shared" si="67"/>
        <v>0</v>
      </c>
      <c r="N430" s="19">
        <f t="shared" si="60"/>
        <v>2</v>
      </c>
      <c r="O430" s="17">
        <f t="shared" si="68"/>
        <v>0</v>
      </c>
      <c r="P430" s="17">
        <f t="shared" si="69"/>
        <v>0</v>
      </c>
    </row>
    <row r="431" spans="1:16" x14ac:dyDescent="0.3">
      <c r="A431" s="26" t="str">
        <v>C0430</v>
      </c>
      <c r="B431" s="26">
        <f>_xlfn.DAYS(DATE(2024,12,31),_xlfn.MAXIFS(ecommerce_transactions!$D$2:$D$9999, ecommerce_transactions!$B$2:$B$9999, A431))</f>
        <v>2</v>
      </c>
      <c r="C431" s="26">
        <f>COUNTIF(ecommerce_transactions!B:B,main_data!A431)</f>
        <v>14</v>
      </c>
      <c r="D431" s="35">
        <f>SUMIF(ecommerce_transactions!B:B,main_data!A431,ecommerce_transactions!E:E)</f>
        <v>3239.23</v>
      </c>
      <c r="E431" s="28">
        <f t="shared" si="61"/>
        <v>5</v>
      </c>
      <c r="F431" s="28">
        <f t="shared" si="62"/>
        <v>5</v>
      </c>
      <c r="G431" s="26">
        <f t="shared" si="63"/>
        <v>5</v>
      </c>
      <c r="H431" s="18" t="str">
        <f t="shared" si="64"/>
        <v>555</v>
      </c>
      <c r="I431" s="26" t="str">
        <f t="shared" si="65"/>
        <v>Champions</v>
      </c>
      <c r="J431" s="17">
        <f t="shared" si="66"/>
        <v>231.37357142857144</v>
      </c>
      <c r="K431" s="36">
        <f>_xlfn.MAXIFS(ecommerce_transactions!D:D,ecommerce_transactions!B:B,main_data!A431)</f>
        <v>45655</v>
      </c>
      <c r="L431" s="36">
        <f>_xlfn.MINIFS(ecommerce_transactions!D:D,ecommerce_transactions!B:B,main_data!A431)</f>
        <v>45345</v>
      </c>
      <c r="M431" s="19">
        <f t="shared" si="67"/>
        <v>0.84873374401095136</v>
      </c>
      <c r="N431" s="19">
        <f t="shared" si="60"/>
        <v>10.380106571936057</v>
      </c>
      <c r="O431" s="17">
        <f t="shared" si="68"/>
        <v>2038.3888353209845</v>
      </c>
      <c r="P431" s="17">
        <f t="shared" si="69"/>
        <v>611.51665059629534</v>
      </c>
    </row>
    <row r="432" spans="1:16" x14ac:dyDescent="0.3">
      <c r="A432" s="26" t="str">
        <v>C0431</v>
      </c>
      <c r="B432" s="26">
        <f>_xlfn.DAYS(DATE(2024,12,31),_xlfn.MAXIFS(ecommerce_transactions!$D$2:$D$9999, ecommerce_transactions!$B$2:$B$9999, A432))</f>
        <v>169</v>
      </c>
      <c r="C432" s="26">
        <f>COUNTIF(ecommerce_transactions!B:B,main_data!A432)</f>
        <v>2</v>
      </c>
      <c r="D432" s="35">
        <f>SUMIF(ecommerce_transactions!B:B,main_data!A432,ecommerce_transactions!E:E)</f>
        <v>385.72</v>
      </c>
      <c r="E432" s="28">
        <f t="shared" si="61"/>
        <v>1</v>
      </c>
      <c r="F432" s="28">
        <f t="shared" si="62"/>
        <v>1</v>
      </c>
      <c r="G432" s="26">
        <f t="shared" si="63"/>
        <v>1</v>
      </c>
      <c r="H432" s="18" t="str">
        <f t="shared" si="64"/>
        <v>111</v>
      </c>
      <c r="I432" s="26" t="str">
        <f t="shared" si="65"/>
        <v>About to Sleep</v>
      </c>
      <c r="J432" s="17">
        <f t="shared" si="66"/>
        <v>192.86</v>
      </c>
      <c r="K432" s="36">
        <f>_xlfn.MAXIFS(ecommerce_transactions!D:D,ecommerce_transactions!B:B,main_data!A432)</f>
        <v>45488</v>
      </c>
      <c r="L432" s="36">
        <f>_xlfn.MINIFS(ecommerce_transactions!D:D,ecommerce_transactions!B:B,main_data!A432)</f>
        <v>45465</v>
      </c>
      <c r="M432" s="19">
        <f t="shared" si="67"/>
        <v>6.2970568104038324E-2</v>
      </c>
      <c r="N432" s="19">
        <f t="shared" si="60"/>
        <v>3.5525835866261399</v>
      </c>
      <c r="O432" s="17">
        <f t="shared" si="68"/>
        <v>43.14436474164134</v>
      </c>
      <c r="P432" s="17">
        <f t="shared" si="69"/>
        <v>12.943309422492401</v>
      </c>
    </row>
    <row r="433" spans="1:16" x14ac:dyDescent="0.3">
      <c r="A433" s="26" t="str">
        <v>C0432</v>
      </c>
      <c r="B433" s="26">
        <f>_xlfn.DAYS(DATE(2024,12,31),_xlfn.MAXIFS(ecommerce_transactions!$D$2:$D$9999, ecommerce_transactions!$B$2:$B$9999, A433))</f>
        <v>11</v>
      </c>
      <c r="C433" s="26">
        <f>COUNTIF(ecommerce_transactions!B:B,main_data!A433)</f>
        <v>14</v>
      </c>
      <c r="D433" s="35">
        <f>SUMIF(ecommerce_transactions!B:B,main_data!A433,ecommerce_transactions!E:E)</f>
        <v>4338.09</v>
      </c>
      <c r="E433" s="28">
        <f t="shared" si="61"/>
        <v>4</v>
      </c>
      <c r="F433" s="28">
        <f t="shared" si="62"/>
        <v>5</v>
      </c>
      <c r="G433" s="26">
        <f t="shared" si="63"/>
        <v>5</v>
      </c>
      <c r="H433" s="18" t="str">
        <f t="shared" si="64"/>
        <v>455</v>
      </c>
      <c r="I433" s="26" t="str">
        <f t="shared" si="65"/>
        <v>Champions</v>
      </c>
      <c r="J433" s="17">
        <f t="shared" si="66"/>
        <v>309.86357142857145</v>
      </c>
      <c r="K433" s="36">
        <f>_xlfn.MAXIFS(ecommerce_transactions!D:D,ecommerce_transactions!B:B,main_data!A433)</f>
        <v>45646</v>
      </c>
      <c r="L433" s="36">
        <f>_xlfn.MINIFS(ecommerce_transactions!D:D,ecommerce_transactions!B:B,main_data!A433)</f>
        <v>45500</v>
      </c>
      <c r="M433" s="19">
        <f t="shared" si="67"/>
        <v>0.39972621492128679</v>
      </c>
      <c r="N433" s="19">
        <f t="shared" si="60"/>
        <v>15.560289083301635</v>
      </c>
      <c r="O433" s="17">
        <f t="shared" si="68"/>
        <v>1927.3066260935718</v>
      </c>
      <c r="P433" s="17">
        <f t="shared" si="69"/>
        <v>578.19198782807155</v>
      </c>
    </row>
    <row r="434" spans="1:16" x14ac:dyDescent="0.3">
      <c r="A434" s="26" t="str">
        <v>C0433</v>
      </c>
      <c r="B434" s="26">
        <f>_xlfn.DAYS(DATE(2024,12,31),_xlfn.MAXIFS(ecommerce_transactions!$D$2:$D$9999, ecommerce_transactions!$B$2:$B$9999, A434))</f>
        <v>163</v>
      </c>
      <c r="C434" s="26">
        <f>COUNTIF(ecommerce_transactions!B:B,main_data!A434)</f>
        <v>4</v>
      </c>
      <c r="D434" s="35">
        <f>SUMIF(ecommerce_transactions!B:B,main_data!A434,ecommerce_transactions!E:E)</f>
        <v>980.14</v>
      </c>
      <c r="E434" s="28">
        <f t="shared" si="61"/>
        <v>1</v>
      </c>
      <c r="F434" s="28">
        <f t="shared" si="62"/>
        <v>2</v>
      </c>
      <c r="G434" s="26">
        <f t="shared" si="63"/>
        <v>2</v>
      </c>
      <c r="H434" s="18" t="str">
        <f t="shared" si="64"/>
        <v>122</v>
      </c>
      <c r="I434" s="26" t="str">
        <f t="shared" si="65"/>
        <v>About to Sleep</v>
      </c>
      <c r="J434" s="17">
        <f t="shared" si="66"/>
        <v>245.035</v>
      </c>
      <c r="K434" s="36">
        <f>_xlfn.MAXIFS(ecommerce_transactions!D:D,ecommerce_transactions!B:B,main_data!A434)</f>
        <v>45494</v>
      </c>
      <c r="L434" s="36">
        <f>_xlfn.MINIFS(ecommerce_transactions!D:D,ecommerce_transactions!B:B,main_data!A434)</f>
        <v>45076</v>
      </c>
      <c r="M434" s="19">
        <f t="shared" si="67"/>
        <v>1.1444216290212184</v>
      </c>
      <c r="N434" s="19">
        <f t="shared" si="60"/>
        <v>2.4324661810613946</v>
      </c>
      <c r="O434" s="17">
        <f t="shared" si="68"/>
        <v>682.12032466181074</v>
      </c>
      <c r="P434" s="17">
        <f t="shared" si="69"/>
        <v>204.63609739854323</v>
      </c>
    </row>
    <row r="435" spans="1:16" x14ac:dyDescent="0.3">
      <c r="A435" s="26" t="str">
        <v>C0434</v>
      </c>
      <c r="B435" s="26">
        <f>_xlfn.DAYS(DATE(2024,12,31),_xlfn.MAXIFS(ecommerce_transactions!$D$2:$D$9999, ecommerce_transactions!$B$2:$B$9999, A435))</f>
        <v>129</v>
      </c>
      <c r="C435" s="26">
        <f>COUNTIF(ecommerce_transactions!B:B,main_data!A435)</f>
        <v>9</v>
      </c>
      <c r="D435" s="35">
        <f>SUMIF(ecommerce_transactions!B:B,main_data!A435,ecommerce_transactions!E:E)</f>
        <v>2755.5799999999995</v>
      </c>
      <c r="E435" s="28">
        <f t="shared" si="61"/>
        <v>1</v>
      </c>
      <c r="F435" s="28">
        <f t="shared" si="62"/>
        <v>4</v>
      </c>
      <c r="G435" s="26">
        <f t="shared" si="63"/>
        <v>4</v>
      </c>
      <c r="H435" s="18" t="str">
        <f t="shared" si="64"/>
        <v>144</v>
      </c>
      <c r="I435" s="26" t="str">
        <f t="shared" si="65"/>
        <v>At Risk</v>
      </c>
      <c r="J435" s="17">
        <f t="shared" si="66"/>
        <v>306.17555555555549</v>
      </c>
      <c r="K435" s="36">
        <f>_xlfn.MAXIFS(ecommerce_transactions!D:D,ecommerce_transactions!B:B,main_data!A435)</f>
        <v>45528</v>
      </c>
      <c r="L435" s="36">
        <f>_xlfn.MINIFS(ecommerce_transactions!D:D,ecommerce_transactions!B:B,main_data!A435)</f>
        <v>45269</v>
      </c>
      <c r="M435" s="19">
        <f t="shared" si="67"/>
        <v>0.70910335386721424</v>
      </c>
      <c r="N435" s="19">
        <f t="shared" si="60"/>
        <v>7.4435324087178039</v>
      </c>
      <c r="O435" s="17">
        <f t="shared" si="68"/>
        <v>1616.0661647325217</v>
      </c>
      <c r="P435" s="17">
        <f t="shared" si="69"/>
        <v>484.81984941975645</v>
      </c>
    </row>
    <row r="436" spans="1:16" x14ac:dyDescent="0.3">
      <c r="A436" s="26" t="str">
        <v>C0435</v>
      </c>
      <c r="B436" s="26">
        <f>_xlfn.DAYS(DATE(2024,12,31),_xlfn.MAXIFS(ecommerce_transactions!$D$2:$D$9999, ecommerce_transactions!$B$2:$B$9999, A436))</f>
        <v>3</v>
      </c>
      <c r="C436" s="26">
        <f>COUNTIF(ecommerce_transactions!B:B,main_data!A436)</f>
        <v>10</v>
      </c>
      <c r="D436" s="35">
        <f>SUMIF(ecommerce_transactions!B:B,main_data!A436,ecommerce_transactions!E:E)</f>
        <v>2540.3200000000002</v>
      </c>
      <c r="E436" s="28">
        <f t="shared" si="61"/>
        <v>5</v>
      </c>
      <c r="F436" s="28">
        <f t="shared" si="62"/>
        <v>4</v>
      </c>
      <c r="G436" s="26">
        <f t="shared" si="63"/>
        <v>4</v>
      </c>
      <c r="H436" s="18" t="str">
        <f t="shared" si="64"/>
        <v>544</v>
      </c>
      <c r="I436" s="26" t="str">
        <f t="shared" si="65"/>
        <v>Champions</v>
      </c>
      <c r="J436" s="17">
        <f t="shared" si="66"/>
        <v>254.03200000000001</v>
      </c>
      <c r="K436" s="36">
        <f>_xlfn.MAXIFS(ecommerce_transactions!D:D,ecommerce_transactions!B:B,main_data!A436)</f>
        <v>45654</v>
      </c>
      <c r="L436" s="36">
        <f>_xlfn.MINIFS(ecommerce_transactions!D:D,ecommerce_transactions!B:B,main_data!A436)</f>
        <v>45619</v>
      </c>
      <c r="M436" s="19">
        <f t="shared" si="67"/>
        <v>9.5824777549623541E-2</v>
      </c>
      <c r="N436" s="19">
        <f t="shared" si="60"/>
        <v>16.783457782883403</v>
      </c>
      <c r="O436" s="17">
        <f t="shared" si="68"/>
        <v>408.55232624928215</v>
      </c>
      <c r="P436" s="17">
        <f t="shared" si="69"/>
        <v>122.56569787478463</v>
      </c>
    </row>
    <row r="437" spans="1:16" x14ac:dyDescent="0.3">
      <c r="A437" s="26" t="str">
        <v>C0436</v>
      </c>
      <c r="B437" s="26">
        <f>_xlfn.DAYS(DATE(2024,12,31),_xlfn.MAXIFS(ecommerce_transactions!$D$2:$D$9999, ecommerce_transactions!$B$2:$B$9999, A437))</f>
        <v>21</v>
      </c>
      <c r="C437" s="26">
        <f>COUNTIF(ecommerce_transactions!B:B,main_data!A437)</f>
        <v>7</v>
      </c>
      <c r="D437" s="35">
        <f>SUMIF(ecommerce_transactions!B:B,main_data!A437,ecommerce_transactions!E:E)</f>
        <v>2084.0500000000002</v>
      </c>
      <c r="E437" s="28">
        <f t="shared" si="61"/>
        <v>3</v>
      </c>
      <c r="F437" s="28">
        <f t="shared" si="62"/>
        <v>3</v>
      </c>
      <c r="G437" s="26">
        <f t="shared" si="63"/>
        <v>3</v>
      </c>
      <c r="H437" s="18" t="str">
        <f t="shared" si="64"/>
        <v>333</v>
      </c>
      <c r="I437" s="26" t="str">
        <f t="shared" si="65"/>
        <v>Loyal Customers</v>
      </c>
      <c r="J437" s="17">
        <f t="shared" si="66"/>
        <v>297.72142857142859</v>
      </c>
      <c r="K437" s="36">
        <f>_xlfn.MAXIFS(ecommerce_transactions!D:D,ecommerce_transactions!B:B,main_data!A437)</f>
        <v>45636</v>
      </c>
      <c r="L437" s="36">
        <f>_xlfn.MINIFS(ecommerce_transactions!D:D,ecommerce_transactions!B:B,main_data!A437)</f>
        <v>45256</v>
      </c>
      <c r="M437" s="19">
        <f t="shared" si="67"/>
        <v>1.0403832991101984</v>
      </c>
      <c r="N437" s="19">
        <f t="shared" si="60"/>
        <v>4.5443234836702953</v>
      </c>
      <c r="O437" s="17">
        <f t="shared" si="68"/>
        <v>1407.5787602754945</v>
      </c>
      <c r="P437" s="17">
        <f t="shared" si="69"/>
        <v>422.27362808264832</v>
      </c>
    </row>
    <row r="438" spans="1:16" x14ac:dyDescent="0.3">
      <c r="A438" s="26" t="str">
        <v>C0437</v>
      </c>
      <c r="B438" s="26">
        <f>_xlfn.DAYS(DATE(2024,12,31),_xlfn.MAXIFS(ecommerce_transactions!$D$2:$D$9999, ecommerce_transactions!$B$2:$B$9999, A438))</f>
        <v>45</v>
      </c>
      <c r="C438" s="26">
        <f>COUNTIF(ecommerce_transactions!B:B,main_data!A438)</f>
        <v>7</v>
      </c>
      <c r="D438" s="35">
        <f>SUMIF(ecommerce_transactions!B:B,main_data!A438,ecommerce_transactions!E:E)</f>
        <v>2157.0299999999997</v>
      </c>
      <c r="E438" s="28">
        <f t="shared" si="61"/>
        <v>2</v>
      </c>
      <c r="F438" s="28">
        <f t="shared" si="62"/>
        <v>3</v>
      </c>
      <c r="G438" s="26">
        <f t="shared" si="63"/>
        <v>3</v>
      </c>
      <c r="H438" s="18" t="str">
        <f t="shared" si="64"/>
        <v>233</v>
      </c>
      <c r="I438" s="26" t="str">
        <f t="shared" si="65"/>
        <v>At Risk</v>
      </c>
      <c r="J438" s="17">
        <f t="shared" si="66"/>
        <v>308.1471428571428</v>
      </c>
      <c r="K438" s="36">
        <f>_xlfn.MAXIFS(ecommerce_transactions!D:D,ecommerce_transactions!B:B,main_data!A438)</f>
        <v>45612</v>
      </c>
      <c r="L438" s="36">
        <f>_xlfn.MINIFS(ecommerce_transactions!D:D,ecommerce_transactions!B:B,main_data!A438)</f>
        <v>45523</v>
      </c>
      <c r="M438" s="19">
        <f t="shared" si="67"/>
        <v>0.24366872005475701</v>
      </c>
      <c r="N438" s="19">
        <f t="shared" si="60"/>
        <v>9.4127933732167506</v>
      </c>
      <c r="O438" s="17">
        <f t="shared" si="68"/>
        <v>706.767307869305</v>
      </c>
      <c r="P438" s="17">
        <f t="shared" si="69"/>
        <v>212.03019236079149</v>
      </c>
    </row>
    <row r="439" spans="1:16" x14ac:dyDescent="0.3">
      <c r="A439" s="26" t="str">
        <v>C0438</v>
      </c>
      <c r="B439" s="26">
        <f>_xlfn.DAYS(DATE(2024,12,31),_xlfn.MAXIFS(ecommerce_transactions!$D$2:$D$9999, ecommerce_transactions!$B$2:$B$9999, A439))</f>
        <v>1</v>
      </c>
      <c r="C439" s="26">
        <f>COUNTIF(ecommerce_transactions!B:B,main_data!A439)</f>
        <v>10</v>
      </c>
      <c r="D439" s="35">
        <f>SUMIF(ecommerce_transactions!B:B,main_data!A439,ecommerce_transactions!E:E)</f>
        <v>2288.4499999999998</v>
      </c>
      <c r="E439" s="28">
        <f t="shared" si="61"/>
        <v>5</v>
      </c>
      <c r="F439" s="28">
        <f t="shared" si="62"/>
        <v>4</v>
      </c>
      <c r="G439" s="26">
        <f t="shared" si="63"/>
        <v>3</v>
      </c>
      <c r="H439" s="18" t="str">
        <f t="shared" si="64"/>
        <v>543</v>
      </c>
      <c r="I439" s="26" t="str">
        <f t="shared" si="65"/>
        <v>Loyal Customers</v>
      </c>
      <c r="J439" s="17">
        <f t="shared" si="66"/>
        <v>228.84499999999997</v>
      </c>
      <c r="K439" s="36">
        <f>_xlfn.MAXIFS(ecommerce_transactions!D:D,ecommerce_transactions!B:B,main_data!A439)</f>
        <v>45656</v>
      </c>
      <c r="L439" s="36">
        <f>_xlfn.MINIFS(ecommerce_transactions!D:D,ecommerce_transactions!B:B,main_data!A439)</f>
        <v>45465</v>
      </c>
      <c r="M439" s="19">
        <f t="shared" si="67"/>
        <v>0.5229295003422314</v>
      </c>
      <c r="N439" s="19">
        <f t="shared" si="60"/>
        <v>9.7758447641351616</v>
      </c>
      <c r="O439" s="17">
        <f t="shared" si="68"/>
        <v>1169.8734024757443</v>
      </c>
      <c r="P439" s="17">
        <f t="shared" si="69"/>
        <v>350.96202074272327</v>
      </c>
    </row>
    <row r="440" spans="1:16" x14ac:dyDescent="0.3">
      <c r="A440" s="26" t="str">
        <v>C0439</v>
      </c>
      <c r="B440" s="26">
        <f>_xlfn.DAYS(DATE(2024,12,31),_xlfn.MAXIFS(ecommerce_transactions!$D$2:$D$9999, ecommerce_transactions!$B$2:$B$9999, A440))</f>
        <v>36</v>
      </c>
      <c r="C440" s="26">
        <f>COUNTIF(ecommerce_transactions!B:B,main_data!A440)</f>
        <v>9</v>
      </c>
      <c r="D440" s="35">
        <f>SUMIF(ecommerce_transactions!B:B,main_data!A440,ecommerce_transactions!E:E)</f>
        <v>2281.6499999999996</v>
      </c>
      <c r="E440" s="28">
        <f t="shared" si="61"/>
        <v>3</v>
      </c>
      <c r="F440" s="28">
        <f t="shared" si="62"/>
        <v>4</v>
      </c>
      <c r="G440" s="26">
        <f t="shared" si="63"/>
        <v>3</v>
      </c>
      <c r="H440" s="18" t="str">
        <f t="shared" si="64"/>
        <v>343</v>
      </c>
      <c r="I440" s="26" t="str">
        <f t="shared" si="65"/>
        <v>Loyal Customers</v>
      </c>
      <c r="J440" s="17">
        <f t="shared" si="66"/>
        <v>253.51666666666662</v>
      </c>
      <c r="K440" s="36">
        <f>_xlfn.MAXIFS(ecommerce_transactions!D:D,ecommerce_transactions!B:B,main_data!A440)</f>
        <v>45621</v>
      </c>
      <c r="L440" s="36">
        <f>_xlfn.MINIFS(ecommerce_transactions!D:D,ecommerce_transactions!B:B,main_data!A440)</f>
        <v>45476</v>
      </c>
      <c r="M440" s="19">
        <f t="shared" si="67"/>
        <v>0.39698836413415467</v>
      </c>
      <c r="N440" s="19">
        <f t="shared" si="60"/>
        <v>10.033574971384967</v>
      </c>
      <c r="O440" s="17">
        <f t="shared" si="68"/>
        <v>1009.8107592521935</v>
      </c>
      <c r="P440" s="17">
        <f t="shared" si="69"/>
        <v>302.94322777565804</v>
      </c>
    </row>
    <row r="441" spans="1:16" x14ac:dyDescent="0.3">
      <c r="A441" s="26" t="str">
        <v>C0440</v>
      </c>
      <c r="B441" s="26">
        <f>_xlfn.DAYS(DATE(2024,12,31),_xlfn.MAXIFS(ecommerce_transactions!$D$2:$D$9999, ecommerce_transactions!$B$2:$B$9999, A441))</f>
        <v>22</v>
      </c>
      <c r="C441" s="26">
        <f>COUNTIF(ecommerce_transactions!B:B,main_data!A441)</f>
        <v>4</v>
      </c>
      <c r="D441" s="35">
        <f>SUMIF(ecommerce_transactions!B:B,main_data!A441,ecommerce_transactions!E:E)</f>
        <v>901.11999999999989</v>
      </c>
      <c r="E441" s="28">
        <f t="shared" si="61"/>
        <v>3</v>
      </c>
      <c r="F441" s="28">
        <f t="shared" si="62"/>
        <v>2</v>
      </c>
      <c r="G441" s="26">
        <f t="shared" si="63"/>
        <v>1</v>
      </c>
      <c r="H441" s="18" t="str">
        <f t="shared" si="64"/>
        <v>321</v>
      </c>
      <c r="I441" s="26" t="str">
        <f t="shared" si="65"/>
        <v>Lost</v>
      </c>
      <c r="J441" s="17">
        <f t="shared" si="66"/>
        <v>225.27999999999997</v>
      </c>
      <c r="K441" s="36">
        <f>_xlfn.MAXIFS(ecommerce_transactions!D:D,ecommerce_transactions!B:B,main_data!A441)</f>
        <v>45635</v>
      </c>
      <c r="L441" s="36">
        <f>_xlfn.MINIFS(ecommerce_transactions!D:D,ecommerce_transactions!B:B,main_data!A441)</f>
        <v>45461</v>
      </c>
      <c r="M441" s="19">
        <f t="shared" si="67"/>
        <v>0.47638603696098564</v>
      </c>
      <c r="N441" s="19">
        <f t="shared" si="60"/>
        <v>4.0967402733964251</v>
      </c>
      <c r="O441" s="17">
        <f t="shared" si="68"/>
        <v>439.6631756046267</v>
      </c>
      <c r="P441" s="17">
        <f t="shared" si="69"/>
        <v>131.89895268138801</v>
      </c>
    </row>
    <row r="442" spans="1:16" x14ac:dyDescent="0.3">
      <c r="A442" s="26" t="str">
        <v>C0441</v>
      </c>
      <c r="B442" s="26">
        <f>_xlfn.DAYS(DATE(2024,12,31),_xlfn.MAXIFS(ecommerce_transactions!$D$2:$D$9999, ecommerce_transactions!$B$2:$B$9999, A442))</f>
        <v>11</v>
      </c>
      <c r="C442" s="26">
        <f>COUNTIF(ecommerce_transactions!B:B,main_data!A442)</f>
        <v>7</v>
      </c>
      <c r="D442" s="35">
        <f>SUMIF(ecommerce_transactions!B:B,main_data!A442,ecommerce_transactions!E:E)</f>
        <v>1983.3500000000001</v>
      </c>
      <c r="E442" s="28">
        <f t="shared" si="61"/>
        <v>4</v>
      </c>
      <c r="F442" s="28">
        <f t="shared" si="62"/>
        <v>3</v>
      </c>
      <c r="G442" s="26">
        <f t="shared" si="63"/>
        <v>3</v>
      </c>
      <c r="H442" s="18" t="str">
        <f t="shared" si="64"/>
        <v>433</v>
      </c>
      <c r="I442" s="26" t="str">
        <f t="shared" si="65"/>
        <v>Loyal Customers</v>
      </c>
      <c r="J442" s="17">
        <f t="shared" si="66"/>
        <v>283.33571428571429</v>
      </c>
      <c r="K442" s="36">
        <f>_xlfn.MAXIFS(ecommerce_transactions!D:D,ecommerce_transactions!B:B,main_data!A442)</f>
        <v>45646</v>
      </c>
      <c r="L442" s="36">
        <f>_xlfn.MINIFS(ecommerce_transactions!D:D,ecommerce_transactions!B:B,main_data!A442)</f>
        <v>45609</v>
      </c>
      <c r="M442" s="19">
        <f t="shared" si="67"/>
        <v>0.10130047912388775</v>
      </c>
      <c r="N442" s="19">
        <f t="shared" si="60"/>
        <v>11.641434262948207</v>
      </c>
      <c r="O442" s="17">
        <f t="shared" si="68"/>
        <v>334.13295389869097</v>
      </c>
      <c r="P442" s="17">
        <f t="shared" si="69"/>
        <v>100.23988616960729</v>
      </c>
    </row>
    <row r="443" spans="1:16" x14ac:dyDescent="0.3">
      <c r="A443" s="26" t="str">
        <v>C0442</v>
      </c>
      <c r="B443" s="26">
        <f>_xlfn.DAYS(DATE(2024,12,31),_xlfn.MAXIFS(ecommerce_transactions!$D$2:$D$9999, ecommerce_transactions!$B$2:$B$9999, A443))</f>
        <v>5</v>
      </c>
      <c r="C443" s="26">
        <f>COUNTIF(ecommerce_transactions!B:B,main_data!A443)</f>
        <v>8</v>
      </c>
      <c r="D443" s="35">
        <f>SUMIF(ecommerce_transactions!B:B,main_data!A443,ecommerce_transactions!E:E)</f>
        <v>2153.19</v>
      </c>
      <c r="E443" s="28">
        <f t="shared" si="61"/>
        <v>5</v>
      </c>
      <c r="F443" s="28">
        <f t="shared" si="62"/>
        <v>3</v>
      </c>
      <c r="G443" s="26">
        <f t="shared" si="63"/>
        <v>3</v>
      </c>
      <c r="H443" s="18" t="str">
        <f t="shared" si="64"/>
        <v>533</v>
      </c>
      <c r="I443" s="26" t="str">
        <f t="shared" si="65"/>
        <v>Loyal Customers</v>
      </c>
      <c r="J443" s="17">
        <f t="shared" si="66"/>
        <v>269.14875000000001</v>
      </c>
      <c r="K443" s="36">
        <f>_xlfn.MAXIFS(ecommerce_transactions!D:D,ecommerce_transactions!B:B,main_data!A443)</f>
        <v>45652</v>
      </c>
      <c r="L443" s="36">
        <f>_xlfn.MINIFS(ecommerce_transactions!D:D,ecommerce_transactions!B:B,main_data!A443)</f>
        <v>45611</v>
      </c>
      <c r="M443" s="19">
        <f t="shared" si="67"/>
        <v>0.11225188227241616</v>
      </c>
      <c r="N443" s="19">
        <f t="shared" si="60"/>
        <v>13.066517607602012</v>
      </c>
      <c r="O443" s="17">
        <f t="shared" si="68"/>
        <v>394.77155953046395</v>
      </c>
      <c r="P443" s="17">
        <f t="shared" si="69"/>
        <v>118.43146785913918</v>
      </c>
    </row>
    <row r="444" spans="1:16" x14ac:dyDescent="0.3">
      <c r="A444" s="26" t="str">
        <v>C0443</v>
      </c>
      <c r="B444" s="26">
        <f>_xlfn.DAYS(DATE(2024,12,31),_xlfn.MAXIFS(ecommerce_transactions!$D$2:$D$9999, ecommerce_transactions!$B$2:$B$9999, A444))</f>
        <v>12</v>
      </c>
      <c r="C444" s="26">
        <f>COUNTIF(ecommerce_transactions!B:B,main_data!A444)</f>
        <v>9</v>
      </c>
      <c r="D444" s="35">
        <f>SUMIF(ecommerce_transactions!B:B,main_data!A444,ecommerce_transactions!E:E)</f>
        <v>2883.45</v>
      </c>
      <c r="E444" s="28">
        <f t="shared" si="61"/>
        <v>4</v>
      </c>
      <c r="F444" s="28">
        <f t="shared" si="62"/>
        <v>4</v>
      </c>
      <c r="G444" s="26">
        <f t="shared" si="63"/>
        <v>4</v>
      </c>
      <c r="H444" s="18" t="str">
        <f t="shared" si="64"/>
        <v>444</v>
      </c>
      <c r="I444" s="26" t="str">
        <f t="shared" si="65"/>
        <v>Champions</v>
      </c>
      <c r="J444" s="17">
        <f t="shared" si="66"/>
        <v>320.38333333333333</v>
      </c>
      <c r="K444" s="36">
        <f>_xlfn.MAXIFS(ecommerce_transactions!D:D,ecommerce_transactions!B:B,main_data!A444)</f>
        <v>45645</v>
      </c>
      <c r="L444" s="36">
        <f>_xlfn.MINIFS(ecommerce_transactions!D:D,ecommerce_transactions!B:B,main_data!A444)</f>
        <v>45344</v>
      </c>
      <c r="M444" s="19">
        <f t="shared" si="67"/>
        <v>0.82409308692676253</v>
      </c>
      <c r="N444" s="19">
        <f t="shared" si="60"/>
        <v>6.7971051951408628</v>
      </c>
      <c r="O444" s="17">
        <f t="shared" si="68"/>
        <v>1794.6103902817265</v>
      </c>
      <c r="P444" s="17">
        <f t="shared" si="69"/>
        <v>538.38311708451795</v>
      </c>
    </row>
    <row r="445" spans="1:16" x14ac:dyDescent="0.3">
      <c r="A445" s="26" t="str">
        <v>C0444</v>
      </c>
      <c r="B445" s="26">
        <f>_xlfn.DAYS(DATE(2024,12,31),_xlfn.MAXIFS(ecommerce_transactions!$D$2:$D$9999, ecommerce_transactions!$B$2:$B$9999, A445))</f>
        <v>8</v>
      </c>
      <c r="C445" s="26">
        <f>COUNTIF(ecommerce_transactions!B:B,main_data!A445)</f>
        <v>15</v>
      </c>
      <c r="D445" s="35">
        <f>SUMIF(ecommerce_transactions!B:B,main_data!A445,ecommerce_transactions!E:E)</f>
        <v>3293.4600000000005</v>
      </c>
      <c r="E445" s="28">
        <f t="shared" si="61"/>
        <v>4</v>
      </c>
      <c r="F445" s="28">
        <f t="shared" si="62"/>
        <v>5</v>
      </c>
      <c r="G445" s="26">
        <f t="shared" si="63"/>
        <v>5</v>
      </c>
      <c r="H445" s="18" t="str">
        <f t="shared" si="64"/>
        <v>455</v>
      </c>
      <c r="I445" s="26" t="str">
        <f t="shared" si="65"/>
        <v>Champions</v>
      </c>
      <c r="J445" s="17">
        <f t="shared" si="66"/>
        <v>219.56400000000002</v>
      </c>
      <c r="K445" s="36">
        <f>_xlfn.MAXIFS(ecommerce_transactions!D:D,ecommerce_transactions!B:B,main_data!A445)</f>
        <v>45649</v>
      </c>
      <c r="L445" s="36">
        <f>_xlfn.MINIFS(ecommerce_transactions!D:D,ecommerce_transactions!B:B,main_data!A445)</f>
        <v>45527</v>
      </c>
      <c r="M445" s="19">
        <f t="shared" si="67"/>
        <v>0.33401779603011633</v>
      </c>
      <c r="N445" s="19">
        <f t="shared" si="60"/>
        <v>17.98522773902339</v>
      </c>
      <c r="O445" s="17">
        <f t="shared" si="68"/>
        <v>1319.0057283545343</v>
      </c>
      <c r="P445" s="17">
        <f t="shared" si="69"/>
        <v>395.70171850636029</v>
      </c>
    </row>
    <row r="446" spans="1:16" x14ac:dyDescent="0.3">
      <c r="A446" s="26" t="str">
        <v>C0445</v>
      </c>
      <c r="B446" s="26">
        <f>_xlfn.DAYS(DATE(2024,12,31),_xlfn.MAXIFS(ecommerce_transactions!$D$2:$D$9999, ecommerce_transactions!$B$2:$B$9999, A446))</f>
        <v>68</v>
      </c>
      <c r="C446" s="26">
        <f>COUNTIF(ecommerce_transactions!B:B,main_data!A446)</f>
        <v>7</v>
      </c>
      <c r="D446" s="35">
        <f>SUMIF(ecommerce_transactions!B:B,main_data!A446,ecommerce_transactions!E:E)</f>
        <v>2071.56</v>
      </c>
      <c r="E446" s="28">
        <f t="shared" si="61"/>
        <v>2</v>
      </c>
      <c r="F446" s="28">
        <f t="shared" si="62"/>
        <v>3</v>
      </c>
      <c r="G446" s="26">
        <f t="shared" si="63"/>
        <v>3</v>
      </c>
      <c r="H446" s="18" t="str">
        <f t="shared" si="64"/>
        <v>233</v>
      </c>
      <c r="I446" s="26" t="str">
        <f t="shared" si="65"/>
        <v>At Risk</v>
      </c>
      <c r="J446" s="17">
        <f t="shared" si="66"/>
        <v>295.93714285714287</v>
      </c>
      <c r="K446" s="36">
        <f>_xlfn.MAXIFS(ecommerce_transactions!D:D,ecommerce_transactions!B:B,main_data!A446)</f>
        <v>45589</v>
      </c>
      <c r="L446" s="36">
        <f>_xlfn.MINIFS(ecommerce_transactions!D:D,ecommerce_transactions!B:B,main_data!A446)</f>
        <v>45393</v>
      </c>
      <c r="M446" s="19">
        <f t="shared" si="67"/>
        <v>0.53661875427789185</v>
      </c>
      <c r="N446" s="19">
        <f t="shared" si="60"/>
        <v>6.7527236711786065</v>
      </c>
      <c r="O446" s="17">
        <f t="shared" si="68"/>
        <v>1072.3691251238033</v>
      </c>
      <c r="P446" s="17">
        <f t="shared" si="69"/>
        <v>321.71073753714097</v>
      </c>
    </row>
    <row r="447" spans="1:16" x14ac:dyDescent="0.3">
      <c r="A447" s="26" t="str">
        <v>C0446</v>
      </c>
      <c r="B447" s="26">
        <f>_xlfn.DAYS(DATE(2024,12,31),_xlfn.MAXIFS(ecommerce_transactions!$D$2:$D$9999, ecommerce_transactions!$B$2:$B$9999, A447))</f>
        <v>71</v>
      </c>
      <c r="C447" s="26">
        <f>COUNTIF(ecommerce_transactions!B:B,main_data!A447)</f>
        <v>4</v>
      </c>
      <c r="D447" s="35">
        <f>SUMIF(ecommerce_transactions!B:B,main_data!A447,ecommerce_transactions!E:E)</f>
        <v>641.95000000000005</v>
      </c>
      <c r="E447" s="28">
        <f t="shared" si="61"/>
        <v>2</v>
      </c>
      <c r="F447" s="28">
        <f t="shared" si="62"/>
        <v>2</v>
      </c>
      <c r="G447" s="26">
        <f t="shared" si="63"/>
        <v>1</v>
      </c>
      <c r="H447" s="18" t="str">
        <f t="shared" si="64"/>
        <v>221</v>
      </c>
      <c r="I447" s="26" t="str">
        <f t="shared" si="65"/>
        <v>About to Sleep</v>
      </c>
      <c r="J447" s="17">
        <f t="shared" si="66"/>
        <v>160.48750000000001</v>
      </c>
      <c r="K447" s="36">
        <f>_xlfn.MAXIFS(ecommerce_transactions!D:D,ecommerce_transactions!B:B,main_data!A447)</f>
        <v>45586</v>
      </c>
      <c r="L447" s="36">
        <f>_xlfn.MINIFS(ecommerce_transactions!D:D,ecommerce_transactions!B:B,main_data!A447)</f>
        <v>45189</v>
      </c>
      <c r="M447" s="19">
        <f t="shared" si="67"/>
        <v>1.0869267624914443</v>
      </c>
      <c r="N447" s="19">
        <f t="shared" si="60"/>
        <v>2.5205952124218243</v>
      </c>
      <c r="O447" s="17">
        <f t="shared" si="68"/>
        <v>439.68798792322622</v>
      </c>
      <c r="P447" s="17">
        <f t="shared" si="69"/>
        <v>131.90639637696785</v>
      </c>
    </row>
    <row r="448" spans="1:16" x14ac:dyDescent="0.3">
      <c r="A448" s="26" t="str">
        <v>C0447</v>
      </c>
      <c r="B448" s="26">
        <f>_xlfn.DAYS(DATE(2024,12,31),_xlfn.MAXIFS(ecommerce_transactions!$D$2:$D$9999, ecommerce_transactions!$B$2:$B$9999, A448))</f>
        <v>249</v>
      </c>
      <c r="C448" s="26">
        <f>COUNTIF(ecommerce_transactions!B:B,main_data!A448)</f>
        <v>7</v>
      </c>
      <c r="D448" s="35">
        <f>SUMIF(ecommerce_transactions!B:B,main_data!A448,ecommerce_transactions!E:E)</f>
        <v>1795.32</v>
      </c>
      <c r="E448" s="28">
        <f t="shared" si="61"/>
        <v>1</v>
      </c>
      <c r="F448" s="28">
        <f t="shared" si="62"/>
        <v>3</v>
      </c>
      <c r="G448" s="26">
        <f t="shared" si="63"/>
        <v>3</v>
      </c>
      <c r="H448" s="18" t="str">
        <f t="shared" si="64"/>
        <v>133</v>
      </c>
      <c r="I448" s="26" t="str">
        <f t="shared" si="65"/>
        <v>At Risk</v>
      </c>
      <c r="J448" s="17">
        <f t="shared" si="66"/>
        <v>256.47428571428571</v>
      </c>
      <c r="K448" s="36">
        <f>_xlfn.MAXIFS(ecommerce_transactions!D:D,ecommerce_transactions!B:B,main_data!A448)</f>
        <v>45408</v>
      </c>
      <c r="L448" s="36">
        <f>_xlfn.MINIFS(ecommerce_transactions!D:D,ecommerce_transactions!B:B,main_data!A448)</f>
        <v>45220</v>
      </c>
      <c r="M448" s="19">
        <f t="shared" si="67"/>
        <v>0.51471594798083509</v>
      </c>
      <c r="N448" s="19">
        <f t="shared" si="60"/>
        <v>6.8984822934232719</v>
      </c>
      <c r="O448" s="17">
        <f t="shared" si="68"/>
        <v>910.67834064080955</v>
      </c>
      <c r="P448" s="17">
        <f t="shared" si="69"/>
        <v>273.20350219224287</v>
      </c>
    </row>
    <row r="449" spans="1:16" x14ac:dyDescent="0.3">
      <c r="A449" s="26" t="str">
        <v>C0448</v>
      </c>
      <c r="B449" s="26">
        <f>_xlfn.DAYS(DATE(2024,12,31),_xlfn.MAXIFS(ecommerce_transactions!$D$2:$D$9999, ecommerce_transactions!$B$2:$B$9999, A449))</f>
        <v>32</v>
      </c>
      <c r="C449" s="26">
        <f>COUNTIF(ecommerce_transactions!B:B,main_data!A449)</f>
        <v>11</v>
      </c>
      <c r="D449" s="35">
        <f>SUMIF(ecommerce_transactions!B:B,main_data!A449,ecommerce_transactions!E:E)</f>
        <v>2028.5299999999997</v>
      </c>
      <c r="E449" s="28">
        <f t="shared" si="61"/>
        <v>3</v>
      </c>
      <c r="F449" s="28">
        <f t="shared" si="62"/>
        <v>4</v>
      </c>
      <c r="G449" s="26">
        <f t="shared" si="63"/>
        <v>3</v>
      </c>
      <c r="H449" s="18" t="str">
        <f t="shared" si="64"/>
        <v>343</v>
      </c>
      <c r="I449" s="26" t="str">
        <f t="shared" si="65"/>
        <v>Loyal Customers</v>
      </c>
      <c r="J449" s="17">
        <f t="shared" si="66"/>
        <v>184.41181818181815</v>
      </c>
      <c r="K449" s="36">
        <f>_xlfn.MAXIFS(ecommerce_transactions!D:D,ecommerce_transactions!B:B,main_data!A449)</f>
        <v>45625</v>
      </c>
      <c r="L449" s="36">
        <f>_xlfn.MINIFS(ecommerce_transactions!D:D,ecommerce_transactions!B:B,main_data!A449)</f>
        <v>45270</v>
      </c>
      <c r="M449" s="19">
        <f t="shared" si="67"/>
        <v>0.97193702943189597</v>
      </c>
      <c r="N449" s="19">
        <f t="shared" si="60"/>
        <v>7.4731457800511505</v>
      </c>
      <c r="O449" s="17">
        <f t="shared" si="68"/>
        <v>1339.4617995814924</v>
      </c>
      <c r="P449" s="17">
        <f t="shared" si="69"/>
        <v>401.83853987444769</v>
      </c>
    </row>
    <row r="450" spans="1:16" x14ac:dyDescent="0.3">
      <c r="A450" s="26" t="str">
        <v>C0449</v>
      </c>
      <c r="B450" s="26">
        <f>_xlfn.DAYS(DATE(2024,12,31),_xlfn.MAXIFS(ecommerce_transactions!$D$2:$D$9999, ecommerce_transactions!$B$2:$B$9999, A450))</f>
        <v>36</v>
      </c>
      <c r="C450" s="26">
        <f>COUNTIF(ecommerce_transactions!B:B,main_data!A450)</f>
        <v>3</v>
      </c>
      <c r="D450" s="35">
        <f>SUMIF(ecommerce_transactions!B:B,main_data!A450,ecommerce_transactions!E:E)</f>
        <v>806.07</v>
      </c>
      <c r="E450" s="28">
        <f t="shared" si="61"/>
        <v>3</v>
      </c>
      <c r="F450" s="28">
        <f t="shared" si="62"/>
        <v>1</v>
      </c>
      <c r="G450" s="26">
        <f t="shared" si="63"/>
        <v>1</v>
      </c>
      <c r="H450" s="18" t="str">
        <f t="shared" si="64"/>
        <v>311</v>
      </c>
      <c r="I450" s="26" t="str">
        <f t="shared" si="65"/>
        <v>Lost</v>
      </c>
      <c r="J450" s="17">
        <f t="shared" si="66"/>
        <v>268.69</v>
      </c>
      <c r="K450" s="36">
        <f>_xlfn.MAXIFS(ecommerce_transactions!D:D,ecommerce_transactions!B:B,main_data!A450)</f>
        <v>45621</v>
      </c>
      <c r="L450" s="36">
        <f>_xlfn.MINIFS(ecommerce_transactions!D:D,ecommerce_transactions!B:B,main_data!A450)</f>
        <v>45328</v>
      </c>
      <c r="M450" s="19">
        <f t="shared" si="67"/>
        <v>0.80219028062970565</v>
      </c>
      <c r="N450" s="19">
        <f t="shared" ref="N450:N501" si="70">C450/(M450+0.5)</f>
        <v>2.3038107752956636</v>
      </c>
      <c r="O450" s="17">
        <f t="shared" si="68"/>
        <v>496.56454139290406</v>
      </c>
      <c r="P450" s="17">
        <f t="shared" si="69"/>
        <v>148.96936241787122</v>
      </c>
    </row>
    <row r="451" spans="1:16" x14ac:dyDescent="0.3">
      <c r="A451" s="26" t="str">
        <v>C0450</v>
      </c>
      <c r="B451" s="26">
        <f>_xlfn.DAYS(DATE(2024,12,31),_xlfn.MAXIFS(ecommerce_transactions!$D$2:$D$9999, ecommerce_transactions!$B$2:$B$9999, A451))</f>
        <v>38</v>
      </c>
      <c r="C451" s="26">
        <f>COUNTIF(ecommerce_transactions!B:B,main_data!A451)</f>
        <v>14</v>
      </c>
      <c r="D451" s="35">
        <f>SUMIF(ecommerce_transactions!B:B,main_data!A451,ecommerce_transactions!E:E)</f>
        <v>3608.11</v>
      </c>
      <c r="E451" s="28">
        <f t="shared" ref="E451:E501" si="71">IF(B451&lt;=PERCENTILE($B$2:$B$501,0.2),5,IF(B451&lt;=PERCENTILE($B$2:$B$501,0.4),4,IF(B451&lt;=PERCENTILE($B$2:$B$501,0.6),3,IF(B451&lt;=PERCENTILE($B$2:$B$501,0.8),2,1))))</f>
        <v>3</v>
      </c>
      <c r="F451" s="28">
        <f t="shared" ref="F451:F501" si="72">IF(C451&gt;=PERCENTILE($C$2:$C$501, 0.8), 5,IF(C451&gt;=PERCENTILE($C$2:$C$501, 0.6), 4, IF(C451&gt;=PERCENTILE($C$2:$C$501, 0.4), 3, IF(C451&gt;=PERCENTILE($C$2:$C$501, 0.2), 2, 1))))</f>
        <v>5</v>
      </c>
      <c r="G451" s="26">
        <f t="shared" ref="G451:G501" si="73">IF(D451&gt;=PERCENTILE($D$2:$D$501,0.8),5,IF(D451&gt;=PERCENTILE($D$2:$D$501,0.6),4,IF(D451&gt;=PERCENTILE($D$2:$D$501,0.4),3,IF(D451&gt;=PERCENTILE($D$2:$D$501,0.2),2,1))))</f>
        <v>5</v>
      </c>
      <c r="H451" s="18" t="str">
        <f t="shared" ref="H451:H501" si="74">CONCATENATE(E451,F451,G451)</f>
        <v>355</v>
      </c>
      <c r="I451" s="26" t="str">
        <f t="shared" ref="I451:I501" si="75">IF(AND(E451&gt;=4, F451&gt;=4, G451&gt;=4), "Champions",
    IF(AND(E451&gt;=3, F451&gt;=3, G451&gt;=3), "Loyal Customers",
    IF(AND(E451&gt;=4, F451&lt;=2), "New Customers",
    IF(AND(E451&gt;=4, F451&gt;=2, G451&gt;=2), "Potential Loyalists",
    IF(AND(G451&gt;=4, E451&lt;=2, F451&lt;=2), "Cannot Lose Them",
    IF(AND(F451&gt;=3, E451&lt;=2), "At Risk",
    IF(AND(E451&lt;=2, F451&lt;=2), "About to Sleep",
    IF(AND(E451&lt;=2, F451&lt;=3), "Hibernating", "Lost"))))))))</f>
        <v>Loyal Customers</v>
      </c>
      <c r="J451" s="17">
        <f t="shared" ref="J451:J501" si="76">D451/C451</f>
        <v>257.72214285714284</v>
      </c>
      <c r="K451" s="36">
        <f>_xlfn.MAXIFS(ecommerce_transactions!D:D,ecommerce_transactions!B:B,main_data!A451)</f>
        <v>45619</v>
      </c>
      <c r="L451" s="36">
        <f>_xlfn.MINIFS(ecommerce_transactions!D:D,ecommerce_transactions!B:B,main_data!A451)</f>
        <v>45012</v>
      </c>
      <c r="M451" s="19">
        <f t="shared" ref="M451:M501" si="77">(K451-L451)/365.25</f>
        <v>1.6618754277891854</v>
      </c>
      <c r="N451" s="19">
        <f t="shared" si="70"/>
        <v>6.4758587937312013</v>
      </c>
      <c r="O451" s="17">
        <f t="shared" ref="O451:O501" si="78">J451*N451*M451</f>
        <v>2773.6238974196608</v>
      </c>
      <c r="P451" s="17">
        <f t="shared" ref="P451:P501" si="79">O451*0.3</f>
        <v>832.08716922589826</v>
      </c>
    </row>
    <row r="452" spans="1:16" x14ac:dyDescent="0.3">
      <c r="A452" s="26" t="str">
        <v>C0451</v>
      </c>
      <c r="B452" s="26">
        <f>_xlfn.DAYS(DATE(2024,12,31),_xlfn.MAXIFS(ecommerce_transactions!$D$2:$D$9999, ecommerce_transactions!$B$2:$B$9999, A452))</f>
        <v>46</v>
      </c>
      <c r="C452" s="26">
        <f>COUNTIF(ecommerce_transactions!B:B,main_data!A452)</f>
        <v>11</v>
      </c>
      <c r="D452" s="35">
        <f>SUMIF(ecommerce_transactions!B:B,main_data!A452,ecommerce_transactions!E:E)</f>
        <v>3462.77</v>
      </c>
      <c r="E452" s="28">
        <f t="shared" si="71"/>
        <v>2</v>
      </c>
      <c r="F452" s="28">
        <f t="shared" si="72"/>
        <v>4</v>
      </c>
      <c r="G452" s="26">
        <f t="shared" si="73"/>
        <v>5</v>
      </c>
      <c r="H452" s="18" t="str">
        <f t="shared" si="74"/>
        <v>245</v>
      </c>
      <c r="I452" s="26" t="str">
        <f t="shared" si="75"/>
        <v>At Risk</v>
      </c>
      <c r="J452" s="17">
        <f t="shared" si="76"/>
        <v>314.79727272727274</v>
      </c>
      <c r="K452" s="36">
        <f>_xlfn.MAXIFS(ecommerce_transactions!D:D,ecommerce_transactions!B:B,main_data!A452)</f>
        <v>45611</v>
      </c>
      <c r="L452" s="36">
        <f>_xlfn.MINIFS(ecommerce_transactions!D:D,ecommerce_transactions!B:B,main_data!A452)</f>
        <v>45136</v>
      </c>
      <c r="M452" s="19">
        <f t="shared" si="77"/>
        <v>1.3004791238877482</v>
      </c>
      <c r="N452" s="19">
        <f t="shared" si="70"/>
        <v>6.1094848888044098</v>
      </c>
      <c r="O452" s="17">
        <f t="shared" si="78"/>
        <v>2501.1454096179436</v>
      </c>
      <c r="P452" s="17">
        <f t="shared" si="79"/>
        <v>750.34362288538307</v>
      </c>
    </row>
    <row r="453" spans="1:16" x14ac:dyDescent="0.3">
      <c r="A453" s="26" t="str">
        <v>C0452</v>
      </c>
      <c r="B453" s="26">
        <f>_xlfn.DAYS(DATE(2024,12,31),_xlfn.MAXIFS(ecommerce_transactions!$D$2:$D$9999, ecommerce_transactions!$B$2:$B$9999, A453))</f>
        <v>63</v>
      </c>
      <c r="C453" s="26">
        <f>COUNTIF(ecommerce_transactions!B:B,main_data!A453)</f>
        <v>2</v>
      </c>
      <c r="D453" s="35">
        <f>SUMIF(ecommerce_transactions!B:B,main_data!A453,ecommerce_transactions!E:E)</f>
        <v>675.53</v>
      </c>
      <c r="E453" s="28">
        <f t="shared" si="71"/>
        <v>2</v>
      </c>
      <c r="F453" s="28">
        <f t="shared" si="72"/>
        <v>1</v>
      </c>
      <c r="G453" s="26">
        <f t="shared" si="73"/>
        <v>1</v>
      </c>
      <c r="H453" s="18" t="str">
        <f t="shared" si="74"/>
        <v>211</v>
      </c>
      <c r="I453" s="26" t="str">
        <f t="shared" si="75"/>
        <v>About to Sleep</v>
      </c>
      <c r="J453" s="17">
        <f t="shared" si="76"/>
        <v>337.76499999999999</v>
      </c>
      <c r="K453" s="36">
        <f>_xlfn.MAXIFS(ecommerce_transactions!D:D,ecommerce_transactions!B:B,main_data!A453)</f>
        <v>45594</v>
      </c>
      <c r="L453" s="36">
        <f>_xlfn.MINIFS(ecommerce_transactions!D:D,ecommerce_transactions!B:B,main_data!A453)</f>
        <v>45338</v>
      </c>
      <c r="M453" s="19">
        <f t="shared" si="77"/>
        <v>0.70088980150581792</v>
      </c>
      <c r="N453" s="19">
        <f t="shared" si="70"/>
        <v>1.6654317469364492</v>
      </c>
      <c r="O453" s="17">
        <f t="shared" si="78"/>
        <v>394.26772299800518</v>
      </c>
      <c r="P453" s="17">
        <f t="shared" si="79"/>
        <v>118.28031689940156</v>
      </c>
    </row>
    <row r="454" spans="1:16" x14ac:dyDescent="0.3">
      <c r="A454" s="26" t="str">
        <v>C0453</v>
      </c>
      <c r="B454" s="26">
        <f>_xlfn.DAYS(DATE(2024,12,31),_xlfn.MAXIFS(ecommerce_transactions!$D$2:$D$9999, ecommerce_transactions!$B$2:$B$9999, A454))</f>
        <v>1</v>
      </c>
      <c r="C454" s="26">
        <f>COUNTIF(ecommerce_transactions!B:B,main_data!A454)</f>
        <v>13</v>
      </c>
      <c r="D454" s="35">
        <f>SUMIF(ecommerce_transactions!B:B,main_data!A454,ecommerce_transactions!E:E)</f>
        <v>3849.57</v>
      </c>
      <c r="E454" s="28">
        <f t="shared" si="71"/>
        <v>5</v>
      </c>
      <c r="F454" s="28">
        <f t="shared" si="72"/>
        <v>5</v>
      </c>
      <c r="G454" s="26">
        <f t="shared" si="73"/>
        <v>5</v>
      </c>
      <c r="H454" s="18" t="str">
        <f t="shared" si="74"/>
        <v>555</v>
      </c>
      <c r="I454" s="26" t="str">
        <f t="shared" si="75"/>
        <v>Champions</v>
      </c>
      <c r="J454" s="17">
        <f t="shared" si="76"/>
        <v>296.12076923076927</v>
      </c>
      <c r="K454" s="36">
        <f>_xlfn.MAXIFS(ecommerce_transactions!D:D,ecommerce_transactions!B:B,main_data!A454)</f>
        <v>45656</v>
      </c>
      <c r="L454" s="36">
        <f>_xlfn.MINIFS(ecommerce_transactions!D:D,ecommerce_transactions!B:B,main_data!A454)</f>
        <v>45531</v>
      </c>
      <c r="M454" s="19">
        <f t="shared" si="77"/>
        <v>0.34223134839151265</v>
      </c>
      <c r="N454" s="19">
        <f t="shared" si="70"/>
        <v>15.435188947582283</v>
      </c>
      <c r="O454" s="17">
        <f t="shared" si="78"/>
        <v>1564.2299878098336</v>
      </c>
      <c r="P454" s="17">
        <f t="shared" si="79"/>
        <v>469.26899634295006</v>
      </c>
    </row>
    <row r="455" spans="1:16" x14ac:dyDescent="0.3">
      <c r="A455" s="26" t="str">
        <v>C0454</v>
      </c>
      <c r="B455" s="26">
        <f>_xlfn.DAYS(DATE(2024,12,31),_xlfn.MAXIFS(ecommerce_transactions!$D$2:$D$9999, ecommerce_transactions!$B$2:$B$9999, A455))</f>
        <v>14</v>
      </c>
      <c r="C455" s="26">
        <f>COUNTIF(ecommerce_transactions!B:B,main_data!A455)</f>
        <v>2</v>
      </c>
      <c r="D455" s="35">
        <f>SUMIF(ecommerce_transactions!B:B,main_data!A455,ecommerce_transactions!E:E)</f>
        <v>800.34</v>
      </c>
      <c r="E455" s="28">
        <f t="shared" si="71"/>
        <v>4</v>
      </c>
      <c r="F455" s="28">
        <f t="shared" si="72"/>
        <v>1</v>
      </c>
      <c r="G455" s="26">
        <f t="shared" si="73"/>
        <v>1</v>
      </c>
      <c r="H455" s="18" t="str">
        <f t="shared" si="74"/>
        <v>411</v>
      </c>
      <c r="I455" s="26" t="str">
        <f t="shared" si="75"/>
        <v>New Customers</v>
      </c>
      <c r="J455" s="17">
        <f t="shared" si="76"/>
        <v>400.17</v>
      </c>
      <c r="K455" s="36">
        <f>_xlfn.MAXIFS(ecommerce_transactions!D:D,ecommerce_transactions!B:B,main_data!A455)</f>
        <v>45643</v>
      </c>
      <c r="L455" s="36">
        <f>_xlfn.MINIFS(ecommerce_transactions!D:D,ecommerce_transactions!B:B,main_data!A455)</f>
        <v>45613</v>
      </c>
      <c r="M455" s="19">
        <f t="shared" si="77"/>
        <v>8.2135523613963035E-2</v>
      </c>
      <c r="N455" s="19">
        <f t="shared" si="70"/>
        <v>3.435626102292769</v>
      </c>
      <c r="O455" s="17">
        <f t="shared" si="78"/>
        <v>112.92275132275132</v>
      </c>
      <c r="P455" s="17">
        <f t="shared" si="79"/>
        <v>33.876825396825396</v>
      </c>
    </row>
    <row r="456" spans="1:16" x14ac:dyDescent="0.3">
      <c r="A456" s="26" t="str">
        <v>C0455</v>
      </c>
      <c r="B456" s="26">
        <f>_xlfn.DAYS(DATE(2024,12,31),_xlfn.MAXIFS(ecommerce_transactions!$D$2:$D$9999, ecommerce_transactions!$B$2:$B$9999, A456))</f>
        <v>12</v>
      </c>
      <c r="C456" s="26">
        <f>COUNTIF(ecommerce_transactions!B:B,main_data!A456)</f>
        <v>4</v>
      </c>
      <c r="D456" s="35">
        <f>SUMIF(ecommerce_transactions!B:B,main_data!A456,ecommerce_transactions!E:E)</f>
        <v>504.86</v>
      </c>
      <c r="E456" s="28">
        <f t="shared" si="71"/>
        <v>4</v>
      </c>
      <c r="F456" s="28">
        <f t="shared" si="72"/>
        <v>2</v>
      </c>
      <c r="G456" s="26">
        <f t="shared" si="73"/>
        <v>1</v>
      </c>
      <c r="H456" s="18" t="str">
        <f t="shared" si="74"/>
        <v>421</v>
      </c>
      <c r="I456" s="26" t="str">
        <f t="shared" si="75"/>
        <v>New Customers</v>
      </c>
      <c r="J456" s="17">
        <f t="shared" si="76"/>
        <v>126.215</v>
      </c>
      <c r="K456" s="36">
        <f>_xlfn.MAXIFS(ecommerce_transactions!D:D,ecommerce_transactions!B:B,main_data!A456)</f>
        <v>45645</v>
      </c>
      <c r="L456" s="36">
        <f>_xlfn.MINIFS(ecommerce_transactions!D:D,ecommerce_transactions!B:B,main_data!A456)</f>
        <v>45630</v>
      </c>
      <c r="M456" s="19">
        <f t="shared" si="77"/>
        <v>4.1067761806981518E-2</v>
      </c>
      <c r="N456" s="19">
        <f t="shared" si="70"/>
        <v>7.3927893738140424</v>
      </c>
      <c r="O456" s="17">
        <f t="shared" si="78"/>
        <v>38.319544592030368</v>
      </c>
      <c r="P456" s="17">
        <f t="shared" si="79"/>
        <v>11.49586337760911</v>
      </c>
    </row>
    <row r="457" spans="1:16" x14ac:dyDescent="0.3">
      <c r="A457" s="26" t="str">
        <v>C0456</v>
      </c>
      <c r="B457" s="26">
        <f>_xlfn.DAYS(DATE(2024,12,31),_xlfn.MAXIFS(ecommerce_transactions!$D$2:$D$9999, ecommerce_transactions!$B$2:$B$9999, A457))</f>
        <v>16</v>
      </c>
      <c r="C457" s="26">
        <f>COUNTIF(ecommerce_transactions!B:B,main_data!A457)</f>
        <v>12</v>
      </c>
      <c r="D457" s="35">
        <f>SUMIF(ecommerce_transactions!B:B,main_data!A457,ecommerce_transactions!E:E)</f>
        <v>3524.1799999999994</v>
      </c>
      <c r="E457" s="28">
        <f t="shared" si="71"/>
        <v>4</v>
      </c>
      <c r="F457" s="28">
        <f t="shared" si="72"/>
        <v>5</v>
      </c>
      <c r="G457" s="26">
        <f t="shared" si="73"/>
        <v>5</v>
      </c>
      <c r="H457" s="18" t="str">
        <f t="shared" si="74"/>
        <v>455</v>
      </c>
      <c r="I457" s="26" t="str">
        <f t="shared" si="75"/>
        <v>Champions</v>
      </c>
      <c r="J457" s="17">
        <f t="shared" si="76"/>
        <v>293.68166666666662</v>
      </c>
      <c r="K457" s="36">
        <f>_xlfn.MAXIFS(ecommerce_transactions!D:D,ecommerce_transactions!B:B,main_data!A457)</f>
        <v>45641</v>
      </c>
      <c r="L457" s="36">
        <f>_xlfn.MINIFS(ecommerce_transactions!D:D,ecommerce_transactions!B:B,main_data!A457)</f>
        <v>45487</v>
      </c>
      <c r="M457" s="19">
        <f t="shared" si="77"/>
        <v>0.42162902121834361</v>
      </c>
      <c r="N457" s="19">
        <f t="shared" si="70"/>
        <v>13.020423319717787</v>
      </c>
      <c r="O457" s="17">
        <f t="shared" si="78"/>
        <v>1612.2501893798737</v>
      </c>
      <c r="P457" s="17">
        <f t="shared" si="79"/>
        <v>483.6750568139621</v>
      </c>
    </row>
    <row r="458" spans="1:16" x14ac:dyDescent="0.3">
      <c r="A458" s="26" t="str">
        <v>C0457</v>
      </c>
      <c r="B458" s="26">
        <f>_xlfn.DAYS(DATE(2024,12,31),_xlfn.MAXIFS(ecommerce_transactions!$D$2:$D$9999, ecommerce_transactions!$B$2:$B$9999, A458))</f>
        <v>13</v>
      </c>
      <c r="C458" s="26">
        <f>COUNTIF(ecommerce_transactions!B:B,main_data!A458)</f>
        <v>9</v>
      </c>
      <c r="D458" s="35">
        <f>SUMIF(ecommerce_transactions!B:B,main_data!A458,ecommerce_transactions!E:E)</f>
        <v>2511.17</v>
      </c>
      <c r="E458" s="28">
        <f t="shared" si="71"/>
        <v>4</v>
      </c>
      <c r="F458" s="28">
        <f t="shared" si="72"/>
        <v>4</v>
      </c>
      <c r="G458" s="26">
        <f t="shared" si="73"/>
        <v>4</v>
      </c>
      <c r="H458" s="18" t="str">
        <f t="shared" si="74"/>
        <v>444</v>
      </c>
      <c r="I458" s="26" t="str">
        <f t="shared" si="75"/>
        <v>Champions</v>
      </c>
      <c r="J458" s="17">
        <f t="shared" si="76"/>
        <v>279.01888888888891</v>
      </c>
      <c r="K458" s="36">
        <f>_xlfn.MAXIFS(ecommerce_transactions!D:D,ecommerce_transactions!B:B,main_data!A458)</f>
        <v>45644</v>
      </c>
      <c r="L458" s="36">
        <f>_xlfn.MINIFS(ecommerce_transactions!D:D,ecommerce_transactions!B:B,main_data!A458)</f>
        <v>45314</v>
      </c>
      <c r="M458" s="19">
        <f t="shared" si="77"/>
        <v>0.90349075975359339</v>
      </c>
      <c r="N458" s="19">
        <f t="shared" si="70"/>
        <v>6.4125822970007311</v>
      </c>
      <c r="O458" s="17">
        <f t="shared" si="78"/>
        <v>1616.5542062911484</v>
      </c>
      <c r="P458" s="17">
        <f t="shared" si="79"/>
        <v>484.9662618873445</v>
      </c>
    </row>
    <row r="459" spans="1:16" x14ac:dyDescent="0.3">
      <c r="A459" s="26" t="str">
        <v>C0458</v>
      </c>
      <c r="B459" s="26">
        <f>_xlfn.DAYS(DATE(2024,12,31),_xlfn.MAXIFS(ecommerce_transactions!$D$2:$D$9999, ecommerce_transactions!$B$2:$B$9999, A459))</f>
        <v>30</v>
      </c>
      <c r="C459" s="26">
        <f>COUNTIF(ecommerce_transactions!B:B,main_data!A459)</f>
        <v>4</v>
      </c>
      <c r="D459" s="35">
        <f>SUMIF(ecommerce_transactions!B:B,main_data!A459,ecommerce_transactions!E:E)</f>
        <v>1065.52</v>
      </c>
      <c r="E459" s="28">
        <f t="shared" si="71"/>
        <v>3</v>
      </c>
      <c r="F459" s="28">
        <f t="shared" si="72"/>
        <v>2</v>
      </c>
      <c r="G459" s="26">
        <f t="shared" si="73"/>
        <v>2</v>
      </c>
      <c r="H459" s="18" t="str">
        <f t="shared" si="74"/>
        <v>322</v>
      </c>
      <c r="I459" s="26" t="str">
        <f t="shared" si="75"/>
        <v>Lost</v>
      </c>
      <c r="J459" s="17">
        <f t="shared" si="76"/>
        <v>266.38</v>
      </c>
      <c r="K459" s="36">
        <f>_xlfn.MAXIFS(ecommerce_transactions!D:D,ecommerce_transactions!B:B,main_data!A459)</f>
        <v>45627</v>
      </c>
      <c r="L459" s="36">
        <f>_xlfn.MINIFS(ecommerce_transactions!D:D,ecommerce_transactions!B:B,main_data!A459)</f>
        <v>45438</v>
      </c>
      <c r="M459" s="19">
        <f t="shared" si="77"/>
        <v>0.51745379876796715</v>
      </c>
      <c r="N459" s="19">
        <f t="shared" si="70"/>
        <v>3.9313824419778007</v>
      </c>
      <c r="O459" s="17">
        <f t="shared" si="78"/>
        <v>541.89917255297689</v>
      </c>
      <c r="P459" s="17">
        <f t="shared" si="79"/>
        <v>162.56975176589307</v>
      </c>
    </row>
    <row r="460" spans="1:16" x14ac:dyDescent="0.3">
      <c r="A460" s="26" t="str">
        <v>C0459</v>
      </c>
      <c r="B460" s="26">
        <f>_xlfn.DAYS(DATE(2024,12,31),_xlfn.MAXIFS(ecommerce_transactions!$D$2:$D$9999, ecommerce_transactions!$B$2:$B$9999, A460))</f>
        <v>2</v>
      </c>
      <c r="C460" s="26">
        <f>COUNTIF(ecommerce_transactions!B:B,main_data!A460)</f>
        <v>9</v>
      </c>
      <c r="D460" s="35">
        <f>SUMIF(ecommerce_transactions!B:B,main_data!A460,ecommerce_transactions!E:E)</f>
        <v>2190.42</v>
      </c>
      <c r="E460" s="28">
        <f t="shared" si="71"/>
        <v>5</v>
      </c>
      <c r="F460" s="28">
        <f t="shared" si="72"/>
        <v>4</v>
      </c>
      <c r="G460" s="26">
        <f t="shared" si="73"/>
        <v>3</v>
      </c>
      <c r="H460" s="18" t="str">
        <f t="shared" si="74"/>
        <v>543</v>
      </c>
      <c r="I460" s="26" t="str">
        <f t="shared" si="75"/>
        <v>Loyal Customers</v>
      </c>
      <c r="J460" s="17">
        <f t="shared" si="76"/>
        <v>243.38</v>
      </c>
      <c r="K460" s="36">
        <f>_xlfn.MAXIFS(ecommerce_transactions!D:D,ecommerce_transactions!B:B,main_data!A460)</f>
        <v>45655</v>
      </c>
      <c r="L460" s="36">
        <f>_xlfn.MINIFS(ecommerce_transactions!D:D,ecommerce_transactions!B:B,main_data!A460)</f>
        <v>45230</v>
      </c>
      <c r="M460" s="19">
        <f t="shared" si="77"/>
        <v>1.1635865845311431</v>
      </c>
      <c r="N460" s="19">
        <f t="shared" si="70"/>
        <v>5.4099979428101213</v>
      </c>
      <c r="O460" s="17">
        <f t="shared" si="78"/>
        <v>1532.0773503394364</v>
      </c>
      <c r="P460" s="17">
        <f t="shared" si="79"/>
        <v>459.62320510183093</v>
      </c>
    </row>
    <row r="461" spans="1:16" x14ac:dyDescent="0.3">
      <c r="A461" s="26" t="str">
        <v>C0460</v>
      </c>
      <c r="B461" s="26">
        <f>_xlfn.DAYS(DATE(2024,12,31),_xlfn.MAXIFS(ecommerce_transactions!$D$2:$D$9999, ecommerce_transactions!$B$2:$B$9999, A461))</f>
        <v>25</v>
      </c>
      <c r="C461" s="26">
        <f>COUNTIF(ecommerce_transactions!B:B,main_data!A461)</f>
        <v>5</v>
      </c>
      <c r="D461" s="35">
        <f>SUMIF(ecommerce_transactions!B:B,main_data!A461,ecommerce_transactions!E:E)</f>
        <v>925.77</v>
      </c>
      <c r="E461" s="28">
        <f t="shared" si="71"/>
        <v>3</v>
      </c>
      <c r="F461" s="28">
        <f t="shared" si="72"/>
        <v>2</v>
      </c>
      <c r="G461" s="26">
        <f t="shared" si="73"/>
        <v>1</v>
      </c>
      <c r="H461" s="18" t="str">
        <f t="shared" si="74"/>
        <v>321</v>
      </c>
      <c r="I461" s="26" t="str">
        <f t="shared" si="75"/>
        <v>Lost</v>
      </c>
      <c r="J461" s="17">
        <f t="shared" si="76"/>
        <v>185.154</v>
      </c>
      <c r="K461" s="36">
        <f>_xlfn.MAXIFS(ecommerce_transactions!D:D,ecommerce_transactions!B:B,main_data!A461)</f>
        <v>45632</v>
      </c>
      <c r="L461" s="36">
        <f>_xlfn.MINIFS(ecommerce_transactions!D:D,ecommerce_transactions!B:B,main_data!A461)</f>
        <v>45549</v>
      </c>
      <c r="M461" s="19">
        <f t="shared" si="77"/>
        <v>0.22724161533196441</v>
      </c>
      <c r="N461" s="19">
        <f t="shared" si="70"/>
        <v>6.8752941176470586</v>
      </c>
      <c r="O461" s="17">
        <f t="shared" si="78"/>
        <v>289.27589647058824</v>
      </c>
      <c r="P461" s="17">
        <f t="shared" si="79"/>
        <v>86.782768941176471</v>
      </c>
    </row>
    <row r="462" spans="1:16" x14ac:dyDescent="0.3">
      <c r="A462" s="26" t="str">
        <v>C0461</v>
      </c>
      <c r="B462" s="26">
        <f>_xlfn.DAYS(DATE(2024,12,31),_xlfn.MAXIFS(ecommerce_transactions!$D$2:$D$9999, ecommerce_transactions!$B$2:$B$9999, A462))</f>
        <v>19</v>
      </c>
      <c r="C462" s="26">
        <f>COUNTIF(ecommerce_transactions!B:B,main_data!A462)</f>
        <v>9</v>
      </c>
      <c r="D462" s="35">
        <f>SUMIF(ecommerce_transactions!B:B,main_data!A462,ecommerce_transactions!E:E)</f>
        <v>1802.0700000000002</v>
      </c>
      <c r="E462" s="28">
        <f t="shared" si="71"/>
        <v>4</v>
      </c>
      <c r="F462" s="28">
        <f t="shared" si="72"/>
        <v>4</v>
      </c>
      <c r="G462" s="26">
        <f t="shared" si="73"/>
        <v>3</v>
      </c>
      <c r="H462" s="18" t="str">
        <f t="shared" si="74"/>
        <v>443</v>
      </c>
      <c r="I462" s="26" t="str">
        <f t="shared" si="75"/>
        <v>Loyal Customers</v>
      </c>
      <c r="J462" s="17">
        <f t="shared" si="76"/>
        <v>200.23000000000002</v>
      </c>
      <c r="K462" s="36">
        <f>_xlfn.MAXIFS(ecommerce_transactions!D:D,ecommerce_transactions!B:B,main_data!A462)</f>
        <v>45638</v>
      </c>
      <c r="L462" s="36">
        <f>_xlfn.MINIFS(ecommerce_transactions!D:D,ecommerce_transactions!B:B,main_data!A462)</f>
        <v>44994</v>
      </c>
      <c r="M462" s="19">
        <f t="shared" si="77"/>
        <v>1.7631759069130732</v>
      </c>
      <c r="N462" s="19">
        <f t="shared" si="70"/>
        <v>3.9767125359141091</v>
      </c>
      <c r="O462" s="17">
        <f t="shared" si="78"/>
        <v>1403.9414244669592</v>
      </c>
      <c r="P462" s="17">
        <f t="shared" si="79"/>
        <v>421.18242734008777</v>
      </c>
    </row>
    <row r="463" spans="1:16" x14ac:dyDescent="0.3">
      <c r="A463" s="26" t="str">
        <v>C0462</v>
      </c>
      <c r="B463" s="26">
        <f>_xlfn.DAYS(DATE(2024,12,31),_xlfn.MAXIFS(ecommerce_transactions!$D$2:$D$9999, ecommerce_transactions!$B$2:$B$9999, A463))</f>
        <v>3</v>
      </c>
      <c r="C463" s="26">
        <f>COUNTIF(ecommerce_transactions!B:B,main_data!A463)</f>
        <v>12</v>
      </c>
      <c r="D463" s="35">
        <f>SUMIF(ecommerce_transactions!B:B,main_data!A463,ecommerce_transactions!E:E)</f>
        <v>2824.9</v>
      </c>
      <c r="E463" s="28">
        <f t="shared" si="71"/>
        <v>5</v>
      </c>
      <c r="F463" s="28">
        <f t="shared" si="72"/>
        <v>5</v>
      </c>
      <c r="G463" s="26">
        <f t="shared" si="73"/>
        <v>4</v>
      </c>
      <c r="H463" s="18" t="str">
        <f t="shared" si="74"/>
        <v>554</v>
      </c>
      <c r="I463" s="26" t="str">
        <f t="shared" si="75"/>
        <v>Champions</v>
      </c>
      <c r="J463" s="17">
        <f t="shared" si="76"/>
        <v>235.40833333333333</v>
      </c>
      <c r="K463" s="36">
        <f>_xlfn.MAXIFS(ecommerce_transactions!D:D,ecommerce_transactions!B:B,main_data!A463)</f>
        <v>45654</v>
      </c>
      <c r="L463" s="36">
        <f>_xlfn.MINIFS(ecommerce_transactions!D:D,ecommerce_transactions!B:B,main_data!A463)</f>
        <v>45550</v>
      </c>
      <c r="M463" s="19">
        <f t="shared" si="77"/>
        <v>0.28473648186173856</v>
      </c>
      <c r="N463" s="19">
        <f t="shared" si="70"/>
        <v>15.291757522895768</v>
      </c>
      <c r="O463" s="17">
        <f t="shared" si="78"/>
        <v>1024.9964238988225</v>
      </c>
      <c r="P463" s="17">
        <f t="shared" si="79"/>
        <v>307.49892716964672</v>
      </c>
    </row>
    <row r="464" spans="1:16" x14ac:dyDescent="0.3">
      <c r="A464" s="26" t="str">
        <v>C0463</v>
      </c>
      <c r="B464" s="26">
        <f>_xlfn.DAYS(DATE(2024,12,31),_xlfn.MAXIFS(ecommerce_transactions!$D$2:$D$9999, ecommerce_transactions!$B$2:$B$9999, A464))</f>
        <v>120</v>
      </c>
      <c r="C464" s="26">
        <f>COUNTIF(ecommerce_transactions!B:B,main_data!A464)</f>
        <v>15</v>
      </c>
      <c r="D464" s="35">
        <f>SUMIF(ecommerce_transactions!B:B,main_data!A464,ecommerce_transactions!E:E)</f>
        <v>4289.3999999999996</v>
      </c>
      <c r="E464" s="28">
        <f t="shared" si="71"/>
        <v>1</v>
      </c>
      <c r="F464" s="28">
        <f t="shared" si="72"/>
        <v>5</v>
      </c>
      <c r="G464" s="26">
        <f t="shared" si="73"/>
        <v>5</v>
      </c>
      <c r="H464" s="18" t="str">
        <f t="shared" si="74"/>
        <v>155</v>
      </c>
      <c r="I464" s="26" t="str">
        <f t="shared" si="75"/>
        <v>At Risk</v>
      </c>
      <c r="J464" s="17">
        <f t="shared" si="76"/>
        <v>285.95999999999998</v>
      </c>
      <c r="K464" s="36">
        <f>_xlfn.MAXIFS(ecommerce_transactions!D:D,ecommerce_transactions!B:B,main_data!A464)</f>
        <v>45537</v>
      </c>
      <c r="L464" s="36">
        <f>_xlfn.MINIFS(ecommerce_transactions!D:D,ecommerce_transactions!B:B,main_data!A464)</f>
        <v>45034</v>
      </c>
      <c r="M464" s="19">
        <f t="shared" si="77"/>
        <v>1.377138945927447</v>
      </c>
      <c r="N464" s="19">
        <f t="shared" si="70"/>
        <v>7.9908842297174107</v>
      </c>
      <c r="O464" s="17">
        <f t="shared" si="78"/>
        <v>3146.8633728350042</v>
      </c>
      <c r="P464" s="17">
        <f t="shared" si="79"/>
        <v>944.05901185050118</v>
      </c>
    </row>
    <row r="465" spans="1:16" x14ac:dyDescent="0.3">
      <c r="A465" s="26" t="str">
        <v>C0464</v>
      </c>
      <c r="B465" s="26">
        <f>_xlfn.DAYS(DATE(2024,12,31),_xlfn.MAXIFS(ecommerce_transactions!$D$2:$D$9999, ecommerce_transactions!$B$2:$B$9999, A465))</f>
        <v>7</v>
      </c>
      <c r="C465" s="26">
        <f>COUNTIF(ecommerce_transactions!B:B,main_data!A465)</f>
        <v>9</v>
      </c>
      <c r="D465" s="35">
        <f>SUMIF(ecommerce_transactions!B:B,main_data!A465,ecommerce_transactions!E:E)</f>
        <v>2098.2200000000003</v>
      </c>
      <c r="E465" s="28">
        <f t="shared" si="71"/>
        <v>5</v>
      </c>
      <c r="F465" s="28">
        <f t="shared" si="72"/>
        <v>4</v>
      </c>
      <c r="G465" s="26">
        <f t="shared" si="73"/>
        <v>3</v>
      </c>
      <c r="H465" s="18" t="str">
        <f t="shared" si="74"/>
        <v>543</v>
      </c>
      <c r="I465" s="26" t="str">
        <f t="shared" si="75"/>
        <v>Loyal Customers</v>
      </c>
      <c r="J465" s="17">
        <f t="shared" si="76"/>
        <v>233.13555555555558</v>
      </c>
      <c r="K465" s="36">
        <f>_xlfn.MAXIFS(ecommerce_transactions!D:D,ecommerce_transactions!B:B,main_data!A465)</f>
        <v>45650</v>
      </c>
      <c r="L465" s="36">
        <f>_xlfn.MINIFS(ecommerce_transactions!D:D,ecommerce_transactions!B:B,main_data!A465)</f>
        <v>45471</v>
      </c>
      <c r="M465" s="19">
        <f t="shared" si="77"/>
        <v>0.49007529089664614</v>
      </c>
      <c r="N465" s="19">
        <f t="shared" si="70"/>
        <v>9.0902177670238498</v>
      </c>
      <c r="O465" s="17">
        <f t="shared" si="78"/>
        <v>1038.5935153819564</v>
      </c>
      <c r="P465" s="17">
        <f t="shared" si="79"/>
        <v>311.5780546145869</v>
      </c>
    </row>
    <row r="466" spans="1:16" x14ac:dyDescent="0.3">
      <c r="A466" s="26" t="str">
        <v>C0465</v>
      </c>
      <c r="B466" s="26">
        <f>_xlfn.DAYS(DATE(2024,12,31),_xlfn.MAXIFS(ecommerce_transactions!$D$2:$D$9999, ecommerce_transactions!$B$2:$B$9999, A466))</f>
        <v>3</v>
      </c>
      <c r="C466" s="26">
        <f>COUNTIF(ecommerce_transactions!B:B,main_data!A466)</f>
        <v>14</v>
      </c>
      <c r="D466" s="35">
        <f>SUMIF(ecommerce_transactions!B:B,main_data!A466,ecommerce_transactions!E:E)</f>
        <v>3928.3399999999997</v>
      </c>
      <c r="E466" s="28">
        <f t="shared" si="71"/>
        <v>5</v>
      </c>
      <c r="F466" s="28">
        <f t="shared" si="72"/>
        <v>5</v>
      </c>
      <c r="G466" s="26">
        <f t="shared" si="73"/>
        <v>5</v>
      </c>
      <c r="H466" s="18" t="str">
        <f t="shared" si="74"/>
        <v>555</v>
      </c>
      <c r="I466" s="26" t="str">
        <f t="shared" si="75"/>
        <v>Champions</v>
      </c>
      <c r="J466" s="17">
        <f t="shared" si="76"/>
        <v>280.59571428571428</v>
      </c>
      <c r="K466" s="36">
        <f>_xlfn.MAXIFS(ecommerce_transactions!D:D,ecommerce_transactions!B:B,main_data!A466)</f>
        <v>45654</v>
      </c>
      <c r="L466" s="36">
        <f>_xlfn.MINIFS(ecommerce_transactions!D:D,ecommerce_transactions!B:B,main_data!A466)</f>
        <v>45409</v>
      </c>
      <c r="M466" s="19">
        <f t="shared" si="77"/>
        <v>0.67077344284736484</v>
      </c>
      <c r="N466" s="19">
        <f t="shared" si="70"/>
        <v>11.957907044723765</v>
      </c>
      <c r="O466" s="17">
        <f t="shared" si="78"/>
        <v>2250.6712657117801</v>
      </c>
      <c r="P466" s="17">
        <f t="shared" si="79"/>
        <v>675.20137971353404</v>
      </c>
    </row>
    <row r="467" spans="1:16" x14ac:dyDescent="0.3">
      <c r="A467" s="26" t="str">
        <v>C0466</v>
      </c>
      <c r="B467" s="26">
        <f>_xlfn.DAYS(DATE(2024,12,31),_xlfn.MAXIFS(ecommerce_transactions!$D$2:$D$9999, ecommerce_transactions!$B$2:$B$9999, A467))</f>
        <v>88</v>
      </c>
      <c r="C467" s="26">
        <f>COUNTIF(ecommerce_transactions!B:B,main_data!A467)</f>
        <v>7</v>
      </c>
      <c r="D467" s="35">
        <f>SUMIF(ecommerce_transactions!B:B,main_data!A467,ecommerce_transactions!E:E)</f>
        <v>1822.72</v>
      </c>
      <c r="E467" s="28">
        <f t="shared" si="71"/>
        <v>2</v>
      </c>
      <c r="F467" s="28">
        <f t="shared" si="72"/>
        <v>3</v>
      </c>
      <c r="G467" s="26">
        <f t="shared" si="73"/>
        <v>3</v>
      </c>
      <c r="H467" s="18" t="str">
        <f t="shared" si="74"/>
        <v>233</v>
      </c>
      <c r="I467" s="26" t="str">
        <f t="shared" si="75"/>
        <v>At Risk</v>
      </c>
      <c r="J467" s="17">
        <f t="shared" si="76"/>
        <v>260.38857142857142</v>
      </c>
      <c r="K467" s="36">
        <f>_xlfn.MAXIFS(ecommerce_transactions!D:D,ecommerce_transactions!B:B,main_data!A467)</f>
        <v>45569</v>
      </c>
      <c r="L467" s="36">
        <f>_xlfn.MINIFS(ecommerce_transactions!D:D,ecommerce_transactions!B:B,main_data!A467)</f>
        <v>45213</v>
      </c>
      <c r="M467" s="19">
        <f t="shared" si="77"/>
        <v>0.97467488021902804</v>
      </c>
      <c r="N467" s="19">
        <f t="shared" si="70"/>
        <v>4.7468090044093758</v>
      </c>
      <c r="O467" s="17">
        <f t="shared" si="78"/>
        <v>1204.7125922487814</v>
      </c>
      <c r="P467" s="17">
        <f t="shared" si="79"/>
        <v>361.41377767463445</v>
      </c>
    </row>
    <row r="468" spans="1:16" x14ac:dyDescent="0.3">
      <c r="A468" s="26" t="str">
        <v>C0467</v>
      </c>
      <c r="B468" s="26">
        <f>_xlfn.DAYS(DATE(2024,12,31),_xlfn.MAXIFS(ecommerce_transactions!$D$2:$D$9999, ecommerce_transactions!$B$2:$B$9999, A468))</f>
        <v>35</v>
      </c>
      <c r="C468" s="26">
        <f>COUNTIF(ecommerce_transactions!B:B,main_data!A468)</f>
        <v>13</v>
      </c>
      <c r="D468" s="35">
        <f>SUMIF(ecommerce_transactions!B:B,main_data!A468,ecommerce_transactions!E:E)</f>
        <v>2467.02</v>
      </c>
      <c r="E468" s="28">
        <f t="shared" si="71"/>
        <v>3</v>
      </c>
      <c r="F468" s="28">
        <f t="shared" si="72"/>
        <v>5</v>
      </c>
      <c r="G468" s="26">
        <f t="shared" si="73"/>
        <v>4</v>
      </c>
      <c r="H468" s="18" t="str">
        <f t="shared" si="74"/>
        <v>354</v>
      </c>
      <c r="I468" s="26" t="str">
        <f t="shared" si="75"/>
        <v>Loyal Customers</v>
      </c>
      <c r="J468" s="17">
        <f t="shared" si="76"/>
        <v>189.77076923076922</v>
      </c>
      <c r="K468" s="36">
        <f>_xlfn.MAXIFS(ecommerce_transactions!D:D,ecommerce_transactions!B:B,main_data!A468)</f>
        <v>45622</v>
      </c>
      <c r="L468" s="36">
        <f>_xlfn.MINIFS(ecommerce_transactions!D:D,ecommerce_transactions!B:B,main_data!A468)</f>
        <v>45375</v>
      </c>
      <c r="M468" s="19">
        <f t="shared" si="77"/>
        <v>0.67624914442162898</v>
      </c>
      <c r="N468" s="19">
        <f t="shared" si="70"/>
        <v>11.052080302589468</v>
      </c>
      <c r="O468" s="17">
        <f t="shared" si="78"/>
        <v>1418.3391096886819</v>
      </c>
      <c r="P468" s="17">
        <f t="shared" si="79"/>
        <v>425.50173290660456</v>
      </c>
    </row>
    <row r="469" spans="1:16" x14ac:dyDescent="0.3">
      <c r="A469" s="26" t="str">
        <v>C0468</v>
      </c>
      <c r="B469" s="26">
        <f>_xlfn.DAYS(DATE(2024,12,31),_xlfn.MAXIFS(ecommerce_transactions!$D$2:$D$9999, ecommerce_transactions!$B$2:$B$9999, A469))</f>
        <v>1</v>
      </c>
      <c r="C469" s="26">
        <f>COUNTIF(ecommerce_transactions!B:B,main_data!A469)</f>
        <v>7</v>
      </c>
      <c r="D469" s="35">
        <f>SUMIF(ecommerce_transactions!B:B,main_data!A469,ecommerce_transactions!E:E)</f>
        <v>1241.1499999999999</v>
      </c>
      <c r="E469" s="28">
        <f t="shared" si="71"/>
        <v>5</v>
      </c>
      <c r="F469" s="28">
        <f t="shared" si="72"/>
        <v>3</v>
      </c>
      <c r="G469" s="26">
        <f t="shared" si="73"/>
        <v>2</v>
      </c>
      <c r="H469" s="18" t="str">
        <f t="shared" si="74"/>
        <v>532</v>
      </c>
      <c r="I469" s="26" t="str">
        <f t="shared" si="75"/>
        <v>Potential Loyalists</v>
      </c>
      <c r="J469" s="17">
        <f t="shared" si="76"/>
        <v>177.30714285714285</v>
      </c>
      <c r="K469" s="36">
        <f>_xlfn.MAXIFS(ecommerce_transactions!D:D,ecommerce_transactions!B:B,main_data!A469)</f>
        <v>45656</v>
      </c>
      <c r="L469" s="36">
        <f>_xlfn.MINIFS(ecommerce_transactions!D:D,ecommerce_transactions!B:B,main_data!A469)</f>
        <v>45581</v>
      </c>
      <c r="M469" s="19">
        <f t="shared" si="77"/>
        <v>0.20533880903490759</v>
      </c>
      <c r="N469" s="19">
        <f t="shared" si="70"/>
        <v>9.9243085880640471</v>
      </c>
      <c r="O469" s="17">
        <f t="shared" si="78"/>
        <v>361.32459970887913</v>
      </c>
      <c r="P469" s="17">
        <f t="shared" si="79"/>
        <v>108.39737991266374</v>
      </c>
    </row>
    <row r="470" spans="1:16" x14ac:dyDescent="0.3">
      <c r="A470" s="26" t="str">
        <v>C0469</v>
      </c>
      <c r="B470" s="26">
        <f>_xlfn.DAYS(DATE(2024,12,31),_xlfn.MAXIFS(ecommerce_transactions!$D$2:$D$9999, ecommerce_transactions!$B$2:$B$9999, A470))</f>
        <v>138</v>
      </c>
      <c r="C470" s="26">
        <f>COUNTIF(ecommerce_transactions!B:B,main_data!A470)</f>
        <v>7</v>
      </c>
      <c r="D470" s="35">
        <f>SUMIF(ecommerce_transactions!B:B,main_data!A470,ecommerce_transactions!E:E)</f>
        <v>1847.56</v>
      </c>
      <c r="E470" s="28">
        <f t="shared" si="71"/>
        <v>1</v>
      </c>
      <c r="F470" s="28">
        <f t="shared" si="72"/>
        <v>3</v>
      </c>
      <c r="G470" s="26">
        <f t="shared" si="73"/>
        <v>3</v>
      </c>
      <c r="H470" s="18" t="str">
        <f t="shared" si="74"/>
        <v>133</v>
      </c>
      <c r="I470" s="26" t="str">
        <f t="shared" si="75"/>
        <v>At Risk</v>
      </c>
      <c r="J470" s="17">
        <f t="shared" si="76"/>
        <v>263.93714285714287</v>
      </c>
      <c r="K470" s="36">
        <f>_xlfn.MAXIFS(ecommerce_transactions!D:D,ecommerce_transactions!B:B,main_data!A470)</f>
        <v>45519</v>
      </c>
      <c r="L470" s="36">
        <f>_xlfn.MINIFS(ecommerce_transactions!D:D,ecommerce_transactions!B:B,main_data!A470)</f>
        <v>45219</v>
      </c>
      <c r="M470" s="19">
        <f t="shared" si="77"/>
        <v>0.82135523613963035</v>
      </c>
      <c r="N470" s="19">
        <f t="shared" si="70"/>
        <v>5.297591297591298</v>
      </c>
      <c r="O470" s="17">
        <f t="shared" si="78"/>
        <v>1148.4444444444446</v>
      </c>
      <c r="P470" s="17">
        <f t="shared" si="79"/>
        <v>344.53333333333336</v>
      </c>
    </row>
    <row r="471" spans="1:16" x14ac:dyDescent="0.3">
      <c r="A471" s="26" t="str">
        <v>C0470</v>
      </c>
      <c r="B471" s="26">
        <f>_xlfn.DAYS(DATE(2024,12,31),_xlfn.MAXIFS(ecommerce_transactions!$D$2:$D$9999, ecommerce_transactions!$B$2:$B$9999, A471))</f>
        <v>3</v>
      </c>
      <c r="C471" s="26">
        <f>COUNTIF(ecommerce_transactions!B:B,main_data!A471)</f>
        <v>14</v>
      </c>
      <c r="D471" s="35">
        <f>SUMIF(ecommerce_transactions!B:B,main_data!A471,ecommerce_transactions!E:E)</f>
        <v>4012.3700000000003</v>
      </c>
      <c r="E471" s="28">
        <f t="shared" si="71"/>
        <v>5</v>
      </c>
      <c r="F471" s="28">
        <f t="shared" si="72"/>
        <v>5</v>
      </c>
      <c r="G471" s="26">
        <f t="shared" si="73"/>
        <v>5</v>
      </c>
      <c r="H471" s="18" t="str">
        <f t="shared" si="74"/>
        <v>555</v>
      </c>
      <c r="I471" s="26" t="str">
        <f t="shared" si="75"/>
        <v>Champions</v>
      </c>
      <c r="J471" s="17">
        <f t="shared" si="76"/>
        <v>286.59785714285715</v>
      </c>
      <c r="K471" s="36">
        <f>_xlfn.MAXIFS(ecommerce_transactions!D:D,ecommerce_transactions!B:B,main_data!A471)</f>
        <v>45654</v>
      </c>
      <c r="L471" s="36">
        <f>_xlfn.MINIFS(ecommerce_transactions!D:D,ecommerce_transactions!B:B,main_data!A471)</f>
        <v>44958</v>
      </c>
      <c r="M471" s="19">
        <f t="shared" si="77"/>
        <v>1.9055441478439425</v>
      </c>
      <c r="N471" s="19">
        <f t="shared" si="70"/>
        <v>5.8198890311566371</v>
      </c>
      <c r="O471" s="17">
        <f t="shared" si="78"/>
        <v>3178.3861374306448</v>
      </c>
      <c r="P471" s="17">
        <f t="shared" si="79"/>
        <v>953.51584122919337</v>
      </c>
    </row>
    <row r="472" spans="1:16" x14ac:dyDescent="0.3">
      <c r="A472" s="26" t="str">
        <v>C0471</v>
      </c>
      <c r="B472" s="26">
        <f>_xlfn.DAYS(DATE(2024,12,31),_xlfn.MAXIFS(ecommerce_transactions!$D$2:$D$9999, ecommerce_transactions!$B$2:$B$9999, A472))</f>
        <v>35</v>
      </c>
      <c r="C472" s="26">
        <f>COUNTIF(ecommerce_transactions!B:B,main_data!A472)</f>
        <v>6</v>
      </c>
      <c r="D472" s="35">
        <f>SUMIF(ecommerce_transactions!B:B,main_data!A472,ecommerce_transactions!E:E)</f>
        <v>1121.83</v>
      </c>
      <c r="E472" s="28">
        <f t="shared" si="71"/>
        <v>3</v>
      </c>
      <c r="F472" s="28">
        <f t="shared" si="72"/>
        <v>3</v>
      </c>
      <c r="G472" s="26">
        <f t="shared" si="73"/>
        <v>2</v>
      </c>
      <c r="H472" s="18" t="str">
        <f t="shared" si="74"/>
        <v>332</v>
      </c>
      <c r="I472" s="26" t="str">
        <f t="shared" si="75"/>
        <v>Lost</v>
      </c>
      <c r="J472" s="17">
        <f t="shared" si="76"/>
        <v>186.97166666666666</v>
      </c>
      <c r="K472" s="36">
        <f>_xlfn.MAXIFS(ecommerce_transactions!D:D,ecommerce_transactions!B:B,main_data!A472)</f>
        <v>45622</v>
      </c>
      <c r="L472" s="36">
        <f>_xlfn.MINIFS(ecommerce_transactions!D:D,ecommerce_transactions!B:B,main_data!A472)</f>
        <v>45378</v>
      </c>
      <c r="M472" s="19">
        <f t="shared" si="77"/>
        <v>0.66803559206023266</v>
      </c>
      <c r="N472" s="19">
        <f t="shared" si="70"/>
        <v>5.1368297685320838</v>
      </c>
      <c r="O472" s="17">
        <f t="shared" si="78"/>
        <v>641.60918839730448</v>
      </c>
      <c r="P472" s="17">
        <f t="shared" si="79"/>
        <v>192.48275651919133</v>
      </c>
    </row>
    <row r="473" spans="1:16" x14ac:dyDescent="0.3">
      <c r="A473" s="26" t="str">
        <v>C0472</v>
      </c>
      <c r="B473" s="26">
        <f>_xlfn.DAYS(DATE(2024,12,31),_xlfn.MAXIFS(ecommerce_transactions!$D$2:$D$9999, ecommerce_transactions!$B$2:$B$9999, A473))</f>
        <v>21</v>
      </c>
      <c r="C473" s="26">
        <f>COUNTIF(ecommerce_transactions!B:B,main_data!A473)</f>
        <v>14</v>
      </c>
      <c r="D473" s="35">
        <f>SUMIF(ecommerce_transactions!B:B,main_data!A473,ecommerce_transactions!E:E)</f>
        <v>3393.93</v>
      </c>
      <c r="E473" s="28">
        <f t="shared" si="71"/>
        <v>3</v>
      </c>
      <c r="F473" s="28">
        <f t="shared" si="72"/>
        <v>5</v>
      </c>
      <c r="G473" s="26">
        <f t="shared" si="73"/>
        <v>5</v>
      </c>
      <c r="H473" s="18" t="str">
        <f t="shared" si="74"/>
        <v>355</v>
      </c>
      <c r="I473" s="26" t="str">
        <f t="shared" si="75"/>
        <v>Loyal Customers</v>
      </c>
      <c r="J473" s="17">
        <f t="shared" si="76"/>
        <v>242.42357142857142</v>
      </c>
      <c r="K473" s="36">
        <f>_xlfn.MAXIFS(ecommerce_transactions!D:D,ecommerce_transactions!B:B,main_data!A473)</f>
        <v>45636</v>
      </c>
      <c r="L473" s="36">
        <f>_xlfn.MINIFS(ecommerce_transactions!D:D,ecommerce_transactions!B:B,main_data!A473)</f>
        <v>44966</v>
      </c>
      <c r="M473" s="19">
        <f t="shared" si="77"/>
        <v>1.8343600273785079</v>
      </c>
      <c r="N473" s="19">
        <f t="shared" si="70"/>
        <v>5.9973610907491572</v>
      </c>
      <c r="O473" s="17">
        <f t="shared" si="78"/>
        <v>2666.9791526169183</v>
      </c>
      <c r="P473" s="17">
        <f t="shared" si="79"/>
        <v>800.0937457850755</v>
      </c>
    </row>
    <row r="474" spans="1:16" x14ac:dyDescent="0.3">
      <c r="A474" s="26" t="str">
        <v>C0473</v>
      </c>
      <c r="B474" s="26">
        <f>_xlfn.DAYS(DATE(2024,12,31),_xlfn.MAXIFS(ecommerce_transactions!$D$2:$D$9999, ecommerce_transactions!$B$2:$B$9999, A474))</f>
        <v>13</v>
      </c>
      <c r="C474" s="26">
        <f>COUNTIF(ecommerce_transactions!B:B,main_data!A474)</f>
        <v>4</v>
      </c>
      <c r="D474" s="35">
        <f>SUMIF(ecommerce_transactions!B:B,main_data!A474,ecommerce_transactions!E:E)</f>
        <v>681.5</v>
      </c>
      <c r="E474" s="28">
        <f t="shared" si="71"/>
        <v>4</v>
      </c>
      <c r="F474" s="28">
        <f t="shared" si="72"/>
        <v>2</v>
      </c>
      <c r="G474" s="26">
        <f t="shared" si="73"/>
        <v>1</v>
      </c>
      <c r="H474" s="18" t="str">
        <f t="shared" si="74"/>
        <v>421</v>
      </c>
      <c r="I474" s="26" t="str">
        <f t="shared" si="75"/>
        <v>New Customers</v>
      </c>
      <c r="J474" s="17">
        <f t="shared" si="76"/>
        <v>170.375</v>
      </c>
      <c r="K474" s="36">
        <f>_xlfn.MAXIFS(ecommerce_transactions!D:D,ecommerce_transactions!B:B,main_data!A474)</f>
        <v>45644</v>
      </c>
      <c r="L474" s="36">
        <f>_xlfn.MINIFS(ecommerce_transactions!D:D,ecommerce_transactions!B:B,main_data!A474)</f>
        <v>45435</v>
      </c>
      <c r="M474" s="19">
        <f t="shared" si="77"/>
        <v>0.57221081451060918</v>
      </c>
      <c r="N474" s="19">
        <f t="shared" si="70"/>
        <v>3.7306096393233319</v>
      </c>
      <c r="O474" s="17">
        <f t="shared" si="78"/>
        <v>363.69869135014358</v>
      </c>
      <c r="P474" s="17">
        <f t="shared" si="79"/>
        <v>109.10960740504306</v>
      </c>
    </row>
    <row r="475" spans="1:16" x14ac:dyDescent="0.3">
      <c r="A475" s="26" t="str">
        <v>C0474</v>
      </c>
      <c r="B475" s="26">
        <f>_xlfn.DAYS(DATE(2024,12,31),_xlfn.MAXIFS(ecommerce_transactions!$D$2:$D$9999, ecommerce_transactions!$B$2:$B$9999, A475))</f>
        <v>12</v>
      </c>
      <c r="C475" s="26">
        <f>COUNTIF(ecommerce_transactions!B:B,main_data!A475)</f>
        <v>5</v>
      </c>
      <c r="D475" s="35">
        <f>SUMIF(ecommerce_transactions!B:B,main_data!A475,ecommerce_transactions!E:E)</f>
        <v>1593.6599999999999</v>
      </c>
      <c r="E475" s="28">
        <f t="shared" si="71"/>
        <v>4</v>
      </c>
      <c r="F475" s="28">
        <f t="shared" si="72"/>
        <v>2</v>
      </c>
      <c r="G475" s="26">
        <f t="shared" si="73"/>
        <v>3</v>
      </c>
      <c r="H475" s="18" t="str">
        <f t="shared" si="74"/>
        <v>423</v>
      </c>
      <c r="I475" s="26" t="str">
        <f t="shared" si="75"/>
        <v>New Customers</v>
      </c>
      <c r="J475" s="17">
        <f t="shared" si="76"/>
        <v>318.73199999999997</v>
      </c>
      <c r="K475" s="36">
        <f>_xlfn.MAXIFS(ecommerce_transactions!D:D,ecommerce_transactions!B:B,main_data!A475)</f>
        <v>45645</v>
      </c>
      <c r="L475" s="36">
        <f>_xlfn.MINIFS(ecommerce_transactions!D:D,ecommerce_transactions!B:B,main_data!A475)</f>
        <v>45596</v>
      </c>
      <c r="M475" s="19">
        <f t="shared" si="77"/>
        <v>0.13415468856947296</v>
      </c>
      <c r="N475" s="19">
        <f t="shared" si="70"/>
        <v>7.8845116028062598</v>
      </c>
      <c r="O475" s="17">
        <f t="shared" si="78"/>
        <v>337.1369239071775</v>
      </c>
      <c r="P475" s="17">
        <f t="shared" si="79"/>
        <v>101.14107717215325</v>
      </c>
    </row>
    <row r="476" spans="1:16" x14ac:dyDescent="0.3">
      <c r="A476" s="26" t="str">
        <v>C0475</v>
      </c>
      <c r="B476" s="26">
        <f>_xlfn.DAYS(DATE(2024,12,31),_xlfn.MAXIFS(ecommerce_transactions!$D$2:$D$9999, ecommerce_transactions!$B$2:$B$9999, A476))</f>
        <v>237</v>
      </c>
      <c r="C476" s="26">
        <f>COUNTIF(ecommerce_transactions!B:B,main_data!A476)</f>
        <v>4</v>
      </c>
      <c r="D476" s="35">
        <f>SUMIF(ecommerce_transactions!B:B,main_data!A476,ecommerce_transactions!E:E)</f>
        <v>975.62999999999988</v>
      </c>
      <c r="E476" s="28">
        <f t="shared" si="71"/>
        <v>1</v>
      </c>
      <c r="F476" s="28">
        <f t="shared" si="72"/>
        <v>2</v>
      </c>
      <c r="G476" s="26">
        <f t="shared" si="73"/>
        <v>2</v>
      </c>
      <c r="H476" s="18" t="str">
        <f t="shared" si="74"/>
        <v>122</v>
      </c>
      <c r="I476" s="26" t="str">
        <f t="shared" si="75"/>
        <v>About to Sleep</v>
      </c>
      <c r="J476" s="17">
        <f t="shared" si="76"/>
        <v>243.90749999999997</v>
      </c>
      <c r="K476" s="36">
        <f>_xlfn.MAXIFS(ecommerce_transactions!D:D,ecommerce_transactions!B:B,main_data!A476)</f>
        <v>45420</v>
      </c>
      <c r="L476" s="36">
        <f>_xlfn.MINIFS(ecommerce_transactions!D:D,ecommerce_transactions!B:B,main_data!A476)</f>
        <v>45243</v>
      </c>
      <c r="M476" s="19">
        <f t="shared" si="77"/>
        <v>0.48459958932238195</v>
      </c>
      <c r="N476" s="19">
        <f t="shared" si="70"/>
        <v>4.0625651720542226</v>
      </c>
      <c r="O476" s="17">
        <f t="shared" si="78"/>
        <v>480.18494264859214</v>
      </c>
      <c r="P476" s="17">
        <f t="shared" si="79"/>
        <v>144.05548279457764</v>
      </c>
    </row>
    <row r="477" spans="1:16" x14ac:dyDescent="0.3">
      <c r="A477" s="26" t="str">
        <v>C0476</v>
      </c>
      <c r="B477" s="26">
        <f>_xlfn.DAYS(DATE(2024,12,31),_xlfn.MAXIFS(ecommerce_transactions!$D$2:$D$9999, ecommerce_transactions!$B$2:$B$9999, A477))</f>
        <v>8</v>
      </c>
      <c r="C477" s="26">
        <f>COUNTIF(ecommerce_transactions!B:B,main_data!A477)</f>
        <v>11</v>
      </c>
      <c r="D477" s="35">
        <f>SUMIF(ecommerce_transactions!B:B,main_data!A477,ecommerce_transactions!E:E)</f>
        <v>3834.82</v>
      </c>
      <c r="E477" s="28">
        <f t="shared" si="71"/>
        <v>4</v>
      </c>
      <c r="F477" s="28">
        <f t="shared" si="72"/>
        <v>4</v>
      </c>
      <c r="G477" s="26">
        <f t="shared" si="73"/>
        <v>5</v>
      </c>
      <c r="H477" s="18" t="str">
        <f t="shared" si="74"/>
        <v>445</v>
      </c>
      <c r="I477" s="26" t="str">
        <f t="shared" si="75"/>
        <v>Champions</v>
      </c>
      <c r="J477" s="17">
        <f t="shared" si="76"/>
        <v>348.62</v>
      </c>
      <c r="K477" s="36">
        <f>_xlfn.MAXIFS(ecommerce_transactions!D:D,ecommerce_transactions!B:B,main_data!A477)</f>
        <v>45649</v>
      </c>
      <c r="L477" s="36">
        <f>_xlfn.MINIFS(ecommerce_transactions!D:D,ecommerce_transactions!B:B,main_data!A477)</f>
        <v>45524</v>
      </c>
      <c r="M477" s="19">
        <f t="shared" si="77"/>
        <v>0.34223134839151265</v>
      </c>
      <c r="N477" s="19">
        <f t="shared" si="70"/>
        <v>13.060544494108086</v>
      </c>
      <c r="O477" s="17">
        <f t="shared" si="78"/>
        <v>1558.2364892320195</v>
      </c>
      <c r="P477" s="17">
        <f t="shared" si="79"/>
        <v>467.4709467696058</v>
      </c>
    </row>
    <row r="478" spans="1:16" x14ac:dyDescent="0.3">
      <c r="A478" s="26" t="str">
        <v>C0477</v>
      </c>
      <c r="B478" s="26">
        <f>_xlfn.DAYS(DATE(2024,12,31),_xlfn.MAXIFS(ecommerce_transactions!$D$2:$D$9999, ecommerce_transactions!$B$2:$B$9999, A478))</f>
        <v>4</v>
      </c>
      <c r="C478" s="26">
        <f>COUNTIF(ecommerce_transactions!B:B,main_data!A478)</f>
        <v>6</v>
      </c>
      <c r="D478" s="35">
        <f>SUMIF(ecommerce_transactions!B:B,main_data!A478,ecommerce_transactions!E:E)</f>
        <v>1685.9599999999998</v>
      </c>
      <c r="E478" s="28">
        <f t="shared" si="71"/>
        <v>5</v>
      </c>
      <c r="F478" s="28">
        <f t="shared" si="72"/>
        <v>3</v>
      </c>
      <c r="G478" s="26">
        <f t="shared" si="73"/>
        <v>3</v>
      </c>
      <c r="H478" s="18" t="str">
        <f t="shared" si="74"/>
        <v>533</v>
      </c>
      <c r="I478" s="26" t="str">
        <f t="shared" si="75"/>
        <v>Loyal Customers</v>
      </c>
      <c r="J478" s="17">
        <f t="shared" si="76"/>
        <v>280.99333333333328</v>
      </c>
      <c r="K478" s="36">
        <f>_xlfn.MAXIFS(ecommerce_transactions!D:D,ecommerce_transactions!B:B,main_data!A478)</f>
        <v>45653</v>
      </c>
      <c r="L478" s="36">
        <f>_xlfn.MINIFS(ecommerce_transactions!D:D,ecommerce_transactions!B:B,main_data!A478)</f>
        <v>45597</v>
      </c>
      <c r="M478" s="19">
        <f t="shared" si="77"/>
        <v>0.15331964407939766</v>
      </c>
      <c r="N478" s="19">
        <f t="shared" si="70"/>
        <v>9.1838658983761121</v>
      </c>
      <c r="O478" s="17">
        <f t="shared" si="78"/>
        <v>395.65745416448385</v>
      </c>
      <c r="P478" s="17">
        <f t="shared" si="79"/>
        <v>118.69723624934515</v>
      </c>
    </row>
    <row r="479" spans="1:16" x14ac:dyDescent="0.3">
      <c r="A479" s="26" t="str">
        <v>C0478</v>
      </c>
      <c r="B479" s="26">
        <f>_xlfn.DAYS(DATE(2024,12,31),_xlfn.MAXIFS(ecommerce_transactions!$D$2:$D$9999, ecommerce_transactions!$B$2:$B$9999, A479))</f>
        <v>6</v>
      </c>
      <c r="C479" s="26">
        <f>COUNTIF(ecommerce_transactions!B:B,main_data!A479)</f>
        <v>15</v>
      </c>
      <c r="D479" s="35">
        <f>SUMIF(ecommerce_transactions!B:B,main_data!A479,ecommerce_transactions!E:E)</f>
        <v>3732.1099999999997</v>
      </c>
      <c r="E479" s="28">
        <f t="shared" si="71"/>
        <v>5</v>
      </c>
      <c r="F479" s="28">
        <f t="shared" si="72"/>
        <v>5</v>
      </c>
      <c r="G479" s="26">
        <f t="shared" si="73"/>
        <v>5</v>
      </c>
      <c r="H479" s="18" t="str">
        <f t="shared" si="74"/>
        <v>555</v>
      </c>
      <c r="I479" s="26" t="str">
        <f t="shared" si="75"/>
        <v>Champions</v>
      </c>
      <c r="J479" s="17">
        <f t="shared" si="76"/>
        <v>248.8073333333333</v>
      </c>
      <c r="K479" s="36">
        <f>_xlfn.MAXIFS(ecommerce_transactions!D:D,ecommerce_transactions!B:B,main_data!A479)</f>
        <v>45651</v>
      </c>
      <c r="L479" s="36">
        <f>_xlfn.MINIFS(ecommerce_transactions!D:D,ecommerce_transactions!B:B,main_data!A479)</f>
        <v>45469</v>
      </c>
      <c r="M479" s="19">
        <f t="shared" si="77"/>
        <v>0.49828884325804246</v>
      </c>
      <c r="N479" s="19">
        <f t="shared" si="70"/>
        <v>15.025711347274596</v>
      </c>
      <c r="O479" s="17">
        <f t="shared" si="78"/>
        <v>1862.8564141240997</v>
      </c>
      <c r="P479" s="17">
        <f t="shared" si="79"/>
        <v>558.85692423722992</v>
      </c>
    </row>
    <row r="480" spans="1:16" x14ac:dyDescent="0.3">
      <c r="A480" s="26" t="str">
        <v>C0479</v>
      </c>
      <c r="B480" s="26">
        <f>_xlfn.DAYS(DATE(2024,12,31),_xlfn.MAXIFS(ecommerce_transactions!$D$2:$D$9999, ecommerce_transactions!$B$2:$B$9999, A480))</f>
        <v>4</v>
      </c>
      <c r="C480" s="26">
        <f>COUNTIF(ecommerce_transactions!B:B,main_data!A480)</f>
        <v>15</v>
      </c>
      <c r="D480" s="35">
        <f>SUMIF(ecommerce_transactions!B:B,main_data!A480,ecommerce_transactions!E:E)</f>
        <v>4081.47</v>
      </c>
      <c r="E480" s="28">
        <f t="shared" si="71"/>
        <v>5</v>
      </c>
      <c r="F480" s="28">
        <f t="shared" si="72"/>
        <v>5</v>
      </c>
      <c r="G480" s="26">
        <f t="shared" si="73"/>
        <v>5</v>
      </c>
      <c r="H480" s="18" t="str">
        <f t="shared" si="74"/>
        <v>555</v>
      </c>
      <c r="I480" s="26" t="str">
        <f t="shared" si="75"/>
        <v>Champions</v>
      </c>
      <c r="J480" s="17">
        <f t="shared" si="76"/>
        <v>272.09800000000001</v>
      </c>
      <c r="K480" s="36">
        <f>_xlfn.MAXIFS(ecommerce_transactions!D:D,ecommerce_transactions!B:B,main_data!A480)</f>
        <v>45653</v>
      </c>
      <c r="L480" s="36">
        <f>_xlfn.MINIFS(ecommerce_transactions!D:D,ecommerce_transactions!B:B,main_data!A480)</f>
        <v>45586</v>
      </c>
      <c r="M480" s="19">
        <f t="shared" si="77"/>
        <v>0.1834360027378508</v>
      </c>
      <c r="N480" s="19">
        <f t="shared" si="70"/>
        <v>21.947921882824236</v>
      </c>
      <c r="O480" s="17">
        <f t="shared" si="78"/>
        <v>1095.4771757636454</v>
      </c>
      <c r="P480" s="17">
        <f t="shared" si="79"/>
        <v>328.64315272909363</v>
      </c>
    </row>
    <row r="481" spans="1:16" x14ac:dyDescent="0.3">
      <c r="A481" s="26" t="str">
        <v>C0480</v>
      </c>
      <c r="B481" s="26">
        <f>_xlfn.DAYS(DATE(2024,12,31),_xlfn.MAXIFS(ecommerce_transactions!$D$2:$D$9999, ecommerce_transactions!$B$2:$B$9999, A481))</f>
        <v>38</v>
      </c>
      <c r="C481" s="26">
        <f>COUNTIF(ecommerce_transactions!B:B,main_data!A481)</f>
        <v>8</v>
      </c>
      <c r="D481" s="35">
        <f>SUMIF(ecommerce_transactions!B:B,main_data!A481,ecommerce_transactions!E:E)</f>
        <v>1243.29</v>
      </c>
      <c r="E481" s="28">
        <f t="shared" si="71"/>
        <v>3</v>
      </c>
      <c r="F481" s="28">
        <f t="shared" si="72"/>
        <v>3</v>
      </c>
      <c r="G481" s="26">
        <f t="shared" si="73"/>
        <v>2</v>
      </c>
      <c r="H481" s="18" t="str">
        <f t="shared" si="74"/>
        <v>332</v>
      </c>
      <c r="I481" s="26" t="str">
        <f t="shared" si="75"/>
        <v>Lost</v>
      </c>
      <c r="J481" s="17">
        <f t="shared" si="76"/>
        <v>155.41125</v>
      </c>
      <c r="K481" s="36">
        <f>_xlfn.MAXIFS(ecommerce_transactions!D:D,ecommerce_transactions!B:B,main_data!A481)</f>
        <v>45619</v>
      </c>
      <c r="L481" s="36">
        <f>_xlfn.MINIFS(ecommerce_transactions!D:D,ecommerce_transactions!B:B,main_data!A481)</f>
        <v>45229</v>
      </c>
      <c r="M481" s="19">
        <f t="shared" si="77"/>
        <v>1.0677618069815196</v>
      </c>
      <c r="N481" s="19">
        <f t="shared" si="70"/>
        <v>5.1028159790438767</v>
      </c>
      <c r="O481" s="17">
        <f t="shared" si="78"/>
        <v>846.77249508840862</v>
      </c>
      <c r="P481" s="17">
        <f t="shared" si="79"/>
        <v>254.03174852652256</v>
      </c>
    </row>
    <row r="482" spans="1:16" x14ac:dyDescent="0.3">
      <c r="A482" s="26" t="str">
        <v>C0481</v>
      </c>
      <c r="B482" s="26">
        <f>_xlfn.DAYS(DATE(2024,12,31),_xlfn.MAXIFS(ecommerce_transactions!$D$2:$D$9999, ecommerce_transactions!$B$2:$B$9999, A482))</f>
        <v>54</v>
      </c>
      <c r="C482" s="26">
        <f>COUNTIF(ecommerce_transactions!B:B,main_data!A482)</f>
        <v>1</v>
      </c>
      <c r="D482" s="35">
        <f>SUMIF(ecommerce_transactions!B:B,main_data!A482,ecommerce_transactions!E:E)</f>
        <v>412.35</v>
      </c>
      <c r="E482" s="28">
        <f t="shared" si="71"/>
        <v>2</v>
      </c>
      <c r="F482" s="28">
        <f t="shared" si="72"/>
        <v>1</v>
      </c>
      <c r="G482" s="26">
        <f t="shared" si="73"/>
        <v>1</v>
      </c>
      <c r="H482" s="18" t="str">
        <f t="shared" si="74"/>
        <v>211</v>
      </c>
      <c r="I482" s="26" t="str">
        <f t="shared" si="75"/>
        <v>About to Sleep</v>
      </c>
      <c r="J482" s="17">
        <f t="shared" si="76"/>
        <v>412.35</v>
      </c>
      <c r="K482" s="36">
        <f>_xlfn.MAXIFS(ecommerce_transactions!D:D,ecommerce_transactions!B:B,main_data!A482)</f>
        <v>45603</v>
      </c>
      <c r="L482" s="36">
        <f>_xlfn.MINIFS(ecommerce_transactions!D:D,ecommerce_transactions!B:B,main_data!A482)</f>
        <v>45603</v>
      </c>
      <c r="M482" s="19">
        <f t="shared" si="77"/>
        <v>0</v>
      </c>
      <c r="N482" s="19">
        <f t="shared" si="70"/>
        <v>2</v>
      </c>
      <c r="O482" s="17">
        <f t="shared" si="78"/>
        <v>0</v>
      </c>
      <c r="P482" s="17">
        <f t="shared" si="79"/>
        <v>0</v>
      </c>
    </row>
    <row r="483" spans="1:16" x14ac:dyDescent="0.3">
      <c r="A483" s="26" t="str">
        <v>C0482</v>
      </c>
      <c r="B483" s="26">
        <f>_xlfn.DAYS(DATE(2024,12,31),_xlfn.MAXIFS(ecommerce_transactions!$D$2:$D$9999, ecommerce_transactions!$B$2:$B$9999, A483))</f>
        <v>1</v>
      </c>
      <c r="C483" s="26">
        <f>COUNTIF(ecommerce_transactions!B:B,main_data!A483)</f>
        <v>8</v>
      </c>
      <c r="D483" s="35">
        <f>SUMIF(ecommerce_transactions!B:B,main_data!A483,ecommerce_transactions!E:E)</f>
        <v>1980.04</v>
      </c>
      <c r="E483" s="28">
        <f t="shared" si="71"/>
        <v>5</v>
      </c>
      <c r="F483" s="28">
        <f t="shared" si="72"/>
        <v>3</v>
      </c>
      <c r="G483" s="26">
        <f t="shared" si="73"/>
        <v>3</v>
      </c>
      <c r="H483" s="18" t="str">
        <f t="shared" si="74"/>
        <v>533</v>
      </c>
      <c r="I483" s="26" t="str">
        <f t="shared" si="75"/>
        <v>Loyal Customers</v>
      </c>
      <c r="J483" s="17">
        <f t="shared" si="76"/>
        <v>247.505</v>
      </c>
      <c r="K483" s="36">
        <f>_xlfn.MAXIFS(ecommerce_transactions!D:D,ecommerce_transactions!B:B,main_data!A483)</f>
        <v>45656</v>
      </c>
      <c r="L483" s="36">
        <f>_xlfn.MINIFS(ecommerce_transactions!D:D,ecommerce_transactions!B:B,main_data!A483)</f>
        <v>45580</v>
      </c>
      <c r="M483" s="19">
        <f t="shared" si="77"/>
        <v>0.20807665982203971</v>
      </c>
      <c r="N483" s="19">
        <f t="shared" si="70"/>
        <v>11.298211696471725</v>
      </c>
      <c r="O483" s="17">
        <f t="shared" si="78"/>
        <v>581.8580570323827</v>
      </c>
      <c r="P483" s="17">
        <f t="shared" si="79"/>
        <v>174.55741710971481</v>
      </c>
    </row>
    <row r="484" spans="1:16" x14ac:dyDescent="0.3">
      <c r="A484" s="26" t="str">
        <v>C0483</v>
      </c>
      <c r="B484" s="26">
        <f>_xlfn.DAYS(DATE(2024,12,31),_xlfn.MAXIFS(ecommerce_transactions!$D$2:$D$9999, ecommerce_transactions!$B$2:$B$9999, A484))</f>
        <v>164</v>
      </c>
      <c r="C484" s="26">
        <f>COUNTIF(ecommerce_transactions!B:B,main_data!A484)</f>
        <v>3</v>
      </c>
      <c r="D484" s="35">
        <f>SUMIF(ecommerce_transactions!B:B,main_data!A484,ecommerce_transactions!E:E)</f>
        <v>614.58999999999992</v>
      </c>
      <c r="E484" s="28">
        <f t="shared" si="71"/>
        <v>1</v>
      </c>
      <c r="F484" s="28">
        <f t="shared" si="72"/>
        <v>1</v>
      </c>
      <c r="G484" s="26">
        <f t="shared" si="73"/>
        <v>1</v>
      </c>
      <c r="H484" s="18" t="str">
        <f t="shared" si="74"/>
        <v>111</v>
      </c>
      <c r="I484" s="26" t="str">
        <f t="shared" si="75"/>
        <v>About to Sleep</v>
      </c>
      <c r="J484" s="17">
        <f t="shared" si="76"/>
        <v>204.86333333333332</v>
      </c>
      <c r="K484" s="36">
        <f>_xlfn.MAXIFS(ecommerce_transactions!D:D,ecommerce_transactions!B:B,main_data!A484)</f>
        <v>45493</v>
      </c>
      <c r="L484" s="36">
        <f>_xlfn.MINIFS(ecommerce_transactions!D:D,ecommerce_transactions!B:B,main_data!A484)</f>
        <v>44998</v>
      </c>
      <c r="M484" s="19">
        <f t="shared" si="77"/>
        <v>1.3552361396303902</v>
      </c>
      <c r="N484" s="19">
        <f t="shared" si="70"/>
        <v>1.6170448256779191</v>
      </c>
      <c r="O484" s="17">
        <f t="shared" si="78"/>
        <v>448.95340343110126</v>
      </c>
      <c r="P484" s="17">
        <f t="shared" si="79"/>
        <v>134.68602102933036</v>
      </c>
    </row>
    <row r="485" spans="1:16" x14ac:dyDescent="0.3">
      <c r="A485" s="26" t="str">
        <v>C0484</v>
      </c>
      <c r="B485" s="26">
        <f>_xlfn.DAYS(DATE(2024,12,31),_xlfn.MAXIFS(ecommerce_transactions!$D$2:$D$9999, ecommerce_transactions!$B$2:$B$9999, A485))</f>
        <v>4</v>
      </c>
      <c r="C485" s="26">
        <f>COUNTIF(ecommerce_transactions!B:B,main_data!A485)</f>
        <v>3</v>
      </c>
      <c r="D485" s="35">
        <f>SUMIF(ecommerce_transactions!B:B,main_data!A485,ecommerce_transactions!E:E)</f>
        <v>1286.29</v>
      </c>
      <c r="E485" s="28">
        <f t="shared" si="71"/>
        <v>5</v>
      </c>
      <c r="F485" s="28">
        <f t="shared" si="72"/>
        <v>1</v>
      </c>
      <c r="G485" s="26">
        <f t="shared" si="73"/>
        <v>2</v>
      </c>
      <c r="H485" s="18" t="str">
        <f t="shared" si="74"/>
        <v>512</v>
      </c>
      <c r="I485" s="26" t="str">
        <f t="shared" si="75"/>
        <v>New Customers</v>
      </c>
      <c r="J485" s="17">
        <f t="shared" si="76"/>
        <v>428.76333333333332</v>
      </c>
      <c r="K485" s="36">
        <f>_xlfn.MAXIFS(ecommerce_transactions!D:D,ecommerce_transactions!B:B,main_data!A485)</f>
        <v>45653</v>
      </c>
      <c r="L485" s="36">
        <f>_xlfn.MINIFS(ecommerce_transactions!D:D,ecommerce_transactions!B:B,main_data!A485)</f>
        <v>45608</v>
      </c>
      <c r="M485" s="19">
        <f t="shared" si="77"/>
        <v>0.12320328542094455</v>
      </c>
      <c r="N485" s="19">
        <f t="shared" si="70"/>
        <v>4.8138385502471168</v>
      </c>
      <c r="O485" s="17">
        <f t="shared" si="78"/>
        <v>254.29126853377264</v>
      </c>
      <c r="P485" s="17">
        <f t="shared" si="79"/>
        <v>76.287380560131794</v>
      </c>
    </row>
    <row r="486" spans="1:16" x14ac:dyDescent="0.3">
      <c r="A486" s="26" t="str">
        <v>C0485</v>
      </c>
      <c r="B486" s="26">
        <f>_xlfn.DAYS(DATE(2024,12,31),_xlfn.MAXIFS(ecommerce_transactions!$D$2:$D$9999, ecommerce_transactions!$B$2:$B$9999, A486))</f>
        <v>88</v>
      </c>
      <c r="C486" s="26">
        <f>COUNTIF(ecommerce_transactions!B:B,main_data!A486)</f>
        <v>10</v>
      </c>
      <c r="D486" s="35">
        <f>SUMIF(ecommerce_transactions!B:B,main_data!A486,ecommerce_transactions!E:E)</f>
        <v>2969.5199999999995</v>
      </c>
      <c r="E486" s="28">
        <f t="shared" si="71"/>
        <v>2</v>
      </c>
      <c r="F486" s="28">
        <f t="shared" si="72"/>
        <v>4</v>
      </c>
      <c r="G486" s="26">
        <f t="shared" si="73"/>
        <v>4</v>
      </c>
      <c r="H486" s="18" t="str">
        <f t="shared" si="74"/>
        <v>244</v>
      </c>
      <c r="I486" s="26" t="str">
        <f t="shared" si="75"/>
        <v>At Risk</v>
      </c>
      <c r="J486" s="17">
        <f t="shared" si="76"/>
        <v>296.95199999999994</v>
      </c>
      <c r="K486" s="36">
        <f>_xlfn.MAXIFS(ecommerce_transactions!D:D,ecommerce_transactions!B:B,main_data!A486)</f>
        <v>45569</v>
      </c>
      <c r="L486" s="36">
        <f>_xlfn.MINIFS(ecommerce_transactions!D:D,ecommerce_transactions!B:B,main_data!A486)</f>
        <v>45107</v>
      </c>
      <c r="M486" s="19">
        <f t="shared" si="77"/>
        <v>1.2648870636550309</v>
      </c>
      <c r="N486" s="19">
        <f t="shared" si="70"/>
        <v>5.66608493310064</v>
      </c>
      <c r="O486" s="17">
        <f t="shared" si="78"/>
        <v>2128.2423734729491</v>
      </c>
      <c r="P486" s="17">
        <f t="shared" si="79"/>
        <v>638.47271204188473</v>
      </c>
    </row>
    <row r="487" spans="1:16" x14ac:dyDescent="0.3">
      <c r="A487" s="26" t="str">
        <v>C0486</v>
      </c>
      <c r="B487" s="26">
        <f>_xlfn.DAYS(DATE(2024,12,31),_xlfn.MAXIFS(ecommerce_transactions!$D$2:$D$9999, ecommerce_transactions!$B$2:$B$9999, A487))</f>
        <v>13</v>
      </c>
      <c r="C487" s="26">
        <f>COUNTIF(ecommerce_transactions!B:B,main_data!A487)</f>
        <v>10</v>
      </c>
      <c r="D487" s="35">
        <f>SUMIF(ecommerce_transactions!B:B,main_data!A487,ecommerce_transactions!E:E)</f>
        <v>2882.52</v>
      </c>
      <c r="E487" s="28">
        <f t="shared" si="71"/>
        <v>4</v>
      </c>
      <c r="F487" s="28">
        <f t="shared" si="72"/>
        <v>4</v>
      </c>
      <c r="G487" s="26">
        <f t="shared" si="73"/>
        <v>4</v>
      </c>
      <c r="H487" s="18" t="str">
        <f t="shared" si="74"/>
        <v>444</v>
      </c>
      <c r="I487" s="26" t="str">
        <f t="shared" si="75"/>
        <v>Champions</v>
      </c>
      <c r="J487" s="17">
        <f t="shared" si="76"/>
        <v>288.25200000000001</v>
      </c>
      <c r="K487" s="36">
        <f>_xlfn.MAXIFS(ecommerce_transactions!D:D,ecommerce_transactions!B:B,main_data!A487)</f>
        <v>45644</v>
      </c>
      <c r="L487" s="36">
        <f>_xlfn.MINIFS(ecommerce_transactions!D:D,ecommerce_transactions!B:B,main_data!A487)</f>
        <v>45136</v>
      </c>
      <c r="M487" s="19">
        <f t="shared" si="77"/>
        <v>1.3908281998631074</v>
      </c>
      <c r="N487" s="19">
        <f t="shared" si="70"/>
        <v>5.2886877828054306</v>
      </c>
      <c r="O487" s="17">
        <f t="shared" si="78"/>
        <v>2120.2825846153846</v>
      </c>
      <c r="P487" s="17">
        <f t="shared" si="79"/>
        <v>636.08477538461534</v>
      </c>
    </row>
    <row r="488" spans="1:16" x14ac:dyDescent="0.3">
      <c r="A488" s="26" t="str">
        <v>C0487</v>
      </c>
      <c r="B488" s="26">
        <f>_xlfn.DAYS(DATE(2024,12,31),_xlfn.MAXIFS(ecommerce_transactions!$D$2:$D$9999, ecommerce_transactions!$B$2:$B$9999, A488))</f>
        <v>33</v>
      </c>
      <c r="C488" s="26">
        <f>COUNTIF(ecommerce_transactions!B:B,main_data!A488)</f>
        <v>9</v>
      </c>
      <c r="D488" s="35">
        <f>SUMIF(ecommerce_transactions!B:B,main_data!A488,ecommerce_transactions!E:E)</f>
        <v>2318.0299999999997</v>
      </c>
      <c r="E488" s="28">
        <f t="shared" si="71"/>
        <v>3</v>
      </c>
      <c r="F488" s="28">
        <f t="shared" si="72"/>
        <v>4</v>
      </c>
      <c r="G488" s="26">
        <f t="shared" si="73"/>
        <v>4</v>
      </c>
      <c r="H488" s="18" t="str">
        <f t="shared" si="74"/>
        <v>344</v>
      </c>
      <c r="I488" s="26" t="str">
        <f t="shared" si="75"/>
        <v>Loyal Customers</v>
      </c>
      <c r="J488" s="17">
        <f t="shared" si="76"/>
        <v>257.55888888888887</v>
      </c>
      <c r="K488" s="36">
        <f>_xlfn.MAXIFS(ecommerce_transactions!D:D,ecommerce_transactions!B:B,main_data!A488)</f>
        <v>45624</v>
      </c>
      <c r="L488" s="36">
        <f>_xlfn.MINIFS(ecommerce_transactions!D:D,ecommerce_transactions!B:B,main_data!A488)</f>
        <v>45114</v>
      </c>
      <c r="M488" s="19">
        <f t="shared" si="77"/>
        <v>1.3963039014373717</v>
      </c>
      <c r="N488" s="19">
        <f t="shared" si="70"/>
        <v>4.7460747157552783</v>
      </c>
      <c r="O488" s="17">
        <f t="shared" si="78"/>
        <v>1706.8331348132103</v>
      </c>
      <c r="P488" s="17">
        <f t="shared" si="79"/>
        <v>512.04994044396312</v>
      </c>
    </row>
    <row r="489" spans="1:16" x14ac:dyDescent="0.3">
      <c r="A489" s="26" t="str">
        <v>C0488</v>
      </c>
      <c r="B489" s="26">
        <f>_xlfn.DAYS(DATE(2024,12,31),_xlfn.MAXIFS(ecommerce_transactions!$D$2:$D$9999, ecommerce_transactions!$B$2:$B$9999, A489))</f>
        <v>214</v>
      </c>
      <c r="C489" s="26">
        <f>COUNTIF(ecommerce_transactions!B:B,main_data!A489)</f>
        <v>1</v>
      </c>
      <c r="D489" s="35">
        <f>SUMIF(ecommerce_transactions!B:B,main_data!A489,ecommerce_transactions!E:E)</f>
        <v>358.97</v>
      </c>
      <c r="E489" s="28">
        <f t="shared" si="71"/>
        <v>1</v>
      </c>
      <c r="F489" s="28">
        <f t="shared" si="72"/>
        <v>1</v>
      </c>
      <c r="G489" s="26">
        <f t="shared" si="73"/>
        <v>1</v>
      </c>
      <c r="H489" s="18" t="str">
        <f t="shared" si="74"/>
        <v>111</v>
      </c>
      <c r="I489" s="26" t="str">
        <f t="shared" si="75"/>
        <v>About to Sleep</v>
      </c>
      <c r="J489" s="17">
        <f t="shared" si="76"/>
        <v>358.97</v>
      </c>
      <c r="K489" s="36">
        <f>_xlfn.MAXIFS(ecommerce_transactions!D:D,ecommerce_transactions!B:B,main_data!A489)</f>
        <v>45443</v>
      </c>
      <c r="L489" s="36">
        <f>_xlfn.MINIFS(ecommerce_transactions!D:D,ecommerce_transactions!B:B,main_data!A489)</f>
        <v>45443</v>
      </c>
      <c r="M489" s="19">
        <f t="shared" si="77"/>
        <v>0</v>
      </c>
      <c r="N489" s="19">
        <f t="shared" si="70"/>
        <v>2</v>
      </c>
      <c r="O489" s="17">
        <f t="shared" si="78"/>
        <v>0</v>
      </c>
      <c r="P489" s="17">
        <f t="shared" si="79"/>
        <v>0</v>
      </c>
    </row>
    <row r="490" spans="1:16" x14ac:dyDescent="0.3">
      <c r="A490" s="26" t="str">
        <v>C0489</v>
      </c>
      <c r="B490" s="26">
        <f>_xlfn.DAYS(DATE(2024,12,31),_xlfn.MAXIFS(ecommerce_transactions!$D$2:$D$9999, ecommerce_transactions!$B$2:$B$9999, A490))</f>
        <v>34</v>
      </c>
      <c r="C490" s="26">
        <f>COUNTIF(ecommerce_transactions!B:B,main_data!A490)</f>
        <v>12</v>
      </c>
      <c r="D490" s="35">
        <f>SUMIF(ecommerce_transactions!B:B,main_data!A490,ecommerce_transactions!E:E)</f>
        <v>2432.8999999999996</v>
      </c>
      <c r="E490" s="28">
        <f t="shared" si="71"/>
        <v>3</v>
      </c>
      <c r="F490" s="28">
        <f t="shared" si="72"/>
        <v>5</v>
      </c>
      <c r="G490" s="26">
        <f t="shared" si="73"/>
        <v>4</v>
      </c>
      <c r="H490" s="18" t="str">
        <f t="shared" si="74"/>
        <v>354</v>
      </c>
      <c r="I490" s="26" t="str">
        <f t="shared" si="75"/>
        <v>Loyal Customers</v>
      </c>
      <c r="J490" s="17">
        <f t="shared" si="76"/>
        <v>202.74166666666665</v>
      </c>
      <c r="K490" s="36">
        <f>_xlfn.MAXIFS(ecommerce_transactions!D:D,ecommerce_transactions!B:B,main_data!A490)</f>
        <v>45623</v>
      </c>
      <c r="L490" s="36">
        <f>_xlfn.MINIFS(ecommerce_transactions!D:D,ecommerce_transactions!B:B,main_data!A490)</f>
        <v>45510</v>
      </c>
      <c r="M490" s="19">
        <f t="shared" si="77"/>
        <v>0.30937713894592744</v>
      </c>
      <c r="N490" s="19">
        <f t="shared" si="70"/>
        <v>14.826215644820296</v>
      </c>
      <c r="O490" s="17">
        <f t="shared" si="78"/>
        <v>929.95416490486241</v>
      </c>
      <c r="P490" s="17">
        <f t="shared" si="79"/>
        <v>278.98624947145873</v>
      </c>
    </row>
    <row r="491" spans="1:16" x14ac:dyDescent="0.3">
      <c r="A491" s="26" t="str">
        <v>C0490</v>
      </c>
      <c r="B491" s="26">
        <f>_xlfn.DAYS(DATE(2024,12,31),_xlfn.MAXIFS(ecommerce_transactions!$D$2:$D$9999, ecommerce_transactions!$B$2:$B$9999, A491))</f>
        <v>44</v>
      </c>
      <c r="C491" s="26">
        <f>COUNTIF(ecommerce_transactions!B:B,main_data!A491)</f>
        <v>11</v>
      </c>
      <c r="D491" s="35">
        <f>SUMIF(ecommerce_transactions!B:B,main_data!A491,ecommerce_transactions!E:E)</f>
        <v>3134.36</v>
      </c>
      <c r="E491" s="28">
        <f t="shared" si="71"/>
        <v>2</v>
      </c>
      <c r="F491" s="28">
        <f t="shared" si="72"/>
        <v>4</v>
      </c>
      <c r="G491" s="26">
        <f t="shared" si="73"/>
        <v>5</v>
      </c>
      <c r="H491" s="18" t="str">
        <f t="shared" si="74"/>
        <v>245</v>
      </c>
      <c r="I491" s="26" t="str">
        <f t="shared" si="75"/>
        <v>At Risk</v>
      </c>
      <c r="J491" s="17">
        <f t="shared" si="76"/>
        <v>284.94181818181818</v>
      </c>
      <c r="K491" s="36">
        <f>_xlfn.MAXIFS(ecommerce_transactions!D:D,ecommerce_transactions!B:B,main_data!A491)</f>
        <v>45613</v>
      </c>
      <c r="L491" s="36">
        <f>_xlfn.MINIFS(ecommerce_transactions!D:D,ecommerce_transactions!B:B,main_data!A491)</f>
        <v>45094</v>
      </c>
      <c r="M491" s="19">
        <f t="shared" si="77"/>
        <v>1.4209445585215605</v>
      </c>
      <c r="N491" s="19">
        <f t="shared" si="70"/>
        <v>5.726349545697488</v>
      </c>
      <c r="O491" s="17">
        <f t="shared" si="78"/>
        <v>2318.5217744521647</v>
      </c>
      <c r="P491" s="17">
        <f t="shared" si="79"/>
        <v>695.55653233564942</v>
      </c>
    </row>
    <row r="492" spans="1:16" x14ac:dyDescent="0.3">
      <c r="A492" s="26" t="str">
        <v>C0491</v>
      </c>
      <c r="B492" s="26">
        <f>_xlfn.DAYS(DATE(2024,12,31),_xlfn.MAXIFS(ecommerce_transactions!$D$2:$D$9999, ecommerce_transactions!$B$2:$B$9999, A492))</f>
        <v>53</v>
      </c>
      <c r="C492" s="26">
        <f>COUNTIF(ecommerce_transactions!B:B,main_data!A492)</f>
        <v>1</v>
      </c>
      <c r="D492" s="35">
        <f>SUMIF(ecommerce_transactions!B:B,main_data!A492,ecommerce_transactions!E:E)</f>
        <v>406.46</v>
      </c>
      <c r="E492" s="28">
        <f t="shared" si="71"/>
        <v>2</v>
      </c>
      <c r="F492" s="28">
        <f t="shared" si="72"/>
        <v>1</v>
      </c>
      <c r="G492" s="26">
        <f t="shared" si="73"/>
        <v>1</v>
      </c>
      <c r="H492" s="18" t="str">
        <f t="shared" si="74"/>
        <v>211</v>
      </c>
      <c r="I492" s="26" t="str">
        <f t="shared" si="75"/>
        <v>About to Sleep</v>
      </c>
      <c r="J492" s="17">
        <f t="shared" si="76"/>
        <v>406.46</v>
      </c>
      <c r="K492" s="36">
        <f>_xlfn.MAXIFS(ecommerce_transactions!D:D,ecommerce_transactions!B:B,main_data!A492)</f>
        <v>45604</v>
      </c>
      <c r="L492" s="36">
        <f>_xlfn.MINIFS(ecommerce_transactions!D:D,ecommerce_transactions!B:B,main_data!A492)</f>
        <v>45604</v>
      </c>
      <c r="M492" s="19">
        <f t="shared" si="77"/>
        <v>0</v>
      </c>
      <c r="N492" s="19">
        <f t="shared" si="70"/>
        <v>2</v>
      </c>
      <c r="O492" s="17">
        <f t="shared" si="78"/>
        <v>0</v>
      </c>
      <c r="P492" s="17">
        <f t="shared" si="79"/>
        <v>0</v>
      </c>
    </row>
    <row r="493" spans="1:16" x14ac:dyDescent="0.3">
      <c r="A493" s="26" t="str">
        <v>C0492</v>
      </c>
      <c r="B493" s="26">
        <f>_xlfn.DAYS(DATE(2024,12,31),_xlfn.MAXIFS(ecommerce_transactions!$D$2:$D$9999, ecommerce_transactions!$B$2:$B$9999, A493))</f>
        <v>2</v>
      </c>
      <c r="C493" s="26">
        <f>COUNTIF(ecommerce_transactions!B:B,main_data!A493)</f>
        <v>8</v>
      </c>
      <c r="D493" s="35">
        <f>SUMIF(ecommerce_transactions!B:B,main_data!A493,ecommerce_transactions!E:E)</f>
        <v>1917.75</v>
      </c>
      <c r="E493" s="28">
        <f t="shared" si="71"/>
        <v>5</v>
      </c>
      <c r="F493" s="28">
        <f t="shared" si="72"/>
        <v>3</v>
      </c>
      <c r="G493" s="26">
        <f t="shared" si="73"/>
        <v>3</v>
      </c>
      <c r="H493" s="18" t="str">
        <f t="shared" si="74"/>
        <v>533</v>
      </c>
      <c r="I493" s="26" t="str">
        <f t="shared" si="75"/>
        <v>Loyal Customers</v>
      </c>
      <c r="J493" s="17">
        <f t="shared" si="76"/>
        <v>239.71875</v>
      </c>
      <c r="K493" s="36">
        <f>_xlfn.MAXIFS(ecommerce_transactions!D:D,ecommerce_transactions!B:B,main_data!A493)</f>
        <v>45655</v>
      </c>
      <c r="L493" s="36">
        <f>_xlfn.MINIFS(ecommerce_transactions!D:D,ecommerce_transactions!B:B,main_data!A493)</f>
        <v>45542</v>
      </c>
      <c r="M493" s="19">
        <f t="shared" si="77"/>
        <v>0.30937713894592744</v>
      </c>
      <c r="N493" s="19">
        <f t="shared" si="70"/>
        <v>9.8841437632135314</v>
      </c>
      <c r="O493" s="17">
        <f t="shared" si="78"/>
        <v>733.04270613107826</v>
      </c>
      <c r="P493" s="17">
        <f t="shared" si="79"/>
        <v>219.91281183932347</v>
      </c>
    </row>
    <row r="494" spans="1:16" x14ac:dyDescent="0.3">
      <c r="A494" s="26" t="str">
        <v>C0493</v>
      </c>
      <c r="B494" s="26">
        <f>_xlfn.DAYS(DATE(2024,12,31),_xlfn.MAXIFS(ecommerce_transactions!$D$2:$D$9999, ecommerce_transactions!$B$2:$B$9999, A494))</f>
        <v>5</v>
      </c>
      <c r="C494" s="26">
        <f>COUNTIF(ecommerce_transactions!B:B,main_data!A494)</f>
        <v>6</v>
      </c>
      <c r="D494" s="35">
        <f>SUMIF(ecommerce_transactions!B:B,main_data!A494,ecommerce_transactions!E:E)</f>
        <v>1468.0400000000002</v>
      </c>
      <c r="E494" s="28">
        <f t="shared" si="71"/>
        <v>5</v>
      </c>
      <c r="F494" s="28">
        <f t="shared" si="72"/>
        <v>3</v>
      </c>
      <c r="G494" s="26">
        <f t="shared" si="73"/>
        <v>2</v>
      </c>
      <c r="H494" s="18" t="str">
        <f t="shared" si="74"/>
        <v>532</v>
      </c>
      <c r="I494" s="26" t="str">
        <f t="shared" si="75"/>
        <v>Potential Loyalists</v>
      </c>
      <c r="J494" s="17">
        <f t="shared" si="76"/>
        <v>244.67333333333337</v>
      </c>
      <c r="K494" s="36">
        <f>_xlfn.MAXIFS(ecommerce_transactions!D:D,ecommerce_transactions!B:B,main_data!A494)</f>
        <v>45652</v>
      </c>
      <c r="L494" s="36">
        <f>_xlfn.MINIFS(ecommerce_transactions!D:D,ecommerce_transactions!B:B,main_data!A494)</f>
        <v>45528</v>
      </c>
      <c r="M494" s="19">
        <f t="shared" si="77"/>
        <v>0.33949349760438058</v>
      </c>
      <c r="N494" s="19">
        <f t="shared" si="70"/>
        <v>7.1471667346106802</v>
      </c>
      <c r="O494" s="17">
        <f t="shared" si="78"/>
        <v>593.67944557684473</v>
      </c>
      <c r="P494" s="17">
        <f t="shared" si="79"/>
        <v>178.1038336730534</v>
      </c>
    </row>
    <row r="495" spans="1:16" x14ac:dyDescent="0.3">
      <c r="A495" s="26" t="str">
        <v>C0494</v>
      </c>
      <c r="B495" s="26">
        <f>_xlfn.DAYS(DATE(2024,12,31),_xlfn.MAXIFS(ecommerce_transactions!$D$2:$D$9999, ecommerce_transactions!$B$2:$B$9999, A495))</f>
        <v>48</v>
      </c>
      <c r="C495" s="26">
        <f>COUNTIF(ecommerce_transactions!B:B,main_data!A495)</f>
        <v>5</v>
      </c>
      <c r="D495" s="35">
        <f>SUMIF(ecommerce_transactions!B:B,main_data!A495,ecommerce_transactions!E:E)</f>
        <v>1228.51</v>
      </c>
      <c r="E495" s="28">
        <f t="shared" si="71"/>
        <v>2</v>
      </c>
      <c r="F495" s="28">
        <f t="shared" si="72"/>
        <v>2</v>
      </c>
      <c r="G495" s="26">
        <f t="shared" si="73"/>
        <v>2</v>
      </c>
      <c r="H495" s="18" t="str">
        <f t="shared" si="74"/>
        <v>222</v>
      </c>
      <c r="I495" s="26" t="str">
        <f t="shared" si="75"/>
        <v>About to Sleep</v>
      </c>
      <c r="J495" s="17">
        <f t="shared" si="76"/>
        <v>245.702</v>
      </c>
      <c r="K495" s="36">
        <f>_xlfn.MAXIFS(ecommerce_transactions!D:D,ecommerce_transactions!B:B,main_data!A495)</f>
        <v>45609</v>
      </c>
      <c r="L495" s="36">
        <f>_xlfn.MINIFS(ecommerce_transactions!D:D,ecommerce_transactions!B:B,main_data!A495)</f>
        <v>45299</v>
      </c>
      <c r="M495" s="19">
        <f t="shared" si="77"/>
        <v>0.84873374401095136</v>
      </c>
      <c r="N495" s="19">
        <f t="shared" si="70"/>
        <v>3.707180918548592</v>
      </c>
      <c r="O495" s="17">
        <f t="shared" si="78"/>
        <v>773.07911697538702</v>
      </c>
      <c r="P495" s="17">
        <f t="shared" si="79"/>
        <v>231.92373509261608</v>
      </c>
    </row>
    <row r="496" spans="1:16" x14ac:dyDescent="0.3">
      <c r="A496" s="26" t="str">
        <v>C0495</v>
      </c>
      <c r="B496" s="26">
        <f>_xlfn.DAYS(DATE(2024,12,31),_xlfn.MAXIFS(ecommerce_transactions!$D$2:$D$9999, ecommerce_transactions!$B$2:$B$9999, A496))</f>
        <v>30</v>
      </c>
      <c r="C496" s="26">
        <f>COUNTIF(ecommerce_transactions!B:B,main_data!A496)</f>
        <v>4</v>
      </c>
      <c r="D496" s="35">
        <f>SUMIF(ecommerce_transactions!B:B,main_data!A496,ecommerce_transactions!E:E)</f>
        <v>1189.1200000000001</v>
      </c>
      <c r="E496" s="28">
        <f t="shared" si="71"/>
        <v>3</v>
      </c>
      <c r="F496" s="28">
        <f t="shared" si="72"/>
        <v>2</v>
      </c>
      <c r="G496" s="26">
        <f t="shared" si="73"/>
        <v>2</v>
      </c>
      <c r="H496" s="18" t="str">
        <f t="shared" si="74"/>
        <v>322</v>
      </c>
      <c r="I496" s="26" t="str">
        <f t="shared" si="75"/>
        <v>Lost</v>
      </c>
      <c r="J496" s="17">
        <f t="shared" si="76"/>
        <v>297.28000000000003</v>
      </c>
      <c r="K496" s="36">
        <f>_xlfn.MAXIFS(ecommerce_transactions!D:D,ecommerce_transactions!B:B,main_data!A496)</f>
        <v>45627</v>
      </c>
      <c r="L496" s="36">
        <f>_xlfn.MINIFS(ecommerce_transactions!D:D,ecommerce_transactions!B:B,main_data!A496)</f>
        <v>45589</v>
      </c>
      <c r="M496" s="19">
        <f t="shared" si="77"/>
        <v>0.10403832991101986</v>
      </c>
      <c r="N496" s="19">
        <f t="shared" si="70"/>
        <v>6.6220963172804526</v>
      </c>
      <c r="O496" s="17">
        <f t="shared" si="78"/>
        <v>204.81160339943344</v>
      </c>
      <c r="P496" s="17">
        <f t="shared" si="79"/>
        <v>61.443481019830031</v>
      </c>
    </row>
    <row r="497" spans="1:16" x14ac:dyDescent="0.3">
      <c r="A497" s="26" t="str">
        <v>C0496</v>
      </c>
      <c r="B497" s="26">
        <f>_xlfn.DAYS(DATE(2024,12,31),_xlfn.MAXIFS(ecommerce_transactions!$D$2:$D$9999, ecommerce_transactions!$B$2:$B$9999, A497))</f>
        <v>48</v>
      </c>
      <c r="C497" s="26">
        <f>COUNTIF(ecommerce_transactions!B:B,main_data!A497)</f>
        <v>10</v>
      </c>
      <c r="D497" s="35">
        <f>SUMIF(ecommerce_transactions!B:B,main_data!A497,ecommerce_transactions!E:E)</f>
        <v>2253.9</v>
      </c>
      <c r="E497" s="28">
        <f t="shared" si="71"/>
        <v>2</v>
      </c>
      <c r="F497" s="28">
        <f t="shared" si="72"/>
        <v>4</v>
      </c>
      <c r="G497" s="26">
        <f t="shared" si="73"/>
        <v>3</v>
      </c>
      <c r="H497" s="18" t="str">
        <f t="shared" si="74"/>
        <v>243</v>
      </c>
      <c r="I497" s="26" t="str">
        <f t="shared" si="75"/>
        <v>At Risk</v>
      </c>
      <c r="J497" s="17">
        <f t="shared" si="76"/>
        <v>225.39000000000001</v>
      </c>
      <c r="K497" s="36">
        <f>_xlfn.MAXIFS(ecommerce_transactions!D:D,ecommerce_transactions!B:B,main_data!A497)</f>
        <v>45609</v>
      </c>
      <c r="L497" s="36">
        <f>_xlfn.MINIFS(ecommerce_transactions!D:D,ecommerce_transactions!B:B,main_data!A497)</f>
        <v>45265</v>
      </c>
      <c r="M497" s="19">
        <f t="shared" si="77"/>
        <v>0.94182067077344289</v>
      </c>
      <c r="N497" s="19">
        <f t="shared" si="70"/>
        <v>6.9356752907666746</v>
      </c>
      <c r="O497" s="17">
        <f t="shared" si="78"/>
        <v>1472.2840731070498</v>
      </c>
      <c r="P497" s="17">
        <f t="shared" si="79"/>
        <v>441.68522193211493</v>
      </c>
    </row>
    <row r="498" spans="1:16" x14ac:dyDescent="0.3">
      <c r="A498" s="26" t="str">
        <v>C0497</v>
      </c>
      <c r="B498" s="26">
        <f>_xlfn.DAYS(DATE(2024,12,31),_xlfn.MAXIFS(ecommerce_transactions!$D$2:$D$9999, ecommerce_transactions!$B$2:$B$9999, A498))</f>
        <v>51</v>
      </c>
      <c r="C498" s="26">
        <f>COUNTIF(ecommerce_transactions!B:B,main_data!A498)</f>
        <v>12</v>
      </c>
      <c r="D498" s="35">
        <f>SUMIF(ecommerce_transactions!B:B,main_data!A498,ecommerce_transactions!E:E)</f>
        <v>2317.7799999999997</v>
      </c>
      <c r="E498" s="28">
        <f t="shared" si="71"/>
        <v>2</v>
      </c>
      <c r="F498" s="28">
        <f t="shared" si="72"/>
        <v>5</v>
      </c>
      <c r="G498" s="26">
        <f t="shared" si="73"/>
        <v>4</v>
      </c>
      <c r="H498" s="18" t="str">
        <f t="shared" si="74"/>
        <v>254</v>
      </c>
      <c r="I498" s="26" t="str">
        <f t="shared" si="75"/>
        <v>At Risk</v>
      </c>
      <c r="J498" s="17">
        <f t="shared" si="76"/>
        <v>193.14833333333331</v>
      </c>
      <c r="K498" s="36">
        <f>_xlfn.MAXIFS(ecommerce_transactions!D:D,ecommerce_transactions!B:B,main_data!A498)</f>
        <v>45606</v>
      </c>
      <c r="L498" s="36">
        <f>_xlfn.MINIFS(ecommerce_transactions!D:D,ecommerce_transactions!B:B,main_data!A498)</f>
        <v>45289</v>
      </c>
      <c r="M498" s="19">
        <f t="shared" si="77"/>
        <v>0.86789869952087606</v>
      </c>
      <c r="N498" s="19">
        <f t="shared" si="70"/>
        <v>8.7725794345759311</v>
      </c>
      <c r="O498" s="17">
        <f t="shared" si="78"/>
        <v>1470.5754515886913</v>
      </c>
      <c r="P498" s="17">
        <f t="shared" si="79"/>
        <v>441.17263547660735</v>
      </c>
    </row>
    <row r="499" spans="1:16" x14ac:dyDescent="0.3">
      <c r="A499" s="26" t="str">
        <v>C0498</v>
      </c>
      <c r="B499" s="26">
        <f>_xlfn.DAYS(DATE(2024,12,31),_xlfn.MAXIFS(ecommerce_transactions!$D$2:$D$9999, ecommerce_transactions!$B$2:$B$9999, A499))</f>
        <v>83</v>
      </c>
      <c r="C499" s="26">
        <f>COUNTIF(ecommerce_transactions!B:B,main_data!A499)</f>
        <v>1</v>
      </c>
      <c r="D499" s="35">
        <f>SUMIF(ecommerce_transactions!B:B,main_data!A499,ecommerce_transactions!E:E)</f>
        <v>269.06</v>
      </c>
      <c r="E499" s="28">
        <f t="shared" si="71"/>
        <v>2</v>
      </c>
      <c r="F499" s="28">
        <f t="shared" si="72"/>
        <v>1</v>
      </c>
      <c r="G499" s="26">
        <f t="shared" si="73"/>
        <v>1</v>
      </c>
      <c r="H499" s="18" t="str">
        <f t="shared" si="74"/>
        <v>211</v>
      </c>
      <c r="I499" s="26" t="str">
        <f t="shared" si="75"/>
        <v>About to Sleep</v>
      </c>
      <c r="J499" s="17">
        <f t="shared" si="76"/>
        <v>269.06</v>
      </c>
      <c r="K499" s="36">
        <f>_xlfn.MAXIFS(ecommerce_transactions!D:D,ecommerce_transactions!B:B,main_data!A499)</f>
        <v>45574</v>
      </c>
      <c r="L499" s="36">
        <f>_xlfn.MINIFS(ecommerce_transactions!D:D,ecommerce_transactions!B:B,main_data!A499)</f>
        <v>45574</v>
      </c>
      <c r="M499" s="19">
        <f t="shared" si="77"/>
        <v>0</v>
      </c>
      <c r="N499" s="19">
        <f t="shared" si="70"/>
        <v>2</v>
      </c>
      <c r="O499" s="17">
        <f t="shared" si="78"/>
        <v>0</v>
      </c>
      <c r="P499" s="17">
        <f t="shared" si="79"/>
        <v>0</v>
      </c>
    </row>
    <row r="500" spans="1:16" x14ac:dyDescent="0.3">
      <c r="A500" s="26" t="str">
        <v>C0499</v>
      </c>
      <c r="B500" s="26">
        <f>_xlfn.DAYS(DATE(2024,12,31),_xlfn.MAXIFS(ecommerce_transactions!$D$2:$D$9999, ecommerce_transactions!$B$2:$B$9999, A500))</f>
        <v>19</v>
      </c>
      <c r="C500" s="26">
        <f>COUNTIF(ecommerce_transactions!B:B,main_data!A500)</f>
        <v>15</v>
      </c>
      <c r="D500" s="35">
        <f>SUMIF(ecommerce_transactions!B:B,main_data!A500,ecommerce_transactions!E:E)</f>
        <v>3876.27</v>
      </c>
      <c r="E500" s="28">
        <f t="shared" si="71"/>
        <v>4</v>
      </c>
      <c r="F500" s="28">
        <f t="shared" si="72"/>
        <v>5</v>
      </c>
      <c r="G500" s="26">
        <f t="shared" si="73"/>
        <v>5</v>
      </c>
      <c r="H500" s="18" t="str">
        <f t="shared" si="74"/>
        <v>455</v>
      </c>
      <c r="I500" s="26" t="str">
        <f t="shared" si="75"/>
        <v>Champions</v>
      </c>
      <c r="J500" s="17">
        <f t="shared" si="76"/>
        <v>258.41800000000001</v>
      </c>
      <c r="K500" s="36">
        <f>_xlfn.MAXIFS(ecommerce_transactions!D:D,ecommerce_transactions!B:B,main_data!A500)</f>
        <v>45638</v>
      </c>
      <c r="L500" s="36">
        <f>_xlfn.MINIFS(ecommerce_transactions!D:D,ecommerce_transactions!B:B,main_data!A500)</f>
        <v>45280</v>
      </c>
      <c r="M500" s="19">
        <f t="shared" si="77"/>
        <v>0.98015058179329229</v>
      </c>
      <c r="N500" s="19">
        <f t="shared" si="70"/>
        <v>10.134104046242774</v>
      </c>
      <c r="O500" s="17">
        <f t="shared" si="78"/>
        <v>2566.852550289017</v>
      </c>
      <c r="P500" s="17">
        <f t="shared" si="79"/>
        <v>770.05576508670504</v>
      </c>
    </row>
    <row r="501" spans="1:16" x14ac:dyDescent="0.3">
      <c r="A501" s="26" t="str">
        <v>C0500</v>
      </c>
      <c r="B501" s="26">
        <f>_xlfn.DAYS(DATE(2024,12,31),_xlfn.MAXIFS(ecommerce_transactions!$D$2:$D$9999, ecommerce_transactions!$B$2:$B$9999, A501))</f>
        <v>71</v>
      </c>
      <c r="C501" s="26">
        <f>COUNTIF(ecommerce_transactions!B:B,main_data!A501)</f>
        <v>5</v>
      </c>
      <c r="D501" s="35">
        <f>SUMIF(ecommerce_transactions!B:B,main_data!A501,ecommerce_transactions!E:E)</f>
        <v>1166.9399999999998</v>
      </c>
      <c r="E501" s="28">
        <f t="shared" si="71"/>
        <v>2</v>
      </c>
      <c r="F501" s="28">
        <f t="shared" si="72"/>
        <v>2</v>
      </c>
      <c r="G501" s="26">
        <f t="shared" si="73"/>
        <v>2</v>
      </c>
      <c r="H501" s="18" t="str">
        <f t="shared" si="74"/>
        <v>222</v>
      </c>
      <c r="I501" s="26" t="str">
        <f t="shared" si="75"/>
        <v>About to Sleep</v>
      </c>
      <c r="J501" s="17">
        <f t="shared" si="76"/>
        <v>233.38799999999998</v>
      </c>
      <c r="K501" s="36">
        <f>_xlfn.MAXIFS(ecommerce_transactions!D:D,ecommerce_transactions!B:B,main_data!A501)</f>
        <v>45586</v>
      </c>
      <c r="L501" s="36">
        <f>_xlfn.MINIFS(ecommerce_transactions!D:D,ecommerce_transactions!B:B,main_data!A501)</f>
        <v>45501</v>
      </c>
      <c r="M501" s="19">
        <f t="shared" si="77"/>
        <v>0.2327173169062286</v>
      </c>
      <c r="N501" s="19">
        <f t="shared" si="70"/>
        <v>6.8239140588510034</v>
      </c>
      <c r="O501" s="17">
        <f t="shared" si="78"/>
        <v>370.63017281644085</v>
      </c>
      <c r="P501" s="17">
        <f t="shared" si="79"/>
        <v>111.18905184493225</v>
      </c>
    </row>
    <row r="502" spans="1:16" x14ac:dyDescent="0.3">
      <c r="A502" s="26">
        <v>0</v>
      </c>
      <c r="B502" s="26"/>
      <c r="C502" s="26"/>
      <c r="D502" s="35"/>
      <c r="E502" s="28"/>
      <c r="F502" s="28"/>
      <c r="G502" s="26"/>
      <c r="H502" s="18"/>
      <c r="I502" s="26"/>
      <c r="J502" s="17"/>
      <c r="K502" s="36"/>
      <c r="L502" s="36"/>
      <c r="M502" s="19"/>
      <c r="N502" s="19"/>
      <c r="O502" s="17"/>
      <c r="P502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914F3-33AF-4968-9241-7280424AE348}">
  <dimension ref="A1:I501"/>
  <sheetViews>
    <sheetView workbookViewId="0">
      <selection activeCell="E14" sqref="E14"/>
    </sheetView>
  </sheetViews>
  <sheetFormatPr defaultRowHeight="14.4" x14ac:dyDescent="0.3"/>
  <cols>
    <col min="1" max="1" width="13.77734375" style="6" customWidth="1"/>
    <col min="2" max="2" width="14.77734375" style="3" customWidth="1"/>
    <col min="3" max="3" width="20.77734375" style="3" customWidth="1"/>
    <col min="4" max="4" width="15.77734375" style="7" customWidth="1"/>
    <col min="5" max="5" width="9.6640625" style="3" customWidth="1"/>
    <col min="6" max="6" width="9.44140625" style="3" customWidth="1"/>
    <col min="7" max="7" width="10.33203125" style="3" customWidth="1"/>
    <col min="8" max="8" width="12.33203125" customWidth="1"/>
    <col min="9" max="9" width="23.77734375" style="6" customWidth="1"/>
  </cols>
  <sheetData>
    <row r="1" spans="1:9" x14ac:dyDescent="0.3">
      <c r="A1" s="10" t="s">
        <v>1</v>
      </c>
      <c r="B1" s="11" t="s">
        <v>4952</v>
      </c>
      <c r="C1" s="11" t="s">
        <v>4953</v>
      </c>
      <c r="D1" s="12" t="s">
        <v>4954</v>
      </c>
      <c r="E1" s="11" t="s">
        <v>4956</v>
      </c>
      <c r="F1" s="11" t="s">
        <v>4958</v>
      </c>
      <c r="G1" s="11" t="s">
        <v>4957</v>
      </c>
      <c r="H1" s="9" t="s">
        <v>4955</v>
      </c>
      <c r="I1" s="10" t="s">
        <v>4959</v>
      </c>
    </row>
    <row r="2" spans="1:9" x14ac:dyDescent="0.3">
      <c r="A2" s="27" t="s">
        <v>8</v>
      </c>
      <c r="B2" s="28">
        <v>117</v>
      </c>
      <c r="C2" s="28">
        <v>7</v>
      </c>
      <c r="D2" s="17">
        <v>1177.8799999999999</v>
      </c>
      <c r="E2" s="28">
        <v>1</v>
      </c>
      <c r="F2" s="28">
        <v>3</v>
      </c>
      <c r="G2" s="28">
        <v>2</v>
      </c>
      <c r="H2" s="28">
        <v>132</v>
      </c>
      <c r="I2" s="27" t="s">
        <v>4967</v>
      </c>
    </row>
    <row r="3" spans="1:9" x14ac:dyDescent="0.3">
      <c r="A3" s="27" t="s">
        <v>21</v>
      </c>
      <c r="B3" s="28">
        <v>25</v>
      </c>
      <c r="C3" s="28">
        <v>15</v>
      </c>
      <c r="D3" s="17">
        <v>4325</v>
      </c>
      <c r="E3" s="28">
        <v>3</v>
      </c>
      <c r="F3" s="28">
        <v>5</v>
      </c>
      <c r="G3" s="28">
        <v>5</v>
      </c>
      <c r="H3" s="28">
        <v>355</v>
      </c>
      <c r="I3" s="27" t="s">
        <v>4968</v>
      </c>
    </row>
    <row r="4" spans="1:9" x14ac:dyDescent="0.3">
      <c r="A4" s="27" t="s">
        <v>40</v>
      </c>
      <c r="B4" s="28">
        <v>6</v>
      </c>
      <c r="C4" s="28">
        <v>15</v>
      </c>
      <c r="D4" s="17">
        <v>3895.55</v>
      </c>
      <c r="E4" s="28">
        <v>5</v>
      </c>
      <c r="F4" s="28">
        <v>5</v>
      </c>
      <c r="G4" s="28">
        <v>5</v>
      </c>
      <c r="H4" s="28">
        <v>555</v>
      </c>
      <c r="I4" s="27" t="s">
        <v>4969</v>
      </c>
    </row>
    <row r="5" spans="1:9" x14ac:dyDescent="0.3">
      <c r="A5" s="27" t="s">
        <v>57</v>
      </c>
      <c r="B5" s="28">
        <v>155</v>
      </c>
      <c r="C5" s="28">
        <v>2</v>
      </c>
      <c r="D5" s="17">
        <v>271.90000000000003</v>
      </c>
      <c r="E5" s="28">
        <v>1</v>
      </c>
      <c r="F5" s="28">
        <v>1</v>
      </c>
      <c r="G5" s="28">
        <v>1</v>
      </c>
      <c r="H5" s="28">
        <v>111</v>
      </c>
      <c r="I5" s="27" t="s">
        <v>4970</v>
      </c>
    </row>
    <row r="6" spans="1:9" x14ac:dyDescent="0.3">
      <c r="A6" s="27" t="s">
        <v>61</v>
      </c>
      <c r="B6" s="28">
        <v>18</v>
      </c>
      <c r="C6" s="28">
        <v>14</v>
      </c>
      <c r="D6" s="17">
        <v>3180.56</v>
      </c>
      <c r="E6" s="28">
        <v>4</v>
      </c>
      <c r="F6" s="28">
        <v>5</v>
      </c>
      <c r="G6" s="28">
        <v>5</v>
      </c>
      <c r="H6" s="28">
        <v>455</v>
      </c>
      <c r="I6" s="27" t="s">
        <v>4969</v>
      </c>
    </row>
    <row r="7" spans="1:9" x14ac:dyDescent="0.3">
      <c r="A7" s="27" t="s">
        <v>77</v>
      </c>
      <c r="B7" s="28">
        <v>36</v>
      </c>
      <c r="C7" s="28">
        <v>11</v>
      </c>
      <c r="D7" s="17">
        <v>2731.02</v>
      </c>
      <c r="E7" s="28">
        <v>3</v>
      </c>
      <c r="F7" s="28">
        <v>4</v>
      </c>
      <c r="G7" s="28">
        <v>4</v>
      </c>
      <c r="H7" s="28">
        <v>344</v>
      </c>
      <c r="I7" s="27" t="s">
        <v>4968</v>
      </c>
    </row>
    <row r="8" spans="1:9" x14ac:dyDescent="0.3">
      <c r="A8" s="27" t="s">
        <v>90</v>
      </c>
      <c r="B8" s="28">
        <v>15</v>
      </c>
      <c r="C8" s="28">
        <v>9</v>
      </c>
      <c r="D8" s="17">
        <v>3058.68</v>
      </c>
      <c r="E8" s="28">
        <v>4</v>
      </c>
      <c r="F8" s="28">
        <v>4</v>
      </c>
      <c r="G8" s="28">
        <v>4</v>
      </c>
      <c r="H8" s="28">
        <v>444</v>
      </c>
      <c r="I8" s="27" t="s">
        <v>4969</v>
      </c>
    </row>
    <row r="9" spans="1:9" x14ac:dyDescent="0.3">
      <c r="A9" s="27" t="s">
        <v>101</v>
      </c>
      <c r="B9" s="28">
        <v>64</v>
      </c>
      <c r="C9" s="28">
        <v>4</v>
      </c>
      <c r="D9" s="17">
        <v>1331.5700000000002</v>
      </c>
      <c r="E9" s="28">
        <v>2</v>
      </c>
      <c r="F9" s="28">
        <v>2</v>
      </c>
      <c r="G9" s="28">
        <v>2</v>
      </c>
      <c r="H9" s="28">
        <v>222</v>
      </c>
      <c r="I9" s="27" t="s">
        <v>4970</v>
      </c>
    </row>
    <row r="10" spans="1:9" x14ac:dyDescent="0.3">
      <c r="A10" s="27" t="s">
        <v>107</v>
      </c>
      <c r="B10" s="28">
        <v>9</v>
      </c>
      <c r="C10" s="28">
        <v>8</v>
      </c>
      <c r="D10" s="17">
        <v>2407.9300000000003</v>
      </c>
      <c r="E10" s="28">
        <v>4</v>
      </c>
      <c r="F10" s="28">
        <v>3</v>
      </c>
      <c r="G10" s="28">
        <v>4</v>
      </c>
      <c r="H10" s="28">
        <v>434</v>
      </c>
      <c r="I10" s="27" t="s">
        <v>4968</v>
      </c>
    </row>
    <row r="11" spans="1:9" x14ac:dyDescent="0.3">
      <c r="A11" s="27" t="s">
        <v>117</v>
      </c>
      <c r="B11" s="28">
        <v>15</v>
      </c>
      <c r="C11" s="28">
        <v>7</v>
      </c>
      <c r="D11" s="17">
        <v>2133.1200000000003</v>
      </c>
      <c r="E11" s="28">
        <v>4</v>
      </c>
      <c r="F11" s="28">
        <v>3</v>
      </c>
      <c r="G11" s="28">
        <v>3</v>
      </c>
      <c r="H11" s="28">
        <v>433</v>
      </c>
      <c r="I11" s="27" t="s">
        <v>4968</v>
      </c>
    </row>
    <row r="12" spans="1:9" x14ac:dyDescent="0.3">
      <c r="A12" s="27" t="s">
        <v>126</v>
      </c>
      <c r="B12" s="28">
        <v>24</v>
      </c>
      <c r="C12" s="28">
        <v>13</v>
      </c>
      <c r="D12" s="17">
        <v>3337.4300000000003</v>
      </c>
      <c r="E12" s="28">
        <v>3</v>
      </c>
      <c r="F12" s="28">
        <v>5</v>
      </c>
      <c r="G12" s="28">
        <v>5</v>
      </c>
      <c r="H12" s="28">
        <v>355</v>
      </c>
      <c r="I12" s="27" t="s">
        <v>4968</v>
      </c>
    </row>
    <row r="13" spans="1:9" x14ac:dyDescent="0.3">
      <c r="A13" s="27" t="s">
        <v>141</v>
      </c>
      <c r="B13" s="28">
        <v>104</v>
      </c>
      <c r="C13" s="28">
        <v>10</v>
      </c>
      <c r="D13" s="17">
        <v>1939.3199999999997</v>
      </c>
      <c r="E13" s="28">
        <v>1</v>
      </c>
      <c r="F13" s="28">
        <v>4</v>
      </c>
      <c r="G13" s="28">
        <v>3</v>
      </c>
      <c r="H13" s="28">
        <v>143</v>
      </c>
      <c r="I13" s="27" t="s">
        <v>4967</v>
      </c>
    </row>
    <row r="14" spans="1:9" x14ac:dyDescent="0.3">
      <c r="A14" s="27" t="s">
        <v>153</v>
      </c>
      <c r="B14" s="28">
        <v>88</v>
      </c>
      <c r="C14" s="28">
        <v>3</v>
      </c>
      <c r="D14" s="17">
        <v>1063.29</v>
      </c>
      <c r="E14" s="28">
        <v>2</v>
      </c>
      <c r="F14" s="28">
        <v>1</v>
      </c>
      <c r="G14" s="28">
        <v>2</v>
      </c>
      <c r="H14" s="28">
        <v>212</v>
      </c>
      <c r="I14" s="27" t="s">
        <v>4970</v>
      </c>
    </row>
    <row r="15" spans="1:9" x14ac:dyDescent="0.3">
      <c r="A15" s="27" t="s">
        <v>158</v>
      </c>
      <c r="B15" s="28">
        <v>29</v>
      </c>
      <c r="C15" s="28">
        <v>12</v>
      </c>
      <c r="D15" s="17">
        <v>3058.1199999999994</v>
      </c>
      <c r="E15" s="28">
        <v>3</v>
      </c>
      <c r="F15" s="28">
        <v>5</v>
      </c>
      <c r="G15" s="28">
        <v>4</v>
      </c>
      <c r="H15" s="28">
        <v>354</v>
      </c>
      <c r="I15" s="27" t="s">
        <v>4968</v>
      </c>
    </row>
    <row r="16" spans="1:9" x14ac:dyDescent="0.3">
      <c r="A16" s="27" t="s">
        <v>172</v>
      </c>
      <c r="B16" s="28">
        <v>13</v>
      </c>
      <c r="C16" s="28">
        <v>4</v>
      </c>
      <c r="D16" s="17">
        <v>1388.06</v>
      </c>
      <c r="E16" s="28">
        <v>4</v>
      </c>
      <c r="F16" s="28">
        <v>2</v>
      </c>
      <c r="G16" s="28">
        <v>2</v>
      </c>
      <c r="H16" s="28">
        <v>422</v>
      </c>
      <c r="I16" s="27" t="s">
        <v>4971</v>
      </c>
    </row>
    <row r="17" spans="1:9" x14ac:dyDescent="0.3">
      <c r="A17" s="27" t="s">
        <v>178</v>
      </c>
      <c r="B17" s="28">
        <v>2</v>
      </c>
      <c r="C17" s="28">
        <v>11</v>
      </c>
      <c r="D17" s="17">
        <v>2908.2799999999997</v>
      </c>
      <c r="E17" s="28">
        <v>5</v>
      </c>
      <c r="F17" s="28">
        <v>4</v>
      </c>
      <c r="G17" s="28">
        <v>4</v>
      </c>
      <c r="H17" s="28">
        <v>544</v>
      </c>
      <c r="I17" s="27" t="s">
        <v>4969</v>
      </c>
    </row>
    <row r="18" spans="1:9" x14ac:dyDescent="0.3">
      <c r="A18" s="27" t="s">
        <v>191</v>
      </c>
      <c r="B18" s="28">
        <v>23</v>
      </c>
      <c r="C18" s="28">
        <v>14</v>
      </c>
      <c r="D18" s="17">
        <v>3473.2000000000003</v>
      </c>
      <c r="E18" s="28">
        <v>3</v>
      </c>
      <c r="F18" s="28">
        <v>5</v>
      </c>
      <c r="G18" s="28">
        <v>5</v>
      </c>
      <c r="H18" s="28">
        <v>355</v>
      </c>
      <c r="I18" s="27" t="s">
        <v>4968</v>
      </c>
    </row>
    <row r="19" spans="1:9" x14ac:dyDescent="0.3">
      <c r="A19" s="27" t="s">
        <v>207</v>
      </c>
      <c r="B19" s="28">
        <v>10</v>
      </c>
      <c r="C19" s="28">
        <v>6</v>
      </c>
      <c r="D19" s="17">
        <v>2151.5</v>
      </c>
      <c r="E19" s="28">
        <v>4</v>
      </c>
      <c r="F19" s="28">
        <v>3</v>
      </c>
      <c r="G19" s="28">
        <v>3</v>
      </c>
      <c r="H19" s="28">
        <v>433</v>
      </c>
      <c r="I19" s="27" t="s">
        <v>4968</v>
      </c>
    </row>
    <row r="20" spans="1:9" x14ac:dyDescent="0.3">
      <c r="A20" s="27" t="s">
        <v>215</v>
      </c>
      <c r="B20" s="28">
        <v>28</v>
      </c>
      <c r="C20" s="28">
        <v>4</v>
      </c>
      <c r="D20" s="17">
        <v>933.3</v>
      </c>
      <c r="E20" s="28">
        <v>3</v>
      </c>
      <c r="F20" s="28">
        <v>2</v>
      </c>
      <c r="G20" s="28">
        <v>1</v>
      </c>
      <c r="H20" s="28">
        <v>321</v>
      </c>
      <c r="I20" s="27" t="s">
        <v>4972</v>
      </c>
    </row>
    <row r="21" spans="1:9" x14ac:dyDescent="0.3">
      <c r="A21" s="27" t="s">
        <v>221</v>
      </c>
      <c r="B21" s="28">
        <v>41</v>
      </c>
      <c r="C21" s="28">
        <v>13</v>
      </c>
      <c r="D21" s="17">
        <v>2896.0099999999998</v>
      </c>
      <c r="E21" s="28">
        <v>3</v>
      </c>
      <c r="F21" s="28">
        <v>5</v>
      </c>
      <c r="G21" s="28">
        <v>4</v>
      </c>
      <c r="H21" s="28">
        <v>354</v>
      </c>
      <c r="I21" s="27" t="s">
        <v>4968</v>
      </c>
    </row>
    <row r="22" spans="1:9" x14ac:dyDescent="0.3">
      <c r="A22" s="27" t="s">
        <v>236</v>
      </c>
      <c r="B22" s="28">
        <v>19</v>
      </c>
      <c r="C22" s="28">
        <v>2</v>
      </c>
      <c r="D22" s="17">
        <v>697.8</v>
      </c>
      <c r="E22" s="28">
        <v>4</v>
      </c>
      <c r="F22" s="28">
        <v>1</v>
      </c>
      <c r="G22" s="28">
        <v>1</v>
      </c>
      <c r="H22" s="28">
        <v>411</v>
      </c>
      <c r="I22" s="27" t="s">
        <v>4971</v>
      </c>
    </row>
    <row r="23" spans="1:9" x14ac:dyDescent="0.3">
      <c r="A23" s="27" t="s">
        <v>240</v>
      </c>
      <c r="B23" s="28">
        <v>9</v>
      </c>
      <c r="C23" s="28">
        <v>14</v>
      </c>
      <c r="D23" s="17">
        <v>3405.3799999999997</v>
      </c>
      <c r="E23" s="28">
        <v>4</v>
      </c>
      <c r="F23" s="28">
        <v>5</v>
      </c>
      <c r="G23" s="28">
        <v>5</v>
      </c>
      <c r="H23" s="28">
        <v>455</v>
      </c>
      <c r="I23" s="27" t="s">
        <v>4969</v>
      </c>
    </row>
    <row r="24" spans="1:9" x14ac:dyDescent="0.3">
      <c r="A24" s="27" t="s">
        <v>256</v>
      </c>
      <c r="B24" s="28">
        <v>168</v>
      </c>
      <c r="C24" s="28">
        <v>13</v>
      </c>
      <c r="D24" s="17">
        <v>3410.1200000000008</v>
      </c>
      <c r="E24" s="28">
        <v>1</v>
      </c>
      <c r="F24" s="28">
        <v>5</v>
      </c>
      <c r="G24" s="28">
        <v>5</v>
      </c>
      <c r="H24" s="28">
        <v>155</v>
      </c>
      <c r="I24" s="27" t="s">
        <v>4967</v>
      </c>
    </row>
    <row r="25" spans="1:9" x14ac:dyDescent="0.3">
      <c r="A25" s="27" t="s">
        <v>271</v>
      </c>
      <c r="B25" s="28">
        <v>1</v>
      </c>
      <c r="C25" s="28">
        <v>10</v>
      </c>
      <c r="D25" s="17">
        <v>2240.1699999999996</v>
      </c>
      <c r="E25" s="28">
        <v>5</v>
      </c>
      <c r="F25" s="28">
        <v>4</v>
      </c>
      <c r="G25" s="28">
        <v>3</v>
      </c>
      <c r="H25" s="28">
        <v>543</v>
      </c>
      <c r="I25" s="27" t="s">
        <v>4968</v>
      </c>
    </row>
    <row r="26" spans="1:9" x14ac:dyDescent="0.3">
      <c r="A26" s="27" t="s">
        <v>283</v>
      </c>
      <c r="B26" s="28">
        <v>49</v>
      </c>
      <c r="C26" s="28">
        <v>4</v>
      </c>
      <c r="D26" s="17">
        <v>1162.9100000000001</v>
      </c>
      <c r="E26" s="28">
        <v>2</v>
      </c>
      <c r="F26" s="28">
        <v>2</v>
      </c>
      <c r="G26" s="28">
        <v>2</v>
      </c>
      <c r="H26" s="28">
        <v>222</v>
      </c>
      <c r="I26" s="27" t="s">
        <v>4970</v>
      </c>
    </row>
    <row r="27" spans="1:9" x14ac:dyDescent="0.3">
      <c r="A27" s="27" t="s">
        <v>289</v>
      </c>
      <c r="B27" s="28">
        <v>15</v>
      </c>
      <c r="C27" s="28">
        <v>11</v>
      </c>
      <c r="D27" s="17">
        <v>2297.59</v>
      </c>
      <c r="E27" s="28">
        <v>4</v>
      </c>
      <c r="F27" s="28">
        <v>4</v>
      </c>
      <c r="G27" s="28">
        <v>4</v>
      </c>
      <c r="H27" s="28">
        <v>444</v>
      </c>
      <c r="I27" s="27" t="s">
        <v>4969</v>
      </c>
    </row>
    <row r="28" spans="1:9" x14ac:dyDescent="0.3">
      <c r="A28" s="27" t="s">
        <v>302</v>
      </c>
      <c r="B28" s="28">
        <v>177</v>
      </c>
      <c r="C28" s="28">
        <v>3</v>
      </c>
      <c r="D28" s="17">
        <v>1145.43</v>
      </c>
      <c r="E28" s="28">
        <v>1</v>
      </c>
      <c r="F28" s="28">
        <v>1</v>
      </c>
      <c r="G28" s="28">
        <v>2</v>
      </c>
      <c r="H28" s="28">
        <v>112</v>
      </c>
      <c r="I28" s="27" t="s">
        <v>4970</v>
      </c>
    </row>
    <row r="29" spans="1:9" x14ac:dyDescent="0.3">
      <c r="A29" s="27" t="s">
        <v>307</v>
      </c>
      <c r="B29" s="28">
        <v>194</v>
      </c>
      <c r="C29" s="28">
        <v>3</v>
      </c>
      <c r="D29" s="17">
        <v>843.83999999999992</v>
      </c>
      <c r="E29" s="28">
        <v>1</v>
      </c>
      <c r="F29" s="28">
        <v>1</v>
      </c>
      <c r="G29" s="28">
        <v>1</v>
      </c>
      <c r="H29" s="28">
        <v>111</v>
      </c>
      <c r="I29" s="27" t="s">
        <v>4970</v>
      </c>
    </row>
    <row r="30" spans="1:9" x14ac:dyDescent="0.3">
      <c r="A30" s="27" t="s">
        <v>312</v>
      </c>
      <c r="B30" s="28">
        <v>2</v>
      </c>
      <c r="C30" s="28">
        <v>5</v>
      </c>
      <c r="D30" s="17">
        <v>1738.1399999999999</v>
      </c>
      <c r="E30" s="28">
        <v>5</v>
      </c>
      <c r="F30" s="28">
        <v>2</v>
      </c>
      <c r="G30" s="28">
        <v>3</v>
      </c>
      <c r="H30" s="28">
        <v>523</v>
      </c>
      <c r="I30" s="27" t="s">
        <v>4971</v>
      </c>
    </row>
    <row r="31" spans="1:9" x14ac:dyDescent="0.3">
      <c r="A31" s="27" t="s">
        <v>319</v>
      </c>
      <c r="B31" s="28">
        <v>67</v>
      </c>
      <c r="C31" s="28">
        <v>5</v>
      </c>
      <c r="D31" s="17">
        <v>1859.22</v>
      </c>
      <c r="E31" s="28">
        <v>2</v>
      </c>
      <c r="F31" s="28">
        <v>2</v>
      </c>
      <c r="G31" s="28">
        <v>3</v>
      </c>
      <c r="H31" s="28">
        <v>223</v>
      </c>
      <c r="I31" s="27" t="s">
        <v>4970</v>
      </c>
    </row>
    <row r="32" spans="1:9" x14ac:dyDescent="0.3">
      <c r="A32" s="27" t="s">
        <v>326</v>
      </c>
      <c r="B32" s="28">
        <v>25</v>
      </c>
      <c r="C32" s="28">
        <v>11</v>
      </c>
      <c r="D32" s="17">
        <v>2984.16</v>
      </c>
      <c r="E32" s="28">
        <v>3</v>
      </c>
      <c r="F32" s="28">
        <v>4</v>
      </c>
      <c r="G32" s="28">
        <v>4</v>
      </c>
      <c r="H32" s="28">
        <v>344</v>
      </c>
      <c r="I32" s="27" t="s">
        <v>4968</v>
      </c>
    </row>
    <row r="33" spans="1:9" x14ac:dyDescent="0.3">
      <c r="A33" s="27" t="s">
        <v>339</v>
      </c>
      <c r="B33" s="28">
        <v>8</v>
      </c>
      <c r="C33" s="28">
        <v>12</v>
      </c>
      <c r="D33" s="17">
        <v>2775.07</v>
      </c>
      <c r="E33" s="28">
        <v>4</v>
      </c>
      <c r="F33" s="28">
        <v>5</v>
      </c>
      <c r="G33" s="28">
        <v>4</v>
      </c>
      <c r="H33" s="28">
        <v>454</v>
      </c>
      <c r="I33" s="27" t="s">
        <v>4969</v>
      </c>
    </row>
    <row r="34" spans="1:9" x14ac:dyDescent="0.3">
      <c r="A34" s="27" t="s">
        <v>353</v>
      </c>
      <c r="B34" s="28">
        <v>27</v>
      </c>
      <c r="C34" s="28">
        <v>12</v>
      </c>
      <c r="D34" s="17">
        <v>2786.1399999999994</v>
      </c>
      <c r="E34" s="28">
        <v>3</v>
      </c>
      <c r="F34" s="28">
        <v>5</v>
      </c>
      <c r="G34" s="28">
        <v>4</v>
      </c>
      <c r="H34" s="28">
        <v>354</v>
      </c>
      <c r="I34" s="27" t="s">
        <v>4968</v>
      </c>
    </row>
    <row r="35" spans="1:9" x14ac:dyDescent="0.3">
      <c r="A35" s="27" t="s">
        <v>367</v>
      </c>
      <c r="B35" s="28">
        <v>70</v>
      </c>
      <c r="C35" s="28">
        <v>15</v>
      </c>
      <c r="D35" s="17">
        <v>4334.99</v>
      </c>
      <c r="E35" s="28">
        <v>2</v>
      </c>
      <c r="F35" s="28">
        <v>5</v>
      </c>
      <c r="G35" s="28">
        <v>5</v>
      </c>
      <c r="H35" s="28">
        <v>255</v>
      </c>
      <c r="I35" s="27" t="s">
        <v>4967</v>
      </c>
    </row>
    <row r="36" spans="1:9" x14ac:dyDescent="0.3">
      <c r="A36" s="27" t="s">
        <v>384</v>
      </c>
      <c r="B36" s="28">
        <v>24</v>
      </c>
      <c r="C36" s="28">
        <v>12</v>
      </c>
      <c r="D36" s="17">
        <v>2198.5100000000002</v>
      </c>
      <c r="E36" s="28">
        <v>3</v>
      </c>
      <c r="F36" s="28">
        <v>5</v>
      </c>
      <c r="G36" s="28">
        <v>3</v>
      </c>
      <c r="H36" s="28">
        <v>353</v>
      </c>
      <c r="I36" s="27" t="s">
        <v>4968</v>
      </c>
    </row>
    <row r="37" spans="1:9" x14ac:dyDescent="0.3">
      <c r="A37" s="27" t="s">
        <v>398</v>
      </c>
      <c r="B37" s="28">
        <v>9</v>
      </c>
      <c r="C37" s="28">
        <v>5</v>
      </c>
      <c r="D37" s="17">
        <v>1192.31</v>
      </c>
      <c r="E37" s="28">
        <v>4</v>
      </c>
      <c r="F37" s="28">
        <v>2</v>
      </c>
      <c r="G37" s="28">
        <v>2</v>
      </c>
      <c r="H37" s="28">
        <v>422</v>
      </c>
      <c r="I37" s="27" t="s">
        <v>4971</v>
      </c>
    </row>
    <row r="38" spans="1:9" x14ac:dyDescent="0.3">
      <c r="A38" s="27" t="s">
        <v>405</v>
      </c>
      <c r="B38" s="28">
        <v>62</v>
      </c>
      <c r="C38" s="28">
        <v>4</v>
      </c>
      <c r="D38" s="17">
        <v>1144.56</v>
      </c>
      <c r="E38" s="28">
        <v>2</v>
      </c>
      <c r="F38" s="28">
        <v>2</v>
      </c>
      <c r="G38" s="28">
        <v>2</v>
      </c>
      <c r="H38" s="28">
        <v>222</v>
      </c>
      <c r="I38" s="27" t="s">
        <v>4970</v>
      </c>
    </row>
    <row r="39" spans="1:9" x14ac:dyDescent="0.3">
      <c r="A39" s="27" t="s">
        <v>411</v>
      </c>
      <c r="B39" s="28">
        <v>77</v>
      </c>
      <c r="C39" s="28">
        <v>2</v>
      </c>
      <c r="D39" s="17">
        <v>609.19000000000005</v>
      </c>
      <c r="E39" s="28">
        <v>2</v>
      </c>
      <c r="F39" s="28">
        <v>1</v>
      </c>
      <c r="G39" s="28">
        <v>1</v>
      </c>
      <c r="H39" s="28">
        <v>211</v>
      </c>
      <c r="I39" s="27" t="s">
        <v>4970</v>
      </c>
    </row>
    <row r="40" spans="1:9" x14ac:dyDescent="0.3">
      <c r="A40" s="27" t="s">
        <v>415</v>
      </c>
      <c r="B40" s="28">
        <v>33</v>
      </c>
      <c r="C40" s="28">
        <v>11</v>
      </c>
      <c r="D40" s="17">
        <v>2904.8799999999997</v>
      </c>
      <c r="E40" s="28">
        <v>3</v>
      </c>
      <c r="F40" s="28">
        <v>4</v>
      </c>
      <c r="G40" s="28">
        <v>4</v>
      </c>
      <c r="H40" s="28">
        <v>344</v>
      </c>
      <c r="I40" s="27" t="s">
        <v>4968</v>
      </c>
    </row>
    <row r="41" spans="1:9" x14ac:dyDescent="0.3">
      <c r="A41" s="27" t="s">
        <v>428</v>
      </c>
      <c r="B41" s="28">
        <v>72</v>
      </c>
      <c r="C41" s="28">
        <v>5</v>
      </c>
      <c r="D41" s="17">
        <v>1245.0700000000002</v>
      </c>
      <c r="E41" s="28">
        <v>2</v>
      </c>
      <c r="F41" s="28">
        <v>2</v>
      </c>
      <c r="G41" s="28">
        <v>2</v>
      </c>
      <c r="H41" s="28">
        <v>222</v>
      </c>
      <c r="I41" s="27" t="s">
        <v>4970</v>
      </c>
    </row>
    <row r="42" spans="1:9" x14ac:dyDescent="0.3">
      <c r="A42" s="27" t="s">
        <v>435</v>
      </c>
      <c r="B42" s="28">
        <v>29</v>
      </c>
      <c r="C42" s="28">
        <v>10</v>
      </c>
      <c r="D42" s="17">
        <v>2391.6</v>
      </c>
      <c r="E42" s="28">
        <v>3</v>
      </c>
      <c r="F42" s="28">
        <v>4</v>
      </c>
      <c r="G42" s="28">
        <v>4</v>
      </c>
      <c r="H42" s="28">
        <v>344</v>
      </c>
      <c r="I42" s="27" t="s">
        <v>4968</v>
      </c>
    </row>
    <row r="43" spans="1:9" x14ac:dyDescent="0.3">
      <c r="A43" s="27" t="s">
        <v>447</v>
      </c>
      <c r="B43" s="28">
        <v>716</v>
      </c>
      <c r="C43" s="28">
        <v>1</v>
      </c>
      <c r="D43" s="17">
        <v>238.98</v>
      </c>
      <c r="E43" s="28">
        <v>1</v>
      </c>
      <c r="F43" s="28">
        <v>1</v>
      </c>
      <c r="G43" s="28">
        <v>1</v>
      </c>
      <c r="H43" s="28">
        <v>111</v>
      </c>
      <c r="I43" s="27" t="s">
        <v>4970</v>
      </c>
    </row>
    <row r="44" spans="1:9" x14ac:dyDescent="0.3">
      <c r="A44" s="27" t="s">
        <v>450</v>
      </c>
      <c r="B44" s="28">
        <v>5</v>
      </c>
      <c r="C44" s="28">
        <v>4</v>
      </c>
      <c r="D44" s="17">
        <v>871.3</v>
      </c>
      <c r="E44" s="28">
        <v>5</v>
      </c>
      <c r="F44" s="28">
        <v>2</v>
      </c>
      <c r="G44" s="28">
        <v>1</v>
      </c>
      <c r="H44" s="28">
        <v>521</v>
      </c>
      <c r="I44" s="27" t="s">
        <v>4971</v>
      </c>
    </row>
    <row r="45" spans="1:9" x14ac:dyDescent="0.3">
      <c r="A45" s="27" t="s">
        <v>456</v>
      </c>
      <c r="B45" s="28">
        <v>5</v>
      </c>
      <c r="C45" s="28">
        <v>11</v>
      </c>
      <c r="D45" s="17">
        <v>2891.5199999999995</v>
      </c>
      <c r="E45" s="28">
        <v>5</v>
      </c>
      <c r="F45" s="28">
        <v>4</v>
      </c>
      <c r="G45" s="28">
        <v>4</v>
      </c>
      <c r="H45" s="28">
        <v>544</v>
      </c>
      <c r="I45" s="27" t="s">
        <v>4969</v>
      </c>
    </row>
    <row r="46" spans="1:9" x14ac:dyDescent="0.3">
      <c r="A46" s="27" t="s">
        <v>469</v>
      </c>
      <c r="B46" s="28">
        <v>35</v>
      </c>
      <c r="C46" s="28">
        <v>9</v>
      </c>
      <c r="D46" s="17">
        <v>2339.7400000000002</v>
      </c>
      <c r="E46" s="28">
        <v>3</v>
      </c>
      <c r="F46" s="28">
        <v>4</v>
      </c>
      <c r="G46" s="28">
        <v>4</v>
      </c>
      <c r="H46" s="28">
        <v>344</v>
      </c>
      <c r="I46" s="27" t="s">
        <v>4968</v>
      </c>
    </row>
    <row r="47" spans="1:9" x14ac:dyDescent="0.3">
      <c r="A47" s="27" t="s">
        <v>480</v>
      </c>
      <c r="B47" s="28">
        <v>24</v>
      </c>
      <c r="C47" s="28">
        <v>13</v>
      </c>
      <c r="D47" s="17">
        <v>4243.7</v>
      </c>
      <c r="E47" s="28">
        <v>3</v>
      </c>
      <c r="F47" s="28">
        <v>5</v>
      </c>
      <c r="G47" s="28">
        <v>5</v>
      </c>
      <c r="H47" s="28">
        <v>355</v>
      </c>
      <c r="I47" s="27" t="s">
        <v>4968</v>
      </c>
    </row>
    <row r="48" spans="1:9" x14ac:dyDescent="0.3">
      <c r="A48" s="27" t="s">
        <v>495</v>
      </c>
      <c r="B48" s="28">
        <v>7</v>
      </c>
      <c r="C48" s="28">
        <v>6</v>
      </c>
      <c r="D48" s="17">
        <v>1594.77</v>
      </c>
      <c r="E48" s="28">
        <v>5</v>
      </c>
      <c r="F48" s="28">
        <v>3</v>
      </c>
      <c r="G48" s="28">
        <v>3</v>
      </c>
      <c r="H48" s="28">
        <v>533</v>
      </c>
      <c r="I48" s="27" t="s">
        <v>4968</v>
      </c>
    </row>
    <row r="49" spans="1:9" x14ac:dyDescent="0.3">
      <c r="A49" s="27" t="s">
        <v>503</v>
      </c>
      <c r="B49" s="28">
        <v>5</v>
      </c>
      <c r="C49" s="28">
        <v>12</v>
      </c>
      <c r="D49" s="17">
        <v>3129.19</v>
      </c>
      <c r="E49" s="28">
        <v>5</v>
      </c>
      <c r="F49" s="28">
        <v>5</v>
      </c>
      <c r="G49" s="28">
        <v>5</v>
      </c>
      <c r="H49" s="28">
        <v>555</v>
      </c>
      <c r="I49" s="27" t="s">
        <v>4969</v>
      </c>
    </row>
    <row r="50" spans="1:9" x14ac:dyDescent="0.3">
      <c r="A50" s="27" t="s">
        <v>517</v>
      </c>
      <c r="B50" s="28">
        <v>16</v>
      </c>
      <c r="C50" s="28">
        <v>12</v>
      </c>
      <c r="D50" s="17">
        <v>2691.04</v>
      </c>
      <c r="E50" s="28">
        <v>4</v>
      </c>
      <c r="F50" s="28">
        <v>5</v>
      </c>
      <c r="G50" s="28">
        <v>4</v>
      </c>
      <c r="H50" s="28">
        <v>454</v>
      </c>
      <c r="I50" s="27" t="s">
        <v>4969</v>
      </c>
    </row>
    <row r="51" spans="1:9" x14ac:dyDescent="0.3">
      <c r="A51" s="27" t="s">
        <v>531</v>
      </c>
      <c r="B51" s="28">
        <v>26</v>
      </c>
      <c r="C51" s="28">
        <v>9</v>
      </c>
      <c r="D51" s="17">
        <v>2274.1</v>
      </c>
      <c r="E51" s="28">
        <v>3</v>
      </c>
      <c r="F51" s="28">
        <v>4</v>
      </c>
      <c r="G51" s="28">
        <v>3</v>
      </c>
      <c r="H51" s="28">
        <v>343</v>
      </c>
      <c r="I51" s="27" t="s">
        <v>4968</v>
      </c>
    </row>
    <row r="52" spans="1:9" x14ac:dyDescent="0.3">
      <c r="A52" s="27" t="s">
        <v>542</v>
      </c>
      <c r="B52" s="28">
        <v>6</v>
      </c>
      <c r="C52" s="28">
        <v>12</v>
      </c>
      <c r="D52" s="17">
        <v>2270.27</v>
      </c>
      <c r="E52" s="28">
        <v>5</v>
      </c>
      <c r="F52" s="28">
        <v>5</v>
      </c>
      <c r="G52" s="28">
        <v>3</v>
      </c>
      <c r="H52" s="28">
        <v>553</v>
      </c>
      <c r="I52" s="27" t="s">
        <v>4968</v>
      </c>
    </row>
    <row r="53" spans="1:9" x14ac:dyDescent="0.3">
      <c r="A53" s="27" t="s">
        <v>556</v>
      </c>
      <c r="B53" s="28">
        <v>1</v>
      </c>
      <c r="C53" s="28">
        <v>12</v>
      </c>
      <c r="D53" s="17">
        <v>3123.4099999999994</v>
      </c>
      <c r="E53" s="28">
        <v>5</v>
      </c>
      <c r="F53" s="28">
        <v>5</v>
      </c>
      <c r="G53" s="28">
        <v>5</v>
      </c>
      <c r="H53" s="28">
        <v>555</v>
      </c>
      <c r="I53" s="27" t="s">
        <v>4969</v>
      </c>
    </row>
    <row r="54" spans="1:9" x14ac:dyDescent="0.3">
      <c r="A54" s="27" t="s">
        <v>570</v>
      </c>
      <c r="B54" s="28">
        <v>5</v>
      </c>
      <c r="C54" s="28">
        <v>15</v>
      </c>
      <c r="D54" s="17">
        <v>3679.17</v>
      </c>
      <c r="E54" s="28">
        <v>5</v>
      </c>
      <c r="F54" s="28">
        <v>5</v>
      </c>
      <c r="G54" s="28">
        <v>5</v>
      </c>
      <c r="H54" s="28">
        <v>555</v>
      </c>
      <c r="I54" s="27" t="s">
        <v>4969</v>
      </c>
    </row>
    <row r="55" spans="1:9" x14ac:dyDescent="0.3">
      <c r="A55" s="27" t="s">
        <v>587</v>
      </c>
      <c r="B55" s="28">
        <v>6</v>
      </c>
      <c r="C55" s="28">
        <v>5</v>
      </c>
      <c r="D55" s="17">
        <v>1382.9199999999998</v>
      </c>
      <c r="E55" s="28">
        <v>5</v>
      </c>
      <c r="F55" s="28">
        <v>2</v>
      </c>
      <c r="G55" s="28">
        <v>2</v>
      </c>
      <c r="H55" s="28">
        <v>522</v>
      </c>
      <c r="I55" s="27" t="s">
        <v>4971</v>
      </c>
    </row>
    <row r="56" spans="1:9" x14ac:dyDescent="0.3">
      <c r="A56" s="27" t="s">
        <v>594</v>
      </c>
      <c r="B56" s="28">
        <v>2</v>
      </c>
      <c r="C56" s="28">
        <v>14</v>
      </c>
      <c r="D56" s="17">
        <v>4158.7800000000007</v>
      </c>
      <c r="E56" s="28">
        <v>5</v>
      </c>
      <c r="F56" s="28">
        <v>5</v>
      </c>
      <c r="G56" s="28">
        <v>5</v>
      </c>
      <c r="H56" s="28">
        <v>555</v>
      </c>
      <c r="I56" s="27" t="s">
        <v>4969</v>
      </c>
    </row>
    <row r="57" spans="1:9" x14ac:dyDescent="0.3">
      <c r="A57" s="27" t="s">
        <v>610</v>
      </c>
      <c r="B57" s="28">
        <v>300</v>
      </c>
      <c r="C57" s="28">
        <v>4</v>
      </c>
      <c r="D57" s="17">
        <v>974.31999999999994</v>
      </c>
      <c r="E57" s="28">
        <v>1</v>
      </c>
      <c r="F57" s="28">
        <v>2</v>
      </c>
      <c r="G57" s="28">
        <v>2</v>
      </c>
      <c r="H57" s="28">
        <v>122</v>
      </c>
      <c r="I57" s="27" t="s">
        <v>4970</v>
      </c>
    </row>
    <row r="58" spans="1:9" x14ac:dyDescent="0.3">
      <c r="A58" s="27" t="s">
        <v>616</v>
      </c>
      <c r="B58" s="28">
        <v>6</v>
      </c>
      <c r="C58" s="28">
        <v>12</v>
      </c>
      <c r="D58" s="17">
        <v>2705.93</v>
      </c>
      <c r="E58" s="28">
        <v>5</v>
      </c>
      <c r="F58" s="28">
        <v>5</v>
      </c>
      <c r="G58" s="28">
        <v>4</v>
      </c>
      <c r="H58" s="28">
        <v>554</v>
      </c>
      <c r="I58" s="27" t="s">
        <v>4969</v>
      </c>
    </row>
    <row r="59" spans="1:9" x14ac:dyDescent="0.3">
      <c r="A59" s="27" t="s">
        <v>630</v>
      </c>
      <c r="B59" s="28">
        <v>245</v>
      </c>
      <c r="C59" s="28">
        <v>4</v>
      </c>
      <c r="D59" s="17">
        <v>1386.81</v>
      </c>
      <c r="E59" s="28">
        <v>1</v>
      </c>
      <c r="F59" s="28">
        <v>2</v>
      </c>
      <c r="G59" s="28">
        <v>2</v>
      </c>
      <c r="H59" s="28">
        <v>122</v>
      </c>
      <c r="I59" s="27" t="s">
        <v>4970</v>
      </c>
    </row>
    <row r="60" spans="1:9" x14ac:dyDescent="0.3">
      <c r="A60" s="27" t="s">
        <v>636</v>
      </c>
      <c r="B60" s="28">
        <v>5</v>
      </c>
      <c r="C60" s="28">
        <v>7</v>
      </c>
      <c r="D60" s="17">
        <v>1830.5800000000002</v>
      </c>
      <c r="E60" s="28">
        <v>5</v>
      </c>
      <c r="F60" s="28">
        <v>3</v>
      </c>
      <c r="G60" s="28">
        <v>3</v>
      </c>
      <c r="H60" s="28">
        <v>533</v>
      </c>
      <c r="I60" s="27" t="s">
        <v>4968</v>
      </c>
    </row>
    <row r="61" spans="1:9" x14ac:dyDescent="0.3">
      <c r="A61" s="27" t="s">
        <v>645</v>
      </c>
      <c r="B61" s="28">
        <v>61</v>
      </c>
      <c r="C61" s="28">
        <v>10</v>
      </c>
      <c r="D61" s="17">
        <v>2934.45</v>
      </c>
      <c r="E61" s="28">
        <v>2</v>
      </c>
      <c r="F61" s="28">
        <v>4</v>
      </c>
      <c r="G61" s="28">
        <v>4</v>
      </c>
      <c r="H61" s="28">
        <v>244</v>
      </c>
      <c r="I61" s="27" t="s">
        <v>4967</v>
      </c>
    </row>
    <row r="62" spans="1:9" x14ac:dyDescent="0.3">
      <c r="A62" s="27" t="s">
        <v>657</v>
      </c>
      <c r="B62" s="28">
        <v>53</v>
      </c>
      <c r="C62" s="28">
        <v>3</v>
      </c>
      <c r="D62" s="17">
        <v>1029.74</v>
      </c>
      <c r="E62" s="28">
        <v>2</v>
      </c>
      <c r="F62" s="28">
        <v>1</v>
      </c>
      <c r="G62" s="28">
        <v>2</v>
      </c>
      <c r="H62" s="28">
        <v>212</v>
      </c>
      <c r="I62" s="27" t="s">
        <v>4970</v>
      </c>
    </row>
    <row r="63" spans="1:9" x14ac:dyDescent="0.3">
      <c r="A63" s="27" t="s">
        <v>662</v>
      </c>
      <c r="B63" s="28">
        <v>9</v>
      </c>
      <c r="C63" s="28">
        <v>7</v>
      </c>
      <c r="D63" s="17">
        <v>1661.9800000000002</v>
      </c>
      <c r="E63" s="28">
        <v>4</v>
      </c>
      <c r="F63" s="28">
        <v>3</v>
      </c>
      <c r="G63" s="28">
        <v>3</v>
      </c>
      <c r="H63" s="28">
        <v>433</v>
      </c>
      <c r="I63" s="27" t="s">
        <v>4968</v>
      </c>
    </row>
    <row r="64" spans="1:9" x14ac:dyDescent="0.3">
      <c r="A64" s="27" t="s">
        <v>671</v>
      </c>
      <c r="B64" s="28">
        <v>16</v>
      </c>
      <c r="C64" s="28">
        <v>7</v>
      </c>
      <c r="D64" s="17">
        <v>1984.3300000000002</v>
      </c>
      <c r="E64" s="28">
        <v>4</v>
      </c>
      <c r="F64" s="28">
        <v>3</v>
      </c>
      <c r="G64" s="28">
        <v>3</v>
      </c>
      <c r="H64" s="28">
        <v>433</v>
      </c>
      <c r="I64" s="27" t="s">
        <v>4968</v>
      </c>
    </row>
    <row r="65" spans="1:9" x14ac:dyDescent="0.3">
      <c r="A65" s="27" t="s">
        <v>680</v>
      </c>
      <c r="B65" s="28">
        <v>6</v>
      </c>
      <c r="C65" s="28">
        <v>8</v>
      </c>
      <c r="D65" s="17">
        <v>2052.92</v>
      </c>
      <c r="E65" s="28">
        <v>5</v>
      </c>
      <c r="F65" s="28">
        <v>3</v>
      </c>
      <c r="G65" s="28">
        <v>3</v>
      </c>
      <c r="H65" s="28">
        <v>533</v>
      </c>
      <c r="I65" s="27" t="s">
        <v>4968</v>
      </c>
    </row>
    <row r="66" spans="1:9" x14ac:dyDescent="0.3">
      <c r="A66" s="27" t="s">
        <v>690</v>
      </c>
      <c r="B66" s="28">
        <v>43</v>
      </c>
      <c r="C66" s="28">
        <v>6</v>
      </c>
      <c r="D66" s="17">
        <v>1109.82</v>
      </c>
      <c r="E66" s="28">
        <v>3</v>
      </c>
      <c r="F66" s="28">
        <v>3</v>
      </c>
      <c r="G66" s="28">
        <v>2</v>
      </c>
      <c r="H66" s="28">
        <v>332</v>
      </c>
      <c r="I66" s="27" t="s">
        <v>4972</v>
      </c>
    </row>
    <row r="67" spans="1:9" x14ac:dyDescent="0.3">
      <c r="A67" s="27" t="s">
        <v>698</v>
      </c>
      <c r="B67" s="28">
        <v>24</v>
      </c>
      <c r="C67" s="28">
        <v>11</v>
      </c>
      <c r="D67" s="17">
        <v>3092.2999999999997</v>
      </c>
      <c r="E67" s="28">
        <v>3</v>
      </c>
      <c r="F67" s="28">
        <v>4</v>
      </c>
      <c r="G67" s="28">
        <v>4</v>
      </c>
      <c r="H67" s="28">
        <v>344</v>
      </c>
      <c r="I67" s="27" t="s">
        <v>4968</v>
      </c>
    </row>
    <row r="68" spans="1:9" x14ac:dyDescent="0.3">
      <c r="A68" s="27" t="s">
        <v>711</v>
      </c>
      <c r="B68" s="28">
        <v>80</v>
      </c>
      <c r="C68" s="28">
        <v>3</v>
      </c>
      <c r="D68" s="17">
        <v>757.15000000000009</v>
      </c>
      <c r="E68" s="28">
        <v>2</v>
      </c>
      <c r="F68" s="28">
        <v>1</v>
      </c>
      <c r="G68" s="28">
        <v>1</v>
      </c>
      <c r="H68" s="28">
        <v>211</v>
      </c>
      <c r="I68" s="27" t="s">
        <v>4970</v>
      </c>
    </row>
    <row r="69" spans="1:9" x14ac:dyDescent="0.3">
      <c r="A69" s="27" t="s">
        <v>716</v>
      </c>
      <c r="B69" s="28">
        <v>106</v>
      </c>
      <c r="C69" s="28">
        <v>3</v>
      </c>
      <c r="D69" s="17">
        <v>1062.94</v>
      </c>
      <c r="E69" s="28">
        <v>1</v>
      </c>
      <c r="F69" s="28">
        <v>1</v>
      </c>
      <c r="G69" s="28">
        <v>2</v>
      </c>
      <c r="H69" s="28">
        <v>112</v>
      </c>
      <c r="I69" s="27" t="s">
        <v>4970</v>
      </c>
    </row>
    <row r="70" spans="1:9" x14ac:dyDescent="0.3">
      <c r="A70" s="27" t="s">
        <v>721</v>
      </c>
      <c r="B70" s="28">
        <v>102</v>
      </c>
      <c r="C70" s="28">
        <v>7</v>
      </c>
      <c r="D70" s="17">
        <v>1768.8100000000002</v>
      </c>
      <c r="E70" s="28">
        <v>1</v>
      </c>
      <c r="F70" s="28">
        <v>3</v>
      </c>
      <c r="G70" s="28">
        <v>3</v>
      </c>
      <c r="H70" s="28">
        <v>133</v>
      </c>
      <c r="I70" s="27" t="s">
        <v>4967</v>
      </c>
    </row>
    <row r="71" spans="1:9" x14ac:dyDescent="0.3">
      <c r="A71" s="27" t="s">
        <v>730</v>
      </c>
      <c r="B71" s="28">
        <v>64</v>
      </c>
      <c r="C71" s="28">
        <v>7</v>
      </c>
      <c r="D71" s="17">
        <v>1690.26</v>
      </c>
      <c r="E71" s="28">
        <v>2</v>
      </c>
      <c r="F71" s="28">
        <v>3</v>
      </c>
      <c r="G71" s="28">
        <v>3</v>
      </c>
      <c r="H71" s="28">
        <v>233</v>
      </c>
      <c r="I71" s="27" t="s">
        <v>4967</v>
      </c>
    </row>
    <row r="72" spans="1:9" x14ac:dyDescent="0.3">
      <c r="A72" s="27" t="s">
        <v>739</v>
      </c>
      <c r="B72" s="28">
        <v>9</v>
      </c>
      <c r="C72" s="28">
        <v>13</v>
      </c>
      <c r="D72" s="17">
        <v>3448.35</v>
      </c>
      <c r="E72" s="28">
        <v>4</v>
      </c>
      <c r="F72" s="28">
        <v>5</v>
      </c>
      <c r="G72" s="28">
        <v>5</v>
      </c>
      <c r="H72" s="28">
        <v>455</v>
      </c>
      <c r="I72" s="27" t="s">
        <v>4969</v>
      </c>
    </row>
    <row r="73" spans="1:9" x14ac:dyDescent="0.3">
      <c r="A73" s="27" t="s">
        <v>754</v>
      </c>
      <c r="B73" s="28">
        <v>7</v>
      </c>
      <c r="C73" s="28">
        <v>3</v>
      </c>
      <c r="D73" s="17">
        <v>996.52</v>
      </c>
      <c r="E73" s="28">
        <v>5</v>
      </c>
      <c r="F73" s="28">
        <v>1</v>
      </c>
      <c r="G73" s="28">
        <v>2</v>
      </c>
      <c r="H73" s="28">
        <v>512</v>
      </c>
      <c r="I73" s="27" t="s">
        <v>4971</v>
      </c>
    </row>
    <row r="74" spans="1:9" x14ac:dyDescent="0.3">
      <c r="A74" s="27" t="s">
        <v>759</v>
      </c>
      <c r="B74" s="28">
        <v>59</v>
      </c>
      <c r="C74" s="28">
        <v>2</v>
      </c>
      <c r="D74" s="17">
        <v>404.68</v>
      </c>
      <c r="E74" s="28">
        <v>2</v>
      </c>
      <c r="F74" s="28">
        <v>1</v>
      </c>
      <c r="G74" s="28">
        <v>1</v>
      </c>
      <c r="H74" s="28">
        <v>211</v>
      </c>
      <c r="I74" s="27" t="s">
        <v>4970</v>
      </c>
    </row>
    <row r="75" spans="1:9" x14ac:dyDescent="0.3">
      <c r="A75" s="27" t="s">
        <v>763</v>
      </c>
      <c r="B75" s="28">
        <v>3</v>
      </c>
      <c r="C75" s="28">
        <v>10</v>
      </c>
      <c r="D75" s="17">
        <v>2810.95</v>
      </c>
      <c r="E75" s="28">
        <v>5</v>
      </c>
      <c r="F75" s="28">
        <v>4</v>
      </c>
      <c r="G75" s="28">
        <v>4</v>
      </c>
      <c r="H75" s="28">
        <v>544</v>
      </c>
      <c r="I75" s="27" t="s">
        <v>4969</v>
      </c>
    </row>
    <row r="76" spans="1:9" x14ac:dyDescent="0.3">
      <c r="A76" s="27" t="s">
        <v>775</v>
      </c>
      <c r="B76" s="28">
        <v>12</v>
      </c>
      <c r="C76" s="28">
        <v>14</v>
      </c>
      <c r="D76" s="17">
        <v>3920.5299999999997</v>
      </c>
      <c r="E76" s="28">
        <v>4</v>
      </c>
      <c r="F76" s="28">
        <v>5</v>
      </c>
      <c r="G76" s="28">
        <v>5</v>
      </c>
      <c r="H76" s="28">
        <v>455</v>
      </c>
      <c r="I76" s="27" t="s">
        <v>4969</v>
      </c>
    </row>
    <row r="77" spans="1:9" x14ac:dyDescent="0.3">
      <c r="A77" s="27" t="s">
        <v>791</v>
      </c>
      <c r="B77" s="28">
        <v>13</v>
      </c>
      <c r="C77" s="28">
        <v>11</v>
      </c>
      <c r="D77" s="17">
        <v>2822.0999999999995</v>
      </c>
      <c r="E77" s="28">
        <v>4</v>
      </c>
      <c r="F77" s="28">
        <v>4</v>
      </c>
      <c r="G77" s="28">
        <v>4</v>
      </c>
      <c r="H77" s="28">
        <v>444</v>
      </c>
      <c r="I77" s="27" t="s">
        <v>4969</v>
      </c>
    </row>
    <row r="78" spans="1:9" x14ac:dyDescent="0.3">
      <c r="A78" s="27" t="s">
        <v>804</v>
      </c>
      <c r="B78" s="28">
        <v>47</v>
      </c>
      <c r="C78" s="28">
        <v>8</v>
      </c>
      <c r="D78" s="17">
        <v>1648.73</v>
      </c>
      <c r="E78" s="28">
        <v>2</v>
      </c>
      <c r="F78" s="28">
        <v>3</v>
      </c>
      <c r="G78" s="28">
        <v>3</v>
      </c>
      <c r="H78" s="28">
        <v>233</v>
      </c>
      <c r="I78" s="27" t="s">
        <v>4967</v>
      </c>
    </row>
    <row r="79" spans="1:9" x14ac:dyDescent="0.3">
      <c r="A79" s="27" t="s">
        <v>814</v>
      </c>
      <c r="B79" s="28">
        <v>20</v>
      </c>
      <c r="C79" s="28">
        <v>12</v>
      </c>
      <c r="D79" s="17">
        <v>3791.84</v>
      </c>
      <c r="E79" s="28">
        <v>4</v>
      </c>
      <c r="F79" s="28">
        <v>5</v>
      </c>
      <c r="G79" s="28">
        <v>5</v>
      </c>
      <c r="H79" s="28">
        <v>455</v>
      </c>
      <c r="I79" s="27" t="s">
        <v>4969</v>
      </c>
    </row>
    <row r="80" spans="1:9" x14ac:dyDescent="0.3">
      <c r="A80" s="27" t="s">
        <v>828</v>
      </c>
      <c r="B80" s="28">
        <v>10</v>
      </c>
      <c r="C80" s="28">
        <v>9</v>
      </c>
      <c r="D80" s="17">
        <v>1957.4099999999999</v>
      </c>
      <c r="E80" s="28">
        <v>4</v>
      </c>
      <c r="F80" s="28">
        <v>4</v>
      </c>
      <c r="G80" s="28">
        <v>3</v>
      </c>
      <c r="H80" s="28">
        <v>443</v>
      </c>
      <c r="I80" s="27" t="s">
        <v>4968</v>
      </c>
    </row>
    <row r="81" spans="1:9" x14ac:dyDescent="0.3">
      <c r="A81" s="27" t="s">
        <v>839</v>
      </c>
      <c r="B81" s="28">
        <v>68</v>
      </c>
      <c r="C81" s="28">
        <v>8</v>
      </c>
      <c r="D81" s="17">
        <v>2294.5699999999997</v>
      </c>
      <c r="E81" s="28">
        <v>2</v>
      </c>
      <c r="F81" s="28">
        <v>3</v>
      </c>
      <c r="G81" s="28">
        <v>4</v>
      </c>
      <c r="H81" s="28">
        <v>234</v>
      </c>
      <c r="I81" s="27" t="s">
        <v>4967</v>
      </c>
    </row>
    <row r="82" spans="1:9" x14ac:dyDescent="0.3">
      <c r="A82" s="27" t="s">
        <v>849</v>
      </c>
      <c r="B82" s="28">
        <v>30</v>
      </c>
      <c r="C82" s="28">
        <v>8</v>
      </c>
      <c r="D82" s="17">
        <v>2424.73</v>
      </c>
      <c r="E82" s="28">
        <v>3</v>
      </c>
      <c r="F82" s="28">
        <v>3</v>
      </c>
      <c r="G82" s="28">
        <v>4</v>
      </c>
      <c r="H82" s="28">
        <v>334</v>
      </c>
      <c r="I82" s="27" t="s">
        <v>4968</v>
      </c>
    </row>
    <row r="83" spans="1:9" x14ac:dyDescent="0.3">
      <c r="A83" s="27" t="s">
        <v>859</v>
      </c>
      <c r="B83" s="28">
        <v>5</v>
      </c>
      <c r="C83" s="28">
        <v>10</v>
      </c>
      <c r="D83" s="17">
        <v>1939.05</v>
      </c>
      <c r="E83" s="28">
        <v>5</v>
      </c>
      <c r="F83" s="28">
        <v>4</v>
      </c>
      <c r="G83" s="28">
        <v>3</v>
      </c>
      <c r="H83" s="28">
        <v>543</v>
      </c>
      <c r="I83" s="27" t="s">
        <v>4968</v>
      </c>
    </row>
    <row r="84" spans="1:9" x14ac:dyDescent="0.3">
      <c r="A84" s="27" t="s">
        <v>871</v>
      </c>
      <c r="B84" s="28">
        <v>141</v>
      </c>
      <c r="C84" s="28">
        <v>5</v>
      </c>
      <c r="D84" s="17">
        <v>1108.3100000000002</v>
      </c>
      <c r="E84" s="28">
        <v>1</v>
      </c>
      <c r="F84" s="28">
        <v>2</v>
      </c>
      <c r="G84" s="28">
        <v>2</v>
      </c>
      <c r="H84" s="28">
        <v>122</v>
      </c>
      <c r="I84" s="27" t="s">
        <v>4970</v>
      </c>
    </row>
    <row r="85" spans="1:9" x14ac:dyDescent="0.3">
      <c r="A85" s="27" t="s">
        <v>878</v>
      </c>
      <c r="B85" s="28">
        <v>3</v>
      </c>
      <c r="C85" s="28">
        <v>8</v>
      </c>
      <c r="D85" s="17">
        <v>1800.39</v>
      </c>
      <c r="E85" s="28">
        <v>5</v>
      </c>
      <c r="F85" s="28">
        <v>3</v>
      </c>
      <c r="G85" s="28">
        <v>3</v>
      </c>
      <c r="H85" s="28">
        <v>533</v>
      </c>
      <c r="I85" s="27" t="s">
        <v>4968</v>
      </c>
    </row>
    <row r="86" spans="1:9" x14ac:dyDescent="0.3">
      <c r="A86" s="27" t="s">
        <v>888</v>
      </c>
      <c r="B86" s="28">
        <v>57</v>
      </c>
      <c r="C86" s="28">
        <v>12</v>
      </c>
      <c r="D86" s="17">
        <v>3197.2699999999995</v>
      </c>
      <c r="E86" s="28">
        <v>2</v>
      </c>
      <c r="F86" s="28">
        <v>5</v>
      </c>
      <c r="G86" s="28">
        <v>5</v>
      </c>
      <c r="H86" s="28">
        <v>255</v>
      </c>
      <c r="I86" s="27" t="s">
        <v>4967</v>
      </c>
    </row>
    <row r="87" spans="1:9" x14ac:dyDescent="0.3">
      <c r="A87" s="27" t="s">
        <v>902</v>
      </c>
      <c r="B87" s="28">
        <v>33</v>
      </c>
      <c r="C87" s="28">
        <v>8</v>
      </c>
      <c r="D87" s="17">
        <v>2262.6699999999996</v>
      </c>
      <c r="E87" s="28">
        <v>3</v>
      </c>
      <c r="F87" s="28">
        <v>3</v>
      </c>
      <c r="G87" s="28">
        <v>3</v>
      </c>
      <c r="H87" s="28">
        <v>333</v>
      </c>
      <c r="I87" s="27" t="s">
        <v>4968</v>
      </c>
    </row>
    <row r="88" spans="1:9" x14ac:dyDescent="0.3">
      <c r="A88" s="27" t="s">
        <v>912</v>
      </c>
      <c r="B88" s="28">
        <v>38</v>
      </c>
      <c r="C88" s="28">
        <v>14</v>
      </c>
      <c r="D88" s="17">
        <v>4347.25</v>
      </c>
      <c r="E88" s="28">
        <v>3</v>
      </c>
      <c r="F88" s="28">
        <v>5</v>
      </c>
      <c r="G88" s="28">
        <v>5</v>
      </c>
      <c r="H88" s="28">
        <v>355</v>
      </c>
      <c r="I88" s="27" t="s">
        <v>4968</v>
      </c>
    </row>
    <row r="89" spans="1:9" x14ac:dyDescent="0.3">
      <c r="A89" s="27" t="s">
        <v>928</v>
      </c>
      <c r="B89" s="28">
        <v>4</v>
      </c>
      <c r="C89" s="28">
        <v>14</v>
      </c>
      <c r="D89" s="17">
        <v>3700.4900000000007</v>
      </c>
      <c r="E89" s="28">
        <v>5</v>
      </c>
      <c r="F89" s="28">
        <v>5</v>
      </c>
      <c r="G89" s="28">
        <v>5</v>
      </c>
      <c r="H89" s="28">
        <v>555</v>
      </c>
      <c r="I89" s="27" t="s">
        <v>4969</v>
      </c>
    </row>
    <row r="90" spans="1:9" x14ac:dyDescent="0.3">
      <c r="A90" s="27" t="s">
        <v>944</v>
      </c>
      <c r="B90" s="28">
        <v>38</v>
      </c>
      <c r="C90" s="28">
        <v>10</v>
      </c>
      <c r="D90" s="17">
        <v>2631.13</v>
      </c>
      <c r="E90" s="28">
        <v>3</v>
      </c>
      <c r="F90" s="28">
        <v>4</v>
      </c>
      <c r="G90" s="28">
        <v>4</v>
      </c>
      <c r="H90" s="28">
        <v>344</v>
      </c>
      <c r="I90" s="27" t="s">
        <v>4968</v>
      </c>
    </row>
    <row r="91" spans="1:9" x14ac:dyDescent="0.3">
      <c r="A91" s="27" t="s">
        <v>956</v>
      </c>
      <c r="B91" s="28">
        <v>39</v>
      </c>
      <c r="C91" s="28">
        <v>13</v>
      </c>
      <c r="D91" s="17">
        <v>3654.35</v>
      </c>
      <c r="E91" s="28">
        <v>3</v>
      </c>
      <c r="F91" s="28">
        <v>5</v>
      </c>
      <c r="G91" s="28">
        <v>5</v>
      </c>
      <c r="H91" s="28">
        <v>355</v>
      </c>
      <c r="I91" s="27" t="s">
        <v>4968</v>
      </c>
    </row>
    <row r="92" spans="1:9" x14ac:dyDescent="0.3">
      <c r="A92" s="27" t="s">
        <v>971</v>
      </c>
      <c r="B92" s="28">
        <v>20</v>
      </c>
      <c r="C92" s="28">
        <v>9</v>
      </c>
      <c r="D92" s="17">
        <v>2519.17</v>
      </c>
      <c r="E92" s="28">
        <v>4</v>
      </c>
      <c r="F92" s="28">
        <v>4</v>
      </c>
      <c r="G92" s="28">
        <v>4</v>
      </c>
      <c r="H92" s="28">
        <v>444</v>
      </c>
      <c r="I92" s="27" t="s">
        <v>4969</v>
      </c>
    </row>
    <row r="93" spans="1:9" x14ac:dyDescent="0.3">
      <c r="A93" s="27" t="s">
        <v>982</v>
      </c>
      <c r="B93" s="28">
        <v>40</v>
      </c>
      <c r="C93" s="28">
        <v>12</v>
      </c>
      <c r="D93" s="17">
        <v>3291.98</v>
      </c>
      <c r="E93" s="28">
        <v>3</v>
      </c>
      <c r="F93" s="28">
        <v>5</v>
      </c>
      <c r="G93" s="28">
        <v>5</v>
      </c>
      <c r="H93" s="28">
        <v>355</v>
      </c>
      <c r="I93" s="27" t="s">
        <v>4968</v>
      </c>
    </row>
    <row r="94" spans="1:9" x14ac:dyDescent="0.3">
      <c r="A94" s="27" t="s">
        <v>996</v>
      </c>
      <c r="B94" s="28">
        <v>102</v>
      </c>
      <c r="C94" s="28">
        <v>11</v>
      </c>
      <c r="D94" s="17">
        <v>2814.52</v>
      </c>
      <c r="E94" s="28">
        <v>1</v>
      </c>
      <c r="F94" s="28">
        <v>4</v>
      </c>
      <c r="G94" s="28">
        <v>4</v>
      </c>
      <c r="H94" s="28">
        <v>144</v>
      </c>
      <c r="I94" s="27" t="s">
        <v>4967</v>
      </c>
    </row>
    <row r="95" spans="1:9" x14ac:dyDescent="0.3">
      <c r="A95" s="27" t="s">
        <v>1009</v>
      </c>
      <c r="B95" s="28">
        <v>350</v>
      </c>
      <c r="C95" s="28">
        <v>1</v>
      </c>
      <c r="D95" s="17">
        <v>483.54</v>
      </c>
      <c r="E95" s="28">
        <v>1</v>
      </c>
      <c r="F95" s="28">
        <v>1</v>
      </c>
      <c r="G95" s="28">
        <v>1</v>
      </c>
      <c r="H95" s="28">
        <v>111</v>
      </c>
      <c r="I95" s="27" t="s">
        <v>4970</v>
      </c>
    </row>
    <row r="96" spans="1:9" x14ac:dyDescent="0.3">
      <c r="A96" s="27" t="s">
        <v>1012</v>
      </c>
      <c r="B96" s="28">
        <v>354</v>
      </c>
      <c r="C96" s="28">
        <v>1</v>
      </c>
      <c r="D96" s="17">
        <v>499.86</v>
      </c>
      <c r="E96" s="28">
        <v>1</v>
      </c>
      <c r="F96" s="28">
        <v>1</v>
      </c>
      <c r="G96" s="28">
        <v>1</v>
      </c>
      <c r="H96" s="28">
        <v>111</v>
      </c>
      <c r="I96" s="27" t="s">
        <v>4970</v>
      </c>
    </row>
    <row r="97" spans="1:9" x14ac:dyDescent="0.3">
      <c r="A97" s="27" t="s">
        <v>1015</v>
      </c>
      <c r="B97" s="28">
        <v>17</v>
      </c>
      <c r="C97" s="28">
        <v>2</v>
      </c>
      <c r="D97" s="17">
        <v>684.06</v>
      </c>
      <c r="E97" s="28">
        <v>4</v>
      </c>
      <c r="F97" s="28">
        <v>1</v>
      </c>
      <c r="G97" s="28">
        <v>1</v>
      </c>
      <c r="H97" s="28">
        <v>411</v>
      </c>
      <c r="I97" s="27" t="s">
        <v>4971</v>
      </c>
    </row>
    <row r="98" spans="1:9" x14ac:dyDescent="0.3">
      <c r="A98" s="27" t="s">
        <v>1019</v>
      </c>
      <c r="B98" s="28">
        <v>63</v>
      </c>
      <c r="C98" s="28">
        <v>5</v>
      </c>
      <c r="D98" s="17">
        <v>1066.82</v>
      </c>
      <c r="E98" s="28">
        <v>2</v>
      </c>
      <c r="F98" s="28">
        <v>2</v>
      </c>
      <c r="G98" s="28">
        <v>2</v>
      </c>
      <c r="H98" s="28">
        <v>222</v>
      </c>
      <c r="I98" s="27" t="s">
        <v>4970</v>
      </c>
    </row>
    <row r="99" spans="1:9" x14ac:dyDescent="0.3">
      <c r="A99" s="27" t="s">
        <v>1026</v>
      </c>
      <c r="B99" s="28">
        <v>60</v>
      </c>
      <c r="C99" s="28">
        <v>6</v>
      </c>
      <c r="D99" s="17">
        <v>1401.19</v>
      </c>
      <c r="E99" s="28">
        <v>2</v>
      </c>
      <c r="F99" s="28">
        <v>3</v>
      </c>
      <c r="G99" s="28">
        <v>2</v>
      </c>
      <c r="H99" s="28">
        <v>232</v>
      </c>
      <c r="I99" s="27" t="s">
        <v>4967</v>
      </c>
    </row>
    <row r="100" spans="1:9" x14ac:dyDescent="0.3">
      <c r="A100" s="27" t="s">
        <v>1034</v>
      </c>
      <c r="B100" s="28">
        <v>73</v>
      </c>
      <c r="C100" s="28">
        <v>4</v>
      </c>
      <c r="D100" s="17">
        <v>1393.98</v>
      </c>
      <c r="E100" s="28">
        <v>2</v>
      </c>
      <c r="F100" s="28">
        <v>2</v>
      </c>
      <c r="G100" s="28">
        <v>2</v>
      </c>
      <c r="H100" s="28">
        <v>222</v>
      </c>
      <c r="I100" s="27" t="s">
        <v>4970</v>
      </c>
    </row>
    <row r="101" spans="1:9" x14ac:dyDescent="0.3">
      <c r="A101" s="27" t="s">
        <v>1040</v>
      </c>
      <c r="B101" s="28">
        <v>86</v>
      </c>
      <c r="C101" s="28">
        <v>6</v>
      </c>
      <c r="D101" s="17">
        <v>1399.4799999999998</v>
      </c>
      <c r="E101" s="28">
        <v>2</v>
      </c>
      <c r="F101" s="28">
        <v>3</v>
      </c>
      <c r="G101" s="28">
        <v>2</v>
      </c>
      <c r="H101" s="28">
        <v>232</v>
      </c>
      <c r="I101" s="27" t="s">
        <v>4967</v>
      </c>
    </row>
    <row r="102" spans="1:9" x14ac:dyDescent="0.3">
      <c r="A102" s="27" t="s">
        <v>1048</v>
      </c>
      <c r="B102" s="28">
        <v>30</v>
      </c>
      <c r="C102" s="28">
        <v>8</v>
      </c>
      <c r="D102" s="17">
        <v>1780.88</v>
      </c>
      <c r="E102" s="28">
        <v>3</v>
      </c>
      <c r="F102" s="28">
        <v>3</v>
      </c>
      <c r="G102" s="28">
        <v>3</v>
      </c>
      <c r="H102" s="28">
        <v>333</v>
      </c>
      <c r="I102" s="27" t="s">
        <v>4968</v>
      </c>
    </row>
    <row r="103" spans="1:9" x14ac:dyDescent="0.3">
      <c r="A103" s="27" t="s">
        <v>1058</v>
      </c>
      <c r="B103" s="28">
        <v>209</v>
      </c>
      <c r="C103" s="28">
        <v>2</v>
      </c>
      <c r="D103" s="17">
        <v>543.4</v>
      </c>
      <c r="E103" s="28">
        <v>1</v>
      </c>
      <c r="F103" s="28">
        <v>1</v>
      </c>
      <c r="G103" s="28">
        <v>1</v>
      </c>
      <c r="H103" s="28">
        <v>111</v>
      </c>
      <c r="I103" s="27" t="s">
        <v>4970</v>
      </c>
    </row>
    <row r="104" spans="1:9" x14ac:dyDescent="0.3">
      <c r="A104" s="27" t="s">
        <v>1062</v>
      </c>
      <c r="B104" s="28">
        <v>64</v>
      </c>
      <c r="C104" s="28">
        <v>14</v>
      </c>
      <c r="D104" s="17">
        <v>2617.7600000000002</v>
      </c>
      <c r="E104" s="28">
        <v>2</v>
      </c>
      <c r="F104" s="28">
        <v>5</v>
      </c>
      <c r="G104" s="28">
        <v>4</v>
      </c>
      <c r="H104" s="28">
        <v>254</v>
      </c>
      <c r="I104" s="27" t="s">
        <v>4967</v>
      </c>
    </row>
    <row r="105" spans="1:9" x14ac:dyDescent="0.3">
      <c r="A105" s="27" t="s">
        <v>1078</v>
      </c>
      <c r="B105" s="28">
        <v>3</v>
      </c>
      <c r="C105" s="28">
        <v>9</v>
      </c>
      <c r="D105" s="17">
        <v>3446.3599999999997</v>
      </c>
      <c r="E105" s="28">
        <v>5</v>
      </c>
      <c r="F105" s="28">
        <v>4</v>
      </c>
      <c r="G105" s="28">
        <v>5</v>
      </c>
      <c r="H105" s="28">
        <v>545</v>
      </c>
      <c r="I105" s="27" t="s">
        <v>4969</v>
      </c>
    </row>
    <row r="106" spans="1:9" x14ac:dyDescent="0.3">
      <c r="A106" s="27" t="s">
        <v>1089</v>
      </c>
      <c r="B106" s="28">
        <v>20</v>
      </c>
      <c r="C106" s="28">
        <v>12</v>
      </c>
      <c r="D106" s="17">
        <v>2432.17</v>
      </c>
      <c r="E106" s="28">
        <v>4</v>
      </c>
      <c r="F106" s="28">
        <v>5</v>
      </c>
      <c r="G106" s="28">
        <v>4</v>
      </c>
      <c r="H106" s="28">
        <v>454</v>
      </c>
      <c r="I106" s="27" t="s">
        <v>4969</v>
      </c>
    </row>
    <row r="107" spans="1:9" x14ac:dyDescent="0.3">
      <c r="A107" s="27" t="s">
        <v>1103</v>
      </c>
      <c r="B107" s="28">
        <v>365</v>
      </c>
      <c r="C107" s="28">
        <v>1</v>
      </c>
      <c r="D107" s="17">
        <v>150.83000000000001</v>
      </c>
      <c r="E107" s="28">
        <v>1</v>
      </c>
      <c r="F107" s="28">
        <v>1</v>
      </c>
      <c r="G107" s="28">
        <v>1</v>
      </c>
      <c r="H107" s="28">
        <v>111</v>
      </c>
      <c r="I107" s="27" t="s">
        <v>4970</v>
      </c>
    </row>
    <row r="108" spans="1:9" x14ac:dyDescent="0.3">
      <c r="A108" s="27" t="s">
        <v>1106</v>
      </c>
      <c r="B108" s="28">
        <v>19</v>
      </c>
      <c r="C108" s="28">
        <v>9</v>
      </c>
      <c r="D108" s="17">
        <v>2710.51</v>
      </c>
      <c r="E108" s="28">
        <v>4</v>
      </c>
      <c r="F108" s="28">
        <v>4</v>
      </c>
      <c r="G108" s="28">
        <v>4</v>
      </c>
      <c r="H108" s="28">
        <v>444</v>
      </c>
      <c r="I108" s="27" t="s">
        <v>4969</v>
      </c>
    </row>
    <row r="109" spans="1:9" x14ac:dyDescent="0.3">
      <c r="A109" s="27" t="s">
        <v>1117</v>
      </c>
      <c r="B109" s="28">
        <v>91</v>
      </c>
      <c r="C109" s="28">
        <v>10</v>
      </c>
      <c r="D109" s="17">
        <v>2901.9300000000003</v>
      </c>
      <c r="E109" s="28">
        <v>2</v>
      </c>
      <c r="F109" s="28">
        <v>4</v>
      </c>
      <c r="G109" s="28">
        <v>4</v>
      </c>
      <c r="H109" s="28">
        <v>244</v>
      </c>
      <c r="I109" s="27" t="s">
        <v>4967</v>
      </c>
    </row>
    <row r="110" spans="1:9" x14ac:dyDescent="0.3">
      <c r="A110" s="27" t="s">
        <v>1129</v>
      </c>
      <c r="B110" s="28">
        <v>24</v>
      </c>
      <c r="C110" s="28">
        <v>4</v>
      </c>
      <c r="D110" s="17">
        <v>1297.5500000000002</v>
      </c>
      <c r="E110" s="28">
        <v>3</v>
      </c>
      <c r="F110" s="28">
        <v>2</v>
      </c>
      <c r="G110" s="28">
        <v>2</v>
      </c>
      <c r="H110" s="28">
        <v>322</v>
      </c>
      <c r="I110" s="27" t="s">
        <v>4972</v>
      </c>
    </row>
    <row r="111" spans="1:9" x14ac:dyDescent="0.3">
      <c r="A111" s="27" t="s">
        <v>1135</v>
      </c>
      <c r="B111" s="28">
        <v>1</v>
      </c>
      <c r="C111" s="28">
        <v>10</v>
      </c>
      <c r="D111" s="17">
        <v>3117.7200000000003</v>
      </c>
      <c r="E111" s="28">
        <v>5</v>
      </c>
      <c r="F111" s="28">
        <v>4</v>
      </c>
      <c r="G111" s="28">
        <v>4</v>
      </c>
      <c r="H111" s="28">
        <v>544</v>
      </c>
      <c r="I111" s="27" t="s">
        <v>4969</v>
      </c>
    </row>
    <row r="112" spans="1:9" x14ac:dyDescent="0.3">
      <c r="A112" s="27" t="s">
        <v>1147</v>
      </c>
      <c r="B112" s="28">
        <v>8</v>
      </c>
      <c r="C112" s="28">
        <v>14</v>
      </c>
      <c r="D112" s="17">
        <v>3565.4899999999993</v>
      </c>
      <c r="E112" s="28">
        <v>4</v>
      </c>
      <c r="F112" s="28">
        <v>5</v>
      </c>
      <c r="G112" s="28">
        <v>5</v>
      </c>
      <c r="H112" s="28">
        <v>455</v>
      </c>
      <c r="I112" s="27" t="s">
        <v>4969</v>
      </c>
    </row>
    <row r="113" spans="1:9" x14ac:dyDescent="0.3">
      <c r="A113" s="27" t="s">
        <v>1163</v>
      </c>
      <c r="B113" s="28">
        <v>133</v>
      </c>
      <c r="C113" s="28">
        <v>1</v>
      </c>
      <c r="D113" s="17">
        <v>286.89</v>
      </c>
      <c r="E113" s="28">
        <v>1</v>
      </c>
      <c r="F113" s="28">
        <v>1</v>
      </c>
      <c r="G113" s="28">
        <v>1</v>
      </c>
      <c r="H113" s="28">
        <v>111</v>
      </c>
      <c r="I113" s="27" t="s">
        <v>4970</v>
      </c>
    </row>
    <row r="114" spans="1:9" x14ac:dyDescent="0.3">
      <c r="A114" s="27" t="s">
        <v>1166</v>
      </c>
      <c r="B114" s="28">
        <v>2</v>
      </c>
      <c r="C114" s="28">
        <v>6</v>
      </c>
      <c r="D114" s="17">
        <v>1149.58</v>
      </c>
      <c r="E114" s="28">
        <v>5</v>
      </c>
      <c r="F114" s="28">
        <v>3</v>
      </c>
      <c r="G114" s="28">
        <v>2</v>
      </c>
      <c r="H114" s="28">
        <v>532</v>
      </c>
      <c r="I114" s="27" t="s">
        <v>4973</v>
      </c>
    </row>
    <row r="115" spans="1:9" x14ac:dyDescent="0.3">
      <c r="A115" s="27" t="s">
        <v>1174</v>
      </c>
      <c r="B115" s="28">
        <v>104</v>
      </c>
      <c r="C115" s="28">
        <v>6</v>
      </c>
      <c r="D115" s="17">
        <v>1378.41</v>
      </c>
      <c r="E115" s="28">
        <v>1</v>
      </c>
      <c r="F115" s="28">
        <v>3</v>
      </c>
      <c r="G115" s="28">
        <v>2</v>
      </c>
      <c r="H115" s="28">
        <v>132</v>
      </c>
      <c r="I115" s="27" t="s">
        <v>4967</v>
      </c>
    </row>
    <row r="116" spans="1:9" x14ac:dyDescent="0.3">
      <c r="A116" s="27" t="s">
        <v>1182</v>
      </c>
      <c r="B116" s="28">
        <v>62</v>
      </c>
      <c r="C116" s="28">
        <v>1</v>
      </c>
      <c r="D116" s="17">
        <v>459.94</v>
      </c>
      <c r="E116" s="28">
        <v>2</v>
      </c>
      <c r="F116" s="28">
        <v>1</v>
      </c>
      <c r="G116" s="28">
        <v>1</v>
      </c>
      <c r="H116" s="28">
        <v>211</v>
      </c>
      <c r="I116" s="27" t="s">
        <v>4970</v>
      </c>
    </row>
    <row r="117" spans="1:9" x14ac:dyDescent="0.3">
      <c r="A117" s="27" t="s">
        <v>1185</v>
      </c>
      <c r="B117" s="28">
        <v>89</v>
      </c>
      <c r="C117" s="28">
        <v>10</v>
      </c>
      <c r="D117" s="17">
        <v>1801.7699999999998</v>
      </c>
      <c r="E117" s="28">
        <v>2</v>
      </c>
      <c r="F117" s="28">
        <v>4</v>
      </c>
      <c r="G117" s="28">
        <v>3</v>
      </c>
      <c r="H117" s="28">
        <v>243</v>
      </c>
      <c r="I117" s="27" t="s">
        <v>4967</v>
      </c>
    </row>
    <row r="118" spans="1:9" x14ac:dyDescent="0.3">
      <c r="A118" s="27" t="s">
        <v>1197</v>
      </c>
      <c r="B118" s="28">
        <v>47</v>
      </c>
      <c r="C118" s="28">
        <v>11</v>
      </c>
      <c r="D118" s="17">
        <v>2414.65</v>
      </c>
      <c r="E118" s="28">
        <v>2</v>
      </c>
      <c r="F118" s="28">
        <v>4</v>
      </c>
      <c r="G118" s="28">
        <v>4</v>
      </c>
      <c r="H118" s="28">
        <v>244</v>
      </c>
      <c r="I118" s="27" t="s">
        <v>4967</v>
      </c>
    </row>
    <row r="119" spans="1:9" x14ac:dyDescent="0.3">
      <c r="A119" s="27" t="s">
        <v>1210</v>
      </c>
      <c r="B119" s="28">
        <v>27</v>
      </c>
      <c r="C119" s="28">
        <v>11</v>
      </c>
      <c r="D119" s="17">
        <v>3044.4</v>
      </c>
      <c r="E119" s="28">
        <v>3</v>
      </c>
      <c r="F119" s="28">
        <v>4</v>
      </c>
      <c r="G119" s="28">
        <v>4</v>
      </c>
      <c r="H119" s="28">
        <v>344</v>
      </c>
      <c r="I119" s="27" t="s">
        <v>4968</v>
      </c>
    </row>
    <row r="120" spans="1:9" x14ac:dyDescent="0.3">
      <c r="A120" s="27" t="s">
        <v>1223</v>
      </c>
      <c r="B120" s="28">
        <v>59</v>
      </c>
      <c r="C120" s="28">
        <v>1</v>
      </c>
      <c r="D120" s="17">
        <v>367.2</v>
      </c>
      <c r="E120" s="28">
        <v>2</v>
      </c>
      <c r="F120" s="28">
        <v>1</v>
      </c>
      <c r="G120" s="28">
        <v>1</v>
      </c>
      <c r="H120" s="28">
        <v>211</v>
      </c>
      <c r="I120" s="27" t="s">
        <v>4970</v>
      </c>
    </row>
    <row r="121" spans="1:9" x14ac:dyDescent="0.3">
      <c r="A121" s="27" t="s">
        <v>1226</v>
      </c>
      <c r="B121" s="28">
        <v>197</v>
      </c>
      <c r="C121" s="28">
        <v>1</v>
      </c>
      <c r="D121" s="17">
        <v>35.43</v>
      </c>
      <c r="E121" s="28">
        <v>1</v>
      </c>
      <c r="F121" s="28">
        <v>1</v>
      </c>
      <c r="G121" s="28">
        <v>1</v>
      </c>
      <c r="H121" s="28">
        <v>111</v>
      </c>
      <c r="I121" s="27" t="s">
        <v>4970</v>
      </c>
    </row>
    <row r="122" spans="1:9" x14ac:dyDescent="0.3">
      <c r="A122" s="27" t="s">
        <v>1229</v>
      </c>
      <c r="B122" s="28">
        <v>3</v>
      </c>
      <c r="C122" s="28">
        <v>6</v>
      </c>
      <c r="D122" s="17">
        <v>2173.21</v>
      </c>
      <c r="E122" s="28">
        <v>5</v>
      </c>
      <c r="F122" s="28">
        <v>3</v>
      </c>
      <c r="G122" s="28">
        <v>3</v>
      </c>
      <c r="H122" s="28">
        <v>533</v>
      </c>
      <c r="I122" s="27" t="s">
        <v>4968</v>
      </c>
    </row>
    <row r="123" spans="1:9" x14ac:dyDescent="0.3">
      <c r="A123" s="27" t="s">
        <v>1237</v>
      </c>
      <c r="B123" s="28">
        <v>50</v>
      </c>
      <c r="C123" s="28">
        <v>9</v>
      </c>
      <c r="D123" s="17">
        <v>2525.84</v>
      </c>
      <c r="E123" s="28">
        <v>2</v>
      </c>
      <c r="F123" s="28">
        <v>4</v>
      </c>
      <c r="G123" s="28">
        <v>4</v>
      </c>
      <c r="H123" s="28">
        <v>244</v>
      </c>
      <c r="I123" s="27" t="s">
        <v>4967</v>
      </c>
    </row>
    <row r="124" spans="1:9" x14ac:dyDescent="0.3">
      <c r="A124" s="27" t="s">
        <v>1248</v>
      </c>
      <c r="B124" s="28">
        <v>143</v>
      </c>
      <c r="C124" s="28">
        <v>14</v>
      </c>
      <c r="D124" s="17">
        <v>3296.1200000000003</v>
      </c>
      <c r="E124" s="28">
        <v>1</v>
      </c>
      <c r="F124" s="28">
        <v>5</v>
      </c>
      <c r="G124" s="28">
        <v>5</v>
      </c>
      <c r="H124" s="28">
        <v>155</v>
      </c>
      <c r="I124" s="27" t="s">
        <v>4967</v>
      </c>
    </row>
    <row r="125" spans="1:9" x14ac:dyDescent="0.3">
      <c r="A125" s="27" t="s">
        <v>1264</v>
      </c>
      <c r="B125" s="28">
        <v>84</v>
      </c>
      <c r="C125" s="28">
        <v>2</v>
      </c>
      <c r="D125" s="17">
        <v>489.57000000000005</v>
      </c>
      <c r="E125" s="28">
        <v>2</v>
      </c>
      <c r="F125" s="28">
        <v>1</v>
      </c>
      <c r="G125" s="28">
        <v>1</v>
      </c>
      <c r="H125" s="28">
        <v>211</v>
      </c>
      <c r="I125" s="27" t="s">
        <v>4970</v>
      </c>
    </row>
    <row r="126" spans="1:9" x14ac:dyDescent="0.3">
      <c r="A126" s="27" t="s">
        <v>1268</v>
      </c>
      <c r="B126" s="28">
        <v>16</v>
      </c>
      <c r="C126" s="28">
        <v>7</v>
      </c>
      <c r="D126" s="17">
        <v>1059.67</v>
      </c>
      <c r="E126" s="28">
        <v>4</v>
      </c>
      <c r="F126" s="28">
        <v>3</v>
      </c>
      <c r="G126" s="28">
        <v>2</v>
      </c>
      <c r="H126" s="28">
        <v>432</v>
      </c>
      <c r="I126" s="27" t="s">
        <v>4973</v>
      </c>
    </row>
    <row r="127" spans="1:9" x14ac:dyDescent="0.3">
      <c r="A127" s="27" t="s">
        <v>1277</v>
      </c>
      <c r="B127" s="28">
        <v>471</v>
      </c>
      <c r="C127" s="28">
        <v>1</v>
      </c>
      <c r="D127" s="17">
        <v>230.05</v>
      </c>
      <c r="E127" s="28">
        <v>1</v>
      </c>
      <c r="F127" s="28">
        <v>1</v>
      </c>
      <c r="G127" s="28">
        <v>1</v>
      </c>
      <c r="H127" s="28">
        <v>111</v>
      </c>
      <c r="I127" s="27" t="s">
        <v>4970</v>
      </c>
    </row>
    <row r="128" spans="1:9" x14ac:dyDescent="0.3">
      <c r="A128" s="27" t="s">
        <v>1280</v>
      </c>
      <c r="B128" s="28">
        <v>82</v>
      </c>
      <c r="C128" s="28">
        <v>11</v>
      </c>
      <c r="D128" s="17">
        <v>2418.1499999999996</v>
      </c>
      <c r="E128" s="28">
        <v>2</v>
      </c>
      <c r="F128" s="28">
        <v>4</v>
      </c>
      <c r="G128" s="28">
        <v>4</v>
      </c>
      <c r="H128" s="28">
        <v>244</v>
      </c>
      <c r="I128" s="27" t="s">
        <v>4967</v>
      </c>
    </row>
    <row r="129" spans="1:9" x14ac:dyDescent="0.3">
      <c r="A129" s="27" t="s">
        <v>1293</v>
      </c>
      <c r="B129" s="28">
        <v>157</v>
      </c>
      <c r="C129" s="28">
        <v>4</v>
      </c>
      <c r="D129" s="17">
        <v>787.8</v>
      </c>
      <c r="E129" s="28">
        <v>1</v>
      </c>
      <c r="F129" s="28">
        <v>2</v>
      </c>
      <c r="G129" s="28">
        <v>1</v>
      </c>
      <c r="H129" s="28">
        <v>121</v>
      </c>
      <c r="I129" s="27" t="s">
        <v>4970</v>
      </c>
    </row>
    <row r="130" spans="1:9" x14ac:dyDescent="0.3">
      <c r="A130" s="27" t="s">
        <v>1299</v>
      </c>
      <c r="B130" s="28">
        <v>61</v>
      </c>
      <c r="C130" s="28">
        <v>7</v>
      </c>
      <c r="D130" s="17">
        <v>2086.7599999999998</v>
      </c>
      <c r="E130" s="28">
        <v>2</v>
      </c>
      <c r="F130" s="28">
        <v>3</v>
      </c>
      <c r="G130" s="28">
        <v>3</v>
      </c>
      <c r="H130" s="28">
        <v>233</v>
      </c>
      <c r="I130" s="27" t="s">
        <v>4967</v>
      </c>
    </row>
    <row r="131" spans="1:9" x14ac:dyDescent="0.3">
      <c r="A131" s="27" t="s">
        <v>1308</v>
      </c>
      <c r="B131" s="28">
        <v>48</v>
      </c>
      <c r="C131" s="28">
        <v>6</v>
      </c>
      <c r="D131" s="17">
        <v>1540.75</v>
      </c>
      <c r="E131" s="28">
        <v>2</v>
      </c>
      <c r="F131" s="28">
        <v>3</v>
      </c>
      <c r="G131" s="28">
        <v>2</v>
      </c>
      <c r="H131" s="28">
        <v>232</v>
      </c>
      <c r="I131" s="27" t="s">
        <v>4967</v>
      </c>
    </row>
    <row r="132" spans="1:9" x14ac:dyDescent="0.3">
      <c r="A132" s="27" t="s">
        <v>1316</v>
      </c>
      <c r="B132" s="28">
        <v>606</v>
      </c>
      <c r="C132" s="28">
        <v>1</v>
      </c>
      <c r="D132" s="17">
        <v>64.819999999999993</v>
      </c>
      <c r="E132" s="28">
        <v>1</v>
      </c>
      <c r="F132" s="28">
        <v>1</v>
      </c>
      <c r="G132" s="28">
        <v>1</v>
      </c>
      <c r="H132" s="28">
        <v>111</v>
      </c>
      <c r="I132" s="27" t="s">
        <v>4970</v>
      </c>
    </row>
    <row r="133" spans="1:9" x14ac:dyDescent="0.3">
      <c r="A133" s="27" t="s">
        <v>1319</v>
      </c>
      <c r="B133" s="28">
        <v>1</v>
      </c>
      <c r="C133" s="28">
        <v>1</v>
      </c>
      <c r="D133" s="17">
        <v>442.03</v>
      </c>
      <c r="E133" s="28">
        <v>5</v>
      </c>
      <c r="F133" s="28">
        <v>1</v>
      </c>
      <c r="G133" s="28">
        <v>1</v>
      </c>
      <c r="H133" s="28">
        <v>511</v>
      </c>
      <c r="I133" s="27" t="s">
        <v>4971</v>
      </c>
    </row>
    <row r="134" spans="1:9" x14ac:dyDescent="0.3">
      <c r="A134" s="27" t="s">
        <v>1322</v>
      </c>
      <c r="B134" s="28">
        <v>342</v>
      </c>
      <c r="C134" s="28">
        <v>4</v>
      </c>
      <c r="D134" s="17">
        <v>875.39</v>
      </c>
      <c r="E134" s="28">
        <v>1</v>
      </c>
      <c r="F134" s="28">
        <v>2</v>
      </c>
      <c r="G134" s="28">
        <v>1</v>
      </c>
      <c r="H134" s="28">
        <v>121</v>
      </c>
      <c r="I134" s="27" t="s">
        <v>4970</v>
      </c>
    </row>
    <row r="135" spans="1:9" x14ac:dyDescent="0.3">
      <c r="A135" s="27" t="s">
        <v>1328</v>
      </c>
      <c r="B135" s="28">
        <v>5</v>
      </c>
      <c r="C135" s="28">
        <v>7</v>
      </c>
      <c r="D135" s="17">
        <v>2359.7199999999998</v>
      </c>
      <c r="E135" s="28">
        <v>5</v>
      </c>
      <c r="F135" s="28">
        <v>3</v>
      </c>
      <c r="G135" s="28">
        <v>4</v>
      </c>
      <c r="H135" s="28">
        <v>534</v>
      </c>
      <c r="I135" s="27" t="s">
        <v>4968</v>
      </c>
    </row>
    <row r="136" spans="1:9" x14ac:dyDescent="0.3">
      <c r="A136" s="27" t="s">
        <v>1337</v>
      </c>
      <c r="B136" s="28">
        <v>48</v>
      </c>
      <c r="C136" s="28">
        <v>14</v>
      </c>
      <c r="D136" s="17">
        <v>3249.08</v>
      </c>
      <c r="E136" s="28">
        <v>2</v>
      </c>
      <c r="F136" s="28">
        <v>5</v>
      </c>
      <c r="G136" s="28">
        <v>5</v>
      </c>
      <c r="H136" s="28">
        <v>255</v>
      </c>
      <c r="I136" s="27" t="s">
        <v>4967</v>
      </c>
    </row>
    <row r="137" spans="1:9" x14ac:dyDescent="0.3">
      <c r="A137" s="27" t="s">
        <v>1353</v>
      </c>
      <c r="B137" s="28">
        <v>7</v>
      </c>
      <c r="C137" s="28">
        <v>8</v>
      </c>
      <c r="D137" s="17">
        <v>2452.1800000000003</v>
      </c>
      <c r="E137" s="28">
        <v>5</v>
      </c>
      <c r="F137" s="28">
        <v>3</v>
      </c>
      <c r="G137" s="28">
        <v>4</v>
      </c>
      <c r="H137" s="28">
        <v>534</v>
      </c>
      <c r="I137" s="27" t="s">
        <v>4968</v>
      </c>
    </row>
    <row r="138" spans="1:9" x14ac:dyDescent="0.3">
      <c r="A138" s="27" t="s">
        <v>1363</v>
      </c>
      <c r="B138" s="28">
        <v>118</v>
      </c>
      <c r="C138" s="28">
        <v>3</v>
      </c>
      <c r="D138" s="17">
        <v>805.87000000000012</v>
      </c>
      <c r="E138" s="28">
        <v>1</v>
      </c>
      <c r="F138" s="28">
        <v>1</v>
      </c>
      <c r="G138" s="28">
        <v>1</v>
      </c>
      <c r="H138" s="28">
        <v>111</v>
      </c>
      <c r="I138" s="27" t="s">
        <v>4970</v>
      </c>
    </row>
    <row r="139" spans="1:9" x14ac:dyDescent="0.3">
      <c r="A139" s="27" t="s">
        <v>1368</v>
      </c>
      <c r="B139" s="28">
        <v>144</v>
      </c>
      <c r="C139" s="28">
        <v>2</v>
      </c>
      <c r="D139" s="17">
        <v>670.32</v>
      </c>
      <c r="E139" s="28">
        <v>1</v>
      </c>
      <c r="F139" s="28">
        <v>1</v>
      </c>
      <c r="G139" s="28">
        <v>1</v>
      </c>
      <c r="H139" s="28">
        <v>111</v>
      </c>
      <c r="I139" s="27" t="s">
        <v>4970</v>
      </c>
    </row>
    <row r="140" spans="1:9" x14ac:dyDescent="0.3">
      <c r="A140" s="27" t="s">
        <v>1372</v>
      </c>
      <c r="B140" s="28">
        <v>633</v>
      </c>
      <c r="C140" s="28">
        <v>1</v>
      </c>
      <c r="D140" s="17">
        <v>193.98</v>
      </c>
      <c r="E140" s="28">
        <v>1</v>
      </c>
      <c r="F140" s="28">
        <v>1</v>
      </c>
      <c r="G140" s="28">
        <v>1</v>
      </c>
      <c r="H140" s="28">
        <v>111</v>
      </c>
      <c r="I140" s="27" t="s">
        <v>4970</v>
      </c>
    </row>
    <row r="141" spans="1:9" x14ac:dyDescent="0.3">
      <c r="A141" s="27" t="s">
        <v>1375</v>
      </c>
      <c r="B141" s="28">
        <v>42</v>
      </c>
      <c r="C141" s="28">
        <v>15</v>
      </c>
      <c r="D141" s="17">
        <v>4479.41</v>
      </c>
      <c r="E141" s="28">
        <v>3</v>
      </c>
      <c r="F141" s="28">
        <v>5</v>
      </c>
      <c r="G141" s="28">
        <v>5</v>
      </c>
      <c r="H141" s="28">
        <v>355</v>
      </c>
      <c r="I141" s="27" t="s">
        <v>4968</v>
      </c>
    </row>
    <row r="142" spans="1:9" x14ac:dyDescent="0.3">
      <c r="A142" s="27" t="s">
        <v>1392</v>
      </c>
      <c r="B142" s="28">
        <v>5</v>
      </c>
      <c r="C142" s="28">
        <v>13</v>
      </c>
      <c r="D142" s="17">
        <v>3225.3100000000004</v>
      </c>
      <c r="E142" s="28">
        <v>5</v>
      </c>
      <c r="F142" s="28">
        <v>5</v>
      </c>
      <c r="G142" s="28">
        <v>5</v>
      </c>
      <c r="H142" s="28">
        <v>555</v>
      </c>
      <c r="I142" s="27" t="s">
        <v>4969</v>
      </c>
    </row>
    <row r="143" spans="1:9" x14ac:dyDescent="0.3">
      <c r="A143" s="27" t="s">
        <v>1407</v>
      </c>
      <c r="B143" s="28">
        <v>32</v>
      </c>
      <c r="C143" s="28">
        <v>8</v>
      </c>
      <c r="D143" s="17">
        <v>2050.66</v>
      </c>
      <c r="E143" s="28">
        <v>3</v>
      </c>
      <c r="F143" s="28">
        <v>3</v>
      </c>
      <c r="G143" s="28">
        <v>3</v>
      </c>
      <c r="H143" s="28">
        <v>333</v>
      </c>
      <c r="I143" s="27" t="s">
        <v>4968</v>
      </c>
    </row>
    <row r="144" spans="1:9" x14ac:dyDescent="0.3">
      <c r="A144" s="27" t="s">
        <v>1417</v>
      </c>
      <c r="B144" s="28">
        <v>302</v>
      </c>
      <c r="C144" s="28">
        <v>1</v>
      </c>
      <c r="D144" s="17">
        <v>426.1</v>
      </c>
      <c r="E144" s="28">
        <v>1</v>
      </c>
      <c r="F144" s="28">
        <v>1</v>
      </c>
      <c r="G144" s="28">
        <v>1</v>
      </c>
      <c r="H144" s="28">
        <v>111</v>
      </c>
      <c r="I144" s="27" t="s">
        <v>4970</v>
      </c>
    </row>
    <row r="145" spans="1:9" x14ac:dyDescent="0.3">
      <c r="A145" s="27" t="s">
        <v>1420</v>
      </c>
      <c r="B145" s="28">
        <v>67</v>
      </c>
      <c r="C145" s="28">
        <v>14</v>
      </c>
      <c r="D145" s="17">
        <v>3686.72</v>
      </c>
      <c r="E145" s="28">
        <v>2</v>
      </c>
      <c r="F145" s="28">
        <v>5</v>
      </c>
      <c r="G145" s="28">
        <v>5</v>
      </c>
      <c r="H145" s="28">
        <v>255</v>
      </c>
      <c r="I145" s="27" t="s">
        <v>4967</v>
      </c>
    </row>
    <row r="146" spans="1:9" x14ac:dyDescent="0.3">
      <c r="A146" s="27" t="s">
        <v>1436</v>
      </c>
      <c r="B146" s="28">
        <v>60</v>
      </c>
      <c r="C146" s="28">
        <v>7</v>
      </c>
      <c r="D146" s="17">
        <v>1704.6800000000003</v>
      </c>
      <c r="E146" s="28">
        <v>2</v>
      </c>
      <c r="F146" s="28">
        <v>3</v>
      </c>
      <c r="G146" s="28">
        <v>3</v>
      </c>
      <c r="H146" s="28">
        <v>233</v>
      </c>
      <c r="I146" s="27" t="s">
        <v>4967</v>
      </c>
    </row>
    <row r="147" spans="1:9" x14ac:dyDescent="0.3">
      <c r="A147" s="27" t="s">
        <v>1445</v>
      </c>
      <c r="B147" s="28">
        <v>1</v>
      </c>
      <c r="C147" s="28">
        <v>11</v>
      </c>
      <c r="D147" s="17">
        <v>2012.6200000000001</v>
      </c>
      <c r="E147" s="28">
        <v>5</v>
      </c>
      <c r="F147" s="28">
        <v>4</v>
      </c>
      <c r="G147" s="28">
        <v>3</v>
      </c>
      <c r="H147" s="28">
        <v>543</v>
      </c>
      <c r="I147" s="27" t="s">
        <v>4968</v>
      </c>
    </row>
    <row r="148" spans="1:9" x14ac:dyDescent="0.3">
      <c r="A148" s="27" t="s">
        <v>1458</v>
      </c>
      <c r="B148" s="28">
        <v>219</v>
      </c>
      <c r="C148" s="28">
        <v>4</v>
      </c>
      <c r="D148" s="17">
        <v>1072.82</v>
      </c>
      <c r="E148" s="28">
        <v>1</v>
      </c>
      <c r="F148" s="28">
        <v>2</v>
      </c>
      <c r="G148" s="28">
        <v>2</v>
      </c>
      <c r="H148" s="28">
        <v>122</v>
      </c>
      <c r="I148" s="27" t="s">
        <v>4970</v>
      </c>
    </row>
    <row r="149" spans="1:9" x14ac:dyDescent="0.3">
      <c r="A149" s="27" t="s">
        <v>1464</v>
      </c>
      <c r="B149" s="28">
        <v>501</v>
      </c>
      <c r="C149" s="28">
        <v>4</v>
      </c>
      <c r="D149" s="17">
        <v>1082.67</v>
      </c>
      <c r="E149" s="28">
        <v>1</v>
      </c>
      <c r="F149" s="28">
        <v>2</v>
      </c>
      <c r="G149" s="28">
        <v>2</v>
      </c>
      <c r="H149" s="28">
        <v>122</v>
      </c>
      <c r="I149" s="27" t="s">
        <v>4970</v>
      </c>
    </row>
    <row r="150" spans="1:9" x14ac:dyDescent="0.3">
      <c r="A150" s="27" t="s">
        <v>1470</v>
      </c>
      <c r="B150" s="28">
        <v>20</v>
      </c>
      <c r="C150" s="28">
        <v>14</v>
      </c>
      <c r="D150" s="17">
        <v>3601.6400000000003</v>
      </c>
      <c r="E150" s="28">
        <v>4</v>
      </c>
      <c r="F150" s="28">
        <v>5</v>
      </c>
      <c r="G150" s="28">
        <v>5</v>
      </c>
      <c r="H150" s="28">
        <v>455</v>
      </c>
      <c r="I150" s="27" t="s">
        <v>4969</v>
      </c>
    </row>
    <row r="151" spans="1:9" x14ac:dyDescent="0.3">
      <c r="A151" s="27" t="s">
        <v>1486</v>
      </c>
      <c r="B151" s="28">
        <v>5</v>
      </c>
      <c r="C151" s="28">
        <v>13</v>
      </c>
      <c r="D151" s="17">
        <v>4039.0200000000004</v>
      </c>
      <c r="E151" s="28">
        <v>5</v>
      </c>
      <c r="F151" s="28">
        <v>5</v>
      </c>
      <c r="G151" s="28">
        <v>5</v>
      </c>
      <c r="H151" s="28">
        <v>555</v>
      </c>
      <c r="I151" s="27" t="s">
        <v>4969</v>
      </c>
    </row>
    <row r="152" spans="1:9" x14ac:dyDescent="0.3">
      <c r="A152" s="27" t="s">
        <v>1501</v>
      </c>
      <c r="B152" s="28">
        <v>126</v>
      </c>
      <c r="C152" s="28">
        <v>6</v>
      </c>
      <c r="D152" s="17">
        <v>1560.23</v>
      </c>
      <c r="E152" s="28">
        <v>1</v>
      </c>
      <c r="F152" s="28">
        <v>3</v>
      </c>
      <c r="G152" s="28">
        <v>3</v>
      </c>
      <c r="H152" s="28">
        <v>133</v>
      </c>
      <c r="I152" s="27" t="s">
        <v>4967</v>
      </c>
    </row>
    <row r="153" spans="1:9" x14ac:dyDescent="0.3">
      <c r="A153" s="27" t="s">
        <v>1509</v>
      </c>
      <c r="B153" s="28">
        <v>71</v>
      </c>
      <c r="C153" s="28">
        <v>13</v>
      </c>
      <c r="D153" s="17">
        <v>3216.23</v>
      </c>
      <c r="E153" s="28">
        <v>2</v>
      </c>
      <c r="F153" s="28">
        <v>5</v>
      </c>
      <c r="G153" s="28">
        <v>5</v>
      </c>
      <c r="H153" s="28">
        <v>255</v>
      </c>
      <c r="I153" s="27" t="s">
        <v>4967</v>
      </c>
    </row>
    <row r="154" spans="1:9" x14ac:dyDescent="0.3">
      <c r="A154" s="27" t="s">
        <v>1524</v>
      </c>
      <c r="B154" s="28">
        <v>16</v>
      </c>
      <c r="C154" s="28">
        <v>8</v>
      </c>
      <c r="D154" s="17">
        <v>2136.5099999999998</v>
      </c>
      <c r="E154" s="28">
        <v>4</v>
      </c>
      <c r="F154" s="28">
        <v>3</v>
      </c>
      <c r="G154" s="28">
        <v>3</v>
      </c>
      <c r="H154" s="28">
        <v>433</v>
      </c>
      <c r="I154" s="27" t="s">
        <v>4968</v>
      </c>
    </row>
    <row r="155" spans="1:9" x14ac:dyDescent="0.3">
      <c r="A155" s="27" t="s">
        <v>1534</v>
      </c>
      <c r="B155" s="28">
        <v>6</v>
      </c>
      <c r="C155" s="28">
        <v>4</v>
      </c>
      <c r="D155" s="17">
        <v>1233.0899999999999</v>
      </c>
      <c r="E155" s="28">
        <v>5</v>
      </c>
      <c r="F155" s="28">
        <v>2</v>
      </c>
      <c r="G155" s="28">
        <v>2</v>
      </c>
      <c r="H155" s="28">
        <v>522</v>
      </c>
      <c r="I155" s="27" t="s">
        <v>4971</v>
      </c>
    </row>
    <row r="156" spans="1:9" x14ac:dyDescent="0.3">
      <c r="A156" s="27" t="s">
        <v>1540</v>
      </c>
      <c r="B156" s="28">
        <v>12</v>
      </c>
      <c r="C156" s="28">
        <v>12</v>
      </c>
      <c r="D156" s="17">
        <v>2241.7799999999997</v>
      </c>
      <c r="E156" s="28">
        <v>4</v>
      </c>
      <c r="F156" s="28">
        <v>5</v>
      </c>
      <c r="G156" s="28">
        <v>3</v>
      </c>
      <c r="H156" s="28">
        <v>453</v>
      </c>
      <c r="I156" s="27" t="s">
        <v>4968</v>
      </c>
    </row>
    <row r="157" spans="1:9" x14ac:dyDescent="0.3">
      <c r="A157" s="27" t="s">
        <v>1554</v>
      </c>
      <c r="B157" s="28">
        <v>91</v>
      </c>
      <c r="C157" s="28">
        <v>5</v>
      </c>
      <c r="D157" s="17">
        <v>1270.07</v>
      </c>
      <c r="E157" s="28">
        <v>2</v>
      </c>
      <c r="F157" s="28">
        <v>2</v>
      </c>
      <c r="G157" s="28">
        <v>2</v>
      </c>
      <c r="H157" s="28">
        <v>222</v>
      </c>
      <c r="I157" s="27" t="s">
        <v>4970</v>
      </c>
    </row>
    <row r="158" spans="1:9" x14ac:dyDescent="0.3">
      <c r="A158" s="27" t="s">
        <v>1561</v>
      </c>
      <c r="B158" s="28">
        <v>7</v>
      </c>
      <c r="C158" s="28">
        <v>7</v>
      </c>
      <c r="D158" s="17">
        <v>1340.92</v>
      </c>
      <c r="E158" s="28">
        <v>5</v>
      </c>
      <c r="F158" s="28">
        <v>3</v>
      </c>
      <c r="G158" s="28">
        <v>2</v>
      </c>
      <c r="H158" s="28">
        <v>532</v>
      </c>
      <c r="I158" s="27" t="s">
        <v>4973</v>
      </c>
    </row>
    <row r="159" spans="1:9" x14ac:dyDescent="0.3">
      <c r="A159" s="27" t="s">
        <v>1570</v>
      </c>
      <c r="B159" s="28">
        <v>3</v>
      </c>
      <c r="C159" s="28">
        <v>2</v>
      </c>
      <c r="D159" s="17">
        <v>145.19999999999999</v>
      </c>
      <c r="E159" s="28">
        <v>5</v>
      </c>
      <c r="F159" s="28">
        <v>1</v>
      </c>
      <c r="G159" s="28">
        <v>1</v>
      </c>
      <c r="H159" s="28">
        <v>511</v>
      </c>
      <c r="I159" s="27" t="s">
        <v>4971</v>
      </c>
    </row>
    <row r="160" spans="1:9" x14ac:dyDescent="0.3">
      <c r="A160" s="27" t="s">
        <v>1574</v>
      </c>
      <c r="B160" s="28">
        <v>18</v>
      </c>
      <c r="C160" s="28">
        <v>11</v>
      </c>
      <c r="D160" s="17">
        <v>2882.1900000000005</v>
      </c>
      <c r="E160" s="28">
        <v>4</v>
      </c>
      <c r="F160" s="28">
        <v>4</v>
      </c>
      <c r="G160" s="28">
        <v>4</v>
      </c>
      <c r="H160" s="28">
        <v>444</v>
      </c>
      <c r="I160" s="27" t="s">
        <v>4969</v>
      </c>
    </row>
    <row r="161" spans="1:9" x14ac:dyDescent="0.3">
      <c r="A161" s="27" t="s">
        <v>1587</v>
      </c>
      <c r="B161" s="28">
        <v>91</v>
      </c>
      <c r="C161" s="28">
        <v>6</v>
      </c>
      <c r="D161" s="17">
        <v>1410.02</v>
      </c>
      <c r="E161" s="28">
        <v>2</v>
      </c>
      <c r="F161" s="28">
        <v>3</v>
      </c>
      <c r="G161" s="28">
        <v>2</v>
      </c>
      <c r="H161" s="28">
        <v>232</v>
      </c>
      <c r="I161" s="27" t="s">
        <v>4967</v>
      </c>
    </row>
    <row r="162" spans="1:9" x14ac:dyDescent="0.3">
      <c r="A162" s="27" t="s">
        <v>1595</v>
      </c>
      <c r="B162" s="28">
        <v>21</v>
      </c>
      <c r="C162" s="28">
        <v>12</v>
      </c>
      <c r="D162" s="17">
        <v>3108.16</v>
      </c>
      <c r="E162" s="28">
        <v>3</v>
      </c>
      <c r="F162" s="28">
        <v>5</v>
      </c>
      <c r="G162" s="28">
        <v>4</v>
      </c>
      <c r="H162" s="28">
        <v>354</v>
      </c>
      <c r="I162" s="27" t="s">
        <v>4968</v>
      </c>
    </row>
    <row r="163" spans="1:9" x14ac:dyDescent="0.3">
      <c r="A163" s="27" t="s">
        <v>1609</v>
      </c>
      <c r="B163" s="28">
        <v>40</v>
      </c>
      <c r="C163" s="28">
        <v>7</v>
      </c>
      <c r="D163" s="17">
        <v>1535.21</v>
      </c>
      <c r="E163" s="28">
        <v>3</v>
      </c>
      <c r="F163" s="28">
        <v>3</v>
      </c>
      <c r="G163" s="28">
        <v>2</v>
      </c>
      <c r="H163" s="28">
        <v>332</v>
      </c>
      <c r="I163" s="27" t="s">
        <v>4972</v>
      </c>
    </row>
    <row r="164" spans="1:9" x14ac:dyDescent="0.3">
      <c r="A164" s="27" t="s">
        <v>1618</v>
      </c>
      <c r="B164" s="28">
        <v>8</v>
      </c>
      <c r="C164" s="28">
        <v>10</v>
      </c>
      <c r="D164" s="17">
        <v>2285.6</v>
      </c>
      <c r="E164" s="28">
        <v>4</v>
      </c>
      <c r="F164" s="28">
        <v>4</v>
      </c>
      <c r="G164" s="28">
        <v>3</v>
      </c>
      <c r="H164" s="28">
        <v>443</v>
      </c>
      <c r="I164" s="27" t="s">
        <v>4968</v>
      </c>
    </row>
    <row r="165" spans="1:9" x14ac:dyDescent="0.3">
      <c r="A165" s="27" t="s">
        <v>1630</v>
      </c>
      <c r="B165" s="28">
        <v>5</v>
      </c>
      <c r="C165" s="28">
        <v>7</v>
      </c>
      <c r="D165" s="17">
        <v>1688.81</v>
      </c>
      <c r="E165" s="28">
        <v>5</v>
      </c>
      <c r="F165" s="28">
        <v>3</v>
      </c>
      <c r="G165" s="28">
        <v>3</v>
      </c>
      <c r="H165" s="28">
        <v>533</v>
      </c>
      <c r="I165" s="27" t="s">
        <v>4968</v>
      </c>
    </row>
    <row r="166" spans="1:9" x14ac:dyDescent="0.3">
      <c r="A166" s="27" t="s">
        <v>1639</v>
      </c>
      <c r="B166" s="28">
        <v>76</v>
      </c>
      <c r="C166" s="28">
        <v>14</v>
      </c>
      <c r="D166" s="17">
        <v>4105.43</v>
      </c>
      <c r="E166" s="28">
        <v>2</v>
      </c>
      <c r="F166" s="28">
        <v>5</v>
      </c>
      <c r="G166" s="28">
        <v>5</v>
      </c>
      <c r="H166" s="28">
        <v>255</v>
      </c>
      <c r="I166" s="27" t="s">
        <v>4967</v>
      </c>
    </row>
    <row r="167" spans="1:9" x14ac:dyDescent="0.3">
      <c r="A167" s="27" t="s">
        <v>1655</v>
      </c>
      <c r="B167" s="28">
        <v>27</v>
      </c>
      <c r="C167" s="28">
        <v>15</v>
      </c>
      <c r="D167" s="17">
        <v>3454.94</v>
      </c>
      <c r="E167" s="28">
        <v>3</v>
      </c>
      <c r="F167" s="28">
        <v>5</v>
      </c>
      <c r="G167" s="28">
        <v>5</v>
      </c>
      <c r="H167" s="28">
        <v>355</v>
      </c>
      <c r="I167" s="27" t="s">
        <v>4968</v>
      </c>
    </row>
    <row r="168" spans="1:9" x14ac:dyDescent="0.3">
      <c r="A168" s="27" t="s">
        <v>1672</v>
      </c>
      <c r="B168" s="28">
        <v>67</v>
      </c>
      <c r="C168" s="28">
        <v>12</v>
      </c>
      <c r="D168" s="17">
        <v>2146.06</v>
      </c>
      <c r="E168" s="28">
        <v>2</v>
      </c>
      <c r="F168" s="28">
        <v>5</v>
      </c>
      <c r="G168" s="28">
        <v>3</v>
      </c>
      <c r="H168" s="28">
        <v>253</v>
      </c>
      <c r="I168" s="27" t="s">
        <v>4967</v>
      </c>
    </row>
    <row r="169" spans="1:9" x14ac:dyDescent="0.3">
      <c r="A169" s="27" t="s">
        <v>1686</v>
      </c>
      <c r="B169" s="28">
        <v>17</v>
      </c>
      <c r="C169" s="28">
        <v>8</v>
      </c>
      <c r="D169" s="17">
        <v>1214.31</v>
      </c>
      <c r="E169" s="28">
        <v>4</v>
      </c>
      <c r="F169" s="28">
        <v>3</v>
      </c>
      <c r="G169" s="28">
        <v>2</v>
      </c>
      <c r="H169" s="28">
        <v>432</v>
      </c>
      <c r="I169" s="27" t="s">
        <v>4973</v>
      </c>
    </row>
    <row r="170" spans="1:9" x14ac:dyDescent="0.3">
      <c r="A170" s="27" t="s">
        <v>1696</v>
      </c>
      <c r="B170" s="28">
        <v>18</v>
      </c>
      <c r="C170" s="28">
        <v>6</v>
      </c>
      <c r="D170" s="17">
        <v>1409.45</v>
      </c>
      <c r="E170" s="28">
        <v>4</v>
      </c>
      <c r="F170" s="28">
        <v>3</v>
      </c>
      <c r="G170" s="28">
        <v>2</v>
      </c>
      <c r="H170" s="28">
        <v>432</v>
      </c>
      <c r="I170" s="27" t="s">
        <v>4973</v>
      </c>
    </row>
    <row r="171" spans="1:9" x14ac:dyDescent="0.3">
      <c r="A171" s="27" t="s">
        <v>1704</v>
      </c>
      <c r="B171" s="28">
        <v>20</v>
      </c>
      <c r="C171" s="28">
        <v>4</v>
      </c>
      <c r="D171" s="17">
        <v>1409.5</v>
      </c>
      <c r="E171" s="28">
        <v>4</v>
      </c>
      <c r="F171" s="28">
        <v>2</v>
      </c>
      <c r="G171" s="28">
        <v>2</v>
      </c>
      <c r="H171" s="28">
        <v>422</v>
      </c>
      <c r="I171" s="27" t="s">
        <v>4971</v>
      </c>
    </row>
    <row r="172" spans="1:9" x14ac:dyDescent="0.3">
      <c r="A172" s="27" t="s">
        <v>1710</v>
      </c>
      <c r="B172" s="28">
        <v>164</v>
      </c>
      <c r="C172" s="28">
        <v>4</v>
      </c>
      <c r="D172" s="17">
        <v>369.81999999999994</v>
      </c>
      <c r="E172" s="28">
        <v>1</v>
      </c>
      <c r="F172" s="28">
        <v>2</v>
      </c>
      <c r="G172" s="28">
        <v>1</v>
      </c>
      <c r="H172" s="28">
        <v>121</v>
      </c>
      <c r="I172" s="27" t="s">
        <v>4970</v>
      </c>
    </row>
    <row r="173" spans="1:9" x14ac:dyDescent="0.3">
      <c r="A173" s="27" t="s">
        <v>1716</v>
      </c>
      <c r="B173" s="28">
        <v>20</v>
      </c>
      <c r="C173" s="28">
        <v>15</v>
      </c>
      <c r="D173" s="17">
        <v>4115.8900000000003</v>
      </c>
      <c r="E173" s="28">
        <v>4</v>
      </c>
      <c r="F173" s="28">
        <v>5</v>
      </c>
      <c r="G173" s="28">
        <v>5</v>
      </c>
      <c r="H173" s="28">
        <v>455</v>
      </c>
      <c r="I173" s="27" t="s">
        <v>4969</v>
      </c>
    </row>
    <row r="174" spans="1:9" x14ac:dyDescent="0.3">
      <c r="A174" s="27" t="s">
        <v>1733</v>
      </c>
      <c r="B174" s="28">
        <v>18</v>
      </c>
      <c r="C174" s="28">
        <v>13</v>
      </c>
      <c r="D174" s="17">
        <v>4029.11</v>
      </c>
      <c r="E174" s="28">
        <v>4</v>
      </c>
      <c r="F174" s="28">
        <v>5</v>
      </c>
      <c r="G174" s="28">
        <v>5</v>
      </c>
      <c r="H174" s="28">
        <v>455</v>
      </c>
      <c r="I174" s="27" t="s">
        <v>4969</v>
      </c>
    </row>
    <row r="175" spans="1:9" x14ac:dyDescent="0.3">
      <c r="A175" s="27" t="s">
        <v>1748</v>
      </c>
      <c r="B175" s="28">
        <v>103</v>
      </c>
      <c r="C175" s="28">
        <v>5</v>
      </c>
      <c r="D175" s="17">
        <v>1937.52</v>
      </c>
      <c r="E175" s="28">
        <v>1</v>
      </c>
      <c r="F175" s="28">
        <v>2</v>
      </c>
      <c r="G175" s="28">
        <v>3</v>
      </c>
      <c r="H175" s="28">
        <v>123</v>
      </c>
      <c r="I175" s="27" t="s">
        <v>4970</v>
      </c>
    </row>
    <row r="176" spans="1:9" x14ac:dyDescent="0.3">
      <c r="A176" s="27" t="s">
        <v>1755</v>
      </c>
      <c r="B176" s="28">
        <v>29</v>
      </c>
      <c r="C176" s="28">
        <v>2</v>
      </c>
      <c r="D176" s="17">
        <v>355.62</v>
      </c>
      <c r="E176" s="28">
        <v>3</v>
      </c>
      <c r="F176" s="28">
        <v>1</v>
      </c>
      <c r="G176" s="28">
        <v>1</v>
      </c>
      <c r="H176" s="28">
        <v>311</v>
      </c>
      <c r="I176" s="27" t="s">
        <v>4972</v>
      </c>
    </row>
    <row r="177" spans="1:9" x14ac:dyDescent="0.3">
      <c r="A177" s="27" t="s">
        <v>1759</v>
      </c>
      <c r="B177" s="28">
        <v>18</v>
      </c>
      <c r="C177" s="28">
        <v>14</v>
      </c>
      <c r="D177" s="17">
        <v>3365.7199999999993</v>
      </c>
      <c r="E177" s="28">
        <v>4</v>
      </c>
      <c r="F177" s="28">
        <v>5</v>
      </c>
      <c r="G177" s="28">
        <v>5</v>
      </c>
      <c r="H177" s="28">
        <v>455</v>
      </c>
      <c r="I177" s="27" t="s">
        <v>4969</v>
      </c>
    </row>
    <row r="178" spans="1:9" x14ac:dyDescent="0.3">
      <c r="A178" s="27" t="s">
        <v>1775</v>
      </c>
      <c r="B178" s="28">
        <v>96</v>
      </c>
      <c r="C178" s="28">
        <v>12</v>
      </c>
      <c r="D178" s="17">
        <v>3072.8099999999995</v>
      </c>
      <c r="E178" s="28">
        <v>1</v>
      </c>
      <c r="F178" s="28">
        <v>5</v>
      </c>
      <c r="G178" s="28">
        <v>4</v>
      </c>
      <c r="H178" s="28">
        <v>154</v>
      </c>
      <c r="I178" s="27" t="s">
        <v>4967</v>
      </c>
    </row>
    <row r="179" spans="1:9" x14ac:dyDescent="0.3">
      <c r="A179" s="27" t="s">
        <v>1789</v>
      </c>
      <c r="B179" s="28">
        <v>235</v>
      </c>
      <c r="C179" s="28">
        <v>2</v>
      </c>
      <c r="D179" s="17">
        <v>299.41999999999996</v>
      </c>
      <c r="E179" s="28">
        <v>1</v>
      </c>
      <c r="F179" s="28">
        <v>1</v>
      </c>
      <c r="G179" s="28">
        <v>1</v>
      </c>
      <c r="H179" s="28">
        <v>111</v>
      </c>
      <c r="I179" s="27" t="s">
        <v>4970</v>
      </c>
    </row>
    <row r="180" spans="1:9" x14ac:dyDescent="0.3">
      <c r="A180" s="27" t="s">
        <v>1793</v>
      </c>
      <c r="B180" s="28">
        <v>73</v>
      </c>
      <c r="C180" s="28">
        <v>6</v>
      </c>
      <c r="D180" s="17">
        <v>1460.58</v>
      </c>
      <c r="E180" s="28">
        <v>2</v>
      </c>
      <c r="F180" s="28">
        <v>3</v>
      </c>
      <c r="G180" s="28">
        <v>2</v>
      </c>
      <c r="H180" s="28">
        <v>232</v>
      </c>
      <c r="I180" s="27" t="s">
        <v>4967</v>
      </c>
    </row>
    <row r="181" spans="1:9" x14ac:dyDescent="0.3">
      <c r="A181" s="27" t="s">
        <v>1801</v>
      </c>
      <c r="B181" s="28">
        <v>3</v>
      </c>
      <c r="C181" s="28">
        <v>12</v>
      </c>
      <c r="D181" s="17">
        <v>2426.0100000000002</v>
      </c>
      <c r="E181" s="28">
        <v>5</v>
      </c>
      <c r="F181" s="28">
        <v>5</v>
      </c>
      <c r="G181" s="28">
        <v>4</v>
      </c>
      <c r="H181" s="28">
        <v>554</v>
      </c>
      <c r="I181" s="27" t="s">
        <v>4969</v>
      </c>
    </row>
    <row r="182" spans="1:9" x14ac:dyDescent="0.3">
      <c r="A182" s="27" t="s">
        <v>1815</v>
      </c>
      <c r="B182" s="28">
        <v>11</v>
      </c>
      <c r="C182" s="28">
        <v>9</v>
      </c>
      <c r="D182" s="17">
        <v>2447.21</v>
      </c>
      <c r="E182" s="28">
        <v>4</v>
      </c>
      <c r="F182" s="28">
        <v>4</v>
      </c>
      <c r="G182" s="28">
        <v>4</v>
      </c>
      <c r="H182" s="28">
        <v>444</v>
      </c>
      <c r="I182" s="27" t="s">
        <v>4969</v>
      </c>
    </row>
    <row r="183" spans="1:9" x14ac:dyDescent="0.3">
      <c r="A183" s="27" t="s">
        <v>1826</v>
      </c>
      <c r="B183" s="28">
        <v>188</v>
      </c>
      <c r="C183" s="28">
        <v>4</v>
      </c>
      <c r="D183" s="17">
        <v>838.57999999999993</v>
      </c>
      <c r="E183" s="28">
        <v>1</v>
      </c>
      <c r="F183" s="28">
        <v>2</v>
      </c>
      <c r="G183" s="28">
        <v>1</v>
      </c>
      <c r="H183" s="28">
        <v>121</v>
      </c>
      <c r="I183" s="27" t="s">
        <v>4970</v>
      </c>
    </row>
    <row r="184" spans="1:9" x14ac:dyDescent="0.3">
      <c r="A184" s="27" t="s">
        <v>1832</v>
      </c>
      <c r="B184" s="28">
        <v>59</v>
      </c>
      <c r="C184" s="28">
        <v>2</v>
      </c>
      <c r="D184" s="17">
        <v>803.99</v>
      </c>
      <c r="E184" s="28">
        <v>2</v>
      </c>
      <c r="F184" s="28">
        <v>1</v>
      </c>
      <c r="G184" s="28">
        <v>1</v>
      </c>
      <c r="H184" s="28">
        <v>211</v>
      </c>
      <c r="I184" s="27" t="s">
        <v>4970</v>
      </c>
    </row>
    <row r="185" spans="1:9" x14ac:dyDescent="0.3">
      <c r="A185" s="27" t="s">
        <v>1836</v>
      </c>
      <c r="B185" s="28">
        <v>25</v>
      </c>
      <c r="C185" s="28">
        <v>15</v>
      </c>
      <c r="D185" s="17">
        <v>4322.21</v>
      </c>
      <c r="E185" s="28">
        <v>3</v>
      </c>
      <c r="F185" s="28">
        <v>5</v>
      </c>
      <c r="G185" s="28">
        <v>5</v>
      </c>
      <c r="H185" s="28">
        <v>355</v>
      </c>
      <c r="I185" s="27" t="s">
        <v>4968</v>
      </c>
    </row>
    <row r="186" spans="1:9" x14ac:dyDescent="0.3">
      <c r="A186" s="27" t="s">
        <v>1853</v>
      </c>
      <c r="B186" s="28">
        <v>42</v>
      </c>
      <c r="C186" s="28">
        <v>11</v>
      </c>
      <c r="D186" s="17">
        <v>1835.2499999999998</v>
      </c>
      <c r="E186" s="28">
        <v>3</v>
      </c>
      <c r="F186" s="28">
        <v>4</v>
      </c>
      <c r="G186" s="28">
        <v>3</v>
      </c>
      <c r="H186" s="28">
        <v>343</v>
      </c>
      <c r="I186" s="27" t="s">
        <v>4968</v>
      </c>
    </row>
    <row r="187" spans="1:9" x14ac:dyDescent="0.3">
      <c r="A187" s="27" t="s">
        <v>1866</v>
      </c>
      <c r="B187" s="28">
        <v>137</v>
      </c>
      <c r="C187" s="28">
        <v>1</v>
      </c>
      <c r="D187" s="17">
        <v>134.27000000000001</v>
      </c>
      <c r="E187" s="28">
        <v>1</v>
      </c>
      <c r="F187" s="28">
        <v>1</v>
      </c>
      <c r="G187" s="28">
        <v>1</v>
      </c>
      <c r="H187" s="28">
        <v>111</v>
      </c>
      <c r="I187" s="27" t="s">
        <v>4970</v>
      </c>
    </row>
    <row r="188" spans="1:9" x14ac:dyDescent="0.3">
      <c r="A188" s="27" t="s">
        <v>1869</v>
      </c>
      <c r="B188" s="28">
        <v>26</v>
      </c>
      <c r="C188" s="28">
        <v>9</v>
      </c>
      <c r="D188" s="17">
        <v>2189.79</v>
      </c>
      <c r="E188" s="28">
        <v>3</v>
      </c>
      <c r="F188" s="28">
        <v>4</v>
      </c>
      <c r="G188" s="28">
        <v>3</v>
      </c>
      <c r="H188" s="28">
        <v>343</v>
      </c>
      <c r="I188" s="27" t="s">
        <v>4968</v>
      </c>
    </row>
    <row r="189" spans="1:9" x14ac:dyDescent="0.3">
      <c r="A189" s="27" t="s">
        <v>1880</v>
      </c>
      <c r="B189" s="28">
        <v>24</v>
      </c>
      <c r="C189" s="28">
        <v>9</v>
      </c>
      <c r="D189" s="17">
        <v>1735.6900000000003</v>
      </c>
      <c r="E189" s="28">
        <v>3</v>
      </c>
      <c r="F189" s="28">
        <v>4</v>
      </c>
      <c r="G189" s="28">
        <v>3</v>
      </c>
      <c r="H189" s="28">
        <v>343</v>
      </c>
      <c r="I189" s="27" t="s">
        <v>4968</v>
      </c>
    </row>
    <row r="190" spans="1:9" x14ac:dyDescent="0.3">
      <c r="A190" s="27" t="s">
        <v>1891</v>
      </c>
      <c r="B190" s="28">
        <v>14</v>
      </c>
      <c r="C190" s="28">
        <v>8</v>
      </c>
      <c r="D190" s="17">
        <v>1473.99</v>
      </c>
      <c r="E190" s="28">
        <v>4</v>
      </c>
      <c r="F190" s="28">
        <v>3</v>
      </c>
      <c r="G190" s="28">
        <v>2</v>
      </c>
      <c r="H190" s="28">
        <v>432</v>
      </c>
      <c r="I190" s="27" t="s">
        <v>4973</v>
      </c>
    </row>
    <row r="191" spans="1:9" x14ac:dyDescent="0.3">
      <c r="A191" s="27" t="s">
        <v>1901</v>
      </c>
      <c r="B191" s="28">
        <v>150</v>
      </c>
      <c r="C191" s="28">
        <v>2</v>
      </c>
      <c r="D191" s="17">
        <v>588.1400000000001</v>
      </c>
      <c r="E191" s="28">
        <v>1</v>
      </c>
      <c r="F191" s="28">
        <v>1</v>
      </c>
      <c r="G191" s="28">
        <v>1</v>
      </c>
      <c r="H191" s="28">
        <v>111</v>
      </c>
      <c r="I191" s="27" t="s">
        <v>4970</v>
      </c>
    </row>
    <row r="192" spans="1:9" x14ac:dyDescent="0.3">
      <c r="A192" s="27" t="s">
        <v>1905</v>
      </c>
      <c r="B192" s="28">
        <v>33</v>
      </c>
      <c r="C192" s="28">
        <v>8</v>
      </c>
      <c r="D192" s="17">
        <v>2538.21</v>
      </c>
      <c r="E192" s="28">
        <v>3</v>
      </c>
      <c r="F192" s="28">
        <v>3</v>
      </c>
      <c r="G192" s="28">
        <v>4</v>
      </c>
      <c r="H192" s="28">
        <v>334</v>
      </c>
      <c r="I192" s="27" t="s">
        <v>4968</v>
      </c>
    </row>
    <row r="193" spans="1:9" x14ac:dyDescent="0.3">
      <c r="A193" s="27" t="s">
        <v>1915</v>
      </c>
      <c r="B193" s="28">
        <v>5</v>
      </c>
      <c r="C193" s="28">
        <v>14</v>
      </c>
      <c r="D193" s="17">
        <v>3819.7700000000009</v>
      </c>
      <c r="E193" s="28">
        <v>5</v>
      </c>
      <c r="F193" s="28">
        <v>5</v>
      </c>
      <c r="G193" s="28">
        <v>5</v>
      </c>
      <c r="H193" s="28">
        <v>555</v>
      </c>
      <c r="I193" s="27" t="s">
        <v>4969</v>
      </c>
    </row>
    <row r="194" spans="1:9" x14ac:dyDescent="0.3">
      <c r="A194" s="27" t="s">
        <v>1931</v>
      </c>
      <c r="B194" s="28">
        <v>175</v>
      </c>
      <c r="C194" s="28">
        <v>5</v>
      </c>
      <c r="D194" s="17">
        <v>1427.39</v>
      </c>
      <c r="E194" s="28">
        <v>1</v>
      </c>
      <c r="F194" s="28">
        <v>2</v>
      </c>
      <c r="G194" s="28">
        <v>2</v>
      </c>
      <c r="H194" s="28">
        <v>122</v>
      </c>
      <c r="I194" s="27" t="s">
        <v>4970</v>
      </c>
    </row>
    <row r="195" spans="1:9" x14ac:dyDescent="0.3">
      <c r="A195" s="27" t="s">
        <v>1938</v>
      </c>
      <c r="B195" s="28">
        <v>71</v>
      </c>
      <c r="C195" s="28">
        <v>7</v>
      </c>
      <c r="D195" s="17">
        <v>936.92</v>
      </c>
      <c r="E195" s="28">
        <v>2</v>
      </c>
      <c r="F195" s="28">
        <v>3</v>
      </c>
      <c r="G195" s="28">
        <v>1</v>
      </c>
      <c r="H195" s="28">
        <v>231</v>
      </c>
      <c r="I195" s="27" t="s">
        <v>4967</v>
      </c>
    </row>
    <row r="196" spans="1:9" x14ac:dyDescent="0.3">
      <c r="A196" s="27" t="s">
        <v>1947</v>
      </c>
      <c r="B196" s="28">
        <v>11</v>
      </c>
      <c r="C196" s="28">
        <v>8</v>
      </c>
      <c r="D196" s="17">
        <v>1684.1600000000003</v>
      </c>
      <c r="E196" s="28">
        <v>4</v>
      </c>
      <c r="F196" s="28">
        <v>3</v>
      </c>
      <c r="G196" s="28">
        <v>3</v>
      </c>
      <c r="H196" s="28">
        <v>433</v>
      </c>
      <c r="I196" s="27" t="s">
        <v>4968</v>
      </c>
    </row>
    <row r="197" spans="1:9" x14ac:dyDescent="0.3">
      <c r="A197" s="27" t="s">
        <v>1957</v>
      </c>
      <c r="B197" s="28">
        <v>80</v>
      </c>
      <c r="C197" s="28">
        <v>6</v>
      </c>
      <c r="D197" s="17">
        <v>1811.7900000000002</v>
      </c>
      <c r="E197" s="28">
        <v>2</v>
      </c>
      <c r="F197" s="28">
        <v>3</v>
      </c>
      <c r="G197" s="28">
        <v>3</v>
      </c>
      <c r="H197" s="28">
        <v>233</v>
      </c>
      <c r="I197" s="27" t="s">
        <v>4967</v>
      </c>
    </row>
    <row r="198" spans="1:9" x14ac:dyDescent="0.3">
      <c r="A198" s="27" t="s">
        <v>1965</v>
      </c>
      <c r="B198" s="28">
        <v>157</v>
      </c>
      <c r="C198" s="28">
        <v>2</v>
      </c>
      <c r="D198" s="17">
        <v>260.67</v>
      </c>
      <c r="E198" s="28">
        <v>1</v>
      </c>
      <c r="F198" s="28">
        <v>1</v>
      </c>
      <c r="G198" s="28">
        <v>1</v>
      </c>
      <c r="H198" s="28">
        <v>111</v>
      </c>
      <c r="I198" s="27" t="s">
        <v>4970</v>
      </c>
    </row>
    <row r="199" spans="1:9" x14ac:dyDescent="0.3">
      <c r="A199" s="27" t="s">
        <v>1969</v>
      </c>
      <c r="B199" s="28">
        <v>9</v>
      </c>
      <c r="C199" s="28">
        <v>11</v>
      </c>
      <c r="D199" s="17">
        <v>2974.37</v>
      </c>
      <c r="E199" s="28">
        <v>4</v>
      </c>
      <c r="F199" s="28">
        <v>4</v>
      </c>
      <c r="G199" s="28">
        <v>4</v>
      </c>
      <c r="H199" s="28">
        <v>444</v>
      </c>
      <c r="I199" s="27" t="s">
        <v>4969</v>
      </c>
    </row>
    <row r="200" spans="1:9" x14ac:dyDescent="0.3">
      <c r="A200" s="27" t="s">
        <v>1982</v>
      </c>
      <c r="B200" s="28">
        <v>61</v>
      </c>
      <c r="C200" s="28">
        <v>6</v>
      </c>
      <c r="D200" s="17">
        <v>1346.26</v>
      </c>
      <c r="E200" s="28">
        <v>2</v>
      </c>
      <c r="F200" s="28">
        <v>3</v>
      </c>
      <c r="G200" s="28">
        <v>2</v>
      </c>
      <c r="H200" s="28">
        <v>232</v>
      </c>
      <c r="I200" s="27" t="s">
        <v>4967</v>
      </c>
    </row>
    <row r="201" spans="1:9" x14ac:dyDescent="0.3">
      <c r="A201" s="27" t="s">
        <v>1990</v>
      </c>
      <c r="B201" s="28">
        <v>309</v>
      </c>
      <c r="C201" s="28">
        <v>1</v>
      </c>
      <c r="D201" s="17">
        <v>48.15</v>
      </c>
      <c r="E201" s="28">
        <v>1</v>
      </c>
      <c r="F201" s="28">
        <v>1</v>
      </c>
      <c r="G201" s="28">
        <v>1</v>
      </c>
      <c r="H201" s="28">
        <v>111</v>
      </c>
      <c r="I201" s="27" t="s">
        <v>4970</v>
      </c>
    </row>
    <row r="202" spans="1:9" x14ac:dyDescent="0.3">
      <c r="A202" s="27" t="s">
        <v>1993</v>
      </c>
      <c r="B202" s="28">
        <v>20</v>
      </c>
      <c r="C202" s="28">
        <v>11</v>
      </c>
      <c r="D202" s="17">
        <v>2110.44</v>
      </c>
      <c r="E202" s="28">
        <v>4</v>
      </c>
      <c r="F202" s="28">
        <v>4</v>
      </c>
      <c r="G202" s="28">
        <v>3</v>
      </c>
      <c r="H202" s="28">
        <v>443</v>
      </c>
      <c r="I202" s="27" t="s">
        <v>4968</v>
      </c>
    </row>
    <row r="203" spans="1:9" x14ac:dyDescent="0.3">
      <c r="A203" s="27" t="s">
        <v>2006</v>
      </c>
      <c r="B203" s="28">
        <v>11</v>
      </c>
      <c r="C203" s="28">
        <v>15</v>
      </c>
      <c r="D203" s="17">
        <v>3369.64</v>
      </c>
      <c r="E203" s="28">
        <v>4</v>
      </c>
      <c r="F203" s="28">
        <v>5</v>
      </c>
      <c r="G203" s="28">
        <v>5</v>
      </c>
      <c r="H203" s="28">
        <v>455</v>
      </c>
      <c r="I203" s="27" t="s">
        <v>4969</v>
      </c>
    </row>
    <row r="204" spans="1:9" x14ac:dyDescent="0.3">
      <c r="A204" s="27" t="s">
        <v>2023</v>
      </c>
      <c r="B204" s="28">
        <v>2</v>
      </c>
      <c r="C204" s="28">
        <v>7</v>
      </c>
      <c r="D204" s="17">
        <v>928.04</v>
      </c>
      <c r="E204" s="28">
        <v>5</v>
      </c>
      <c r="F204" s="28">
        <v>3</v>
      </c>
      <c r="G204" s="28">
        <v>1</v>
      </c>
      <c r="H204" s="28">
        <v>531</v>
      </c>
      <c r="I204" s="27" t="s">
        <v>4972</v>
      </c>
    </row>
    <row r="205" spans="1:9" x14ac:dyDescent="0.3">
      <c r="A205" s="27" t="s">
        <v>2032</v>
      </c>
      <c r="B205" s="28">
        <v>186</v>
      </c>
      <c r="C205" s="28">
        <v>5</v>
      </c>
      <c r="D205" s="17">
        <v>1515.52</v>
      </c>
      <c r="E205" s="28">
        <v>1</v>
      </c>
      <c r="F205" s="28">
        <v>2</v>
      </c>
      <c r="G205" s="28">
        <v>2</v>
      </c>
      <c r="H205" s="28">
        <v>122</v>
      </c>
      <c r="I205" s="27" t="s">
        <v>4970</v>
      </c>
    </row>
    <row r="206" spans="1:9" x14ac:dyDescent="0.3">
      <c r="A206" s="27" t="s">
        <v>2039</v>
      </c>
      <c r="B206" s="28">
        <v>121</v>
      </c>
      <c r="C206" s="28">
        <v>4</v>
      </c>
      <c r="D206" s="17">
        <v>1419.55</v>
      </c>
      <c r="E206" s="28">
        <v>1</v>
      </c>
      <c r="F206" s="28">
        <v>2</v>
      </c>
      <c r="G206" s="28">
        <v>2</v>
      </c>
      <c r="H206" s="28">
        <v>122</v>
      </c>
      <c r="I206" s="27" t="s">
        <v>4970</v>
      </c>
    </row>
    <row r="207" spans="1:9" x14ac:dyDescent="0.3">
      <c r="A207" s="27" t="s">
        <v>2045</v>
      </c>
      <c r="B207" s="28">
        <v>187</v>
      </c>
      <c r="C207" s="28">
        <v>1</v>
      </c>
      <c r="D207" s="17">
        <v>103.27</v>
      </c>
      <c r="E207" s="28">
        <v>1</v>
      </c>
      <c r="F207" s="28">
        <v>1</v>
      </c>
      <c r="G207" s="28">
        <v>1</v>
      </c>
      <c r="H207" s="28">
        <v>111</v>
      </c>
      <c r="I207" s="27" t="s">
        <v>4970</v>
      </c>
    </row>
    <row r="208" spans="1:9" x14ac:dyDescent="0.3">
      <c r="A208" s="27" t="s">
        <v>2048</v>
      </c>
      <c r="B208" s="28">
        <v>185</v>
      </c>
      <c r="C208" s="28">
        <v>3</v>
      </c>
      <c r="D208" s="17">
        <v>1148.9099999999999</v>
      </c>
      <c r="E208" s="28">
        <v>1</v>
      </c>
      <c r="F208" s="28">
        <v>1</v>
      </c>
      <c r="G208" s="28">
        <v>2</v>
      </c>
      <c r="H208" s="28">
        <v>112</v>
      </c>
      <c r="I208" s="27" t="s">
        <v>4970</v>
      </c>
    </row>
    <row r="209" spans="1:9" x14ac:dyDescent="0.3">
      <c r="A209" s="27" t="s">
        <v>2053</v>
      </c>
      <c r="B209" s="28">
        <v>58</v>
      </c>
      <c r="C209" s="28">
        <v>8</v>
      </c>
      <c r="D209" s="17">
        <v>1566.1299999999999</v>
      </c>
      <c r="E209" s="28">
        <v>2</v>
      </c>
      <c r="F209" s="28">
        <v>3</v>
      </c>
      <c r="G209" s="28">
        <v>3</v>
      </c>
      <c r="H209" s="28">
        <v>233</v>
      </c>
      <c r="I209" s="27" t="s">
        <v>4967</v>
      </c>
    </row>
    <row r="210" spans="1:9" x14ac:dyDescent="0.3">
      <c r="A210" s="27" t="s">
        <v>2063</v>
      </c>
      <c r="B210" s="28">
        <v>1</v>
      </c>
      <c r="C210" s="28">
        <v>14</v>
      </c>
      <c r="D210" s="17">
        <v>3977.88</v>
      </c>
      <c r="E210" s="28">
        <v>5</v>
      </c>
      <c r="F210" s="28">
        <v>5</v>
      </c>
      <c r="G210" s="28">
        <v>5</v>
      </c>
      <c r="H210" s="28">
        <v>555</v>
      </c>
      <c r="I210" s="27" t="s">
        <v>4969</v>
      </c>
    </row>
    <row r="211" spans="1:9" x14ac:dyDescent="0.3">
      <c r="A211" s="27" t="s">
        <v>2079</v>
      </c>
      <c r="B211" s="28">
        <v>87</v>
      </c>
      <c r="C211" s="28">
        <v>15</v>
      </c>
      <c r="D211" s="17">
        <v>3879.23</v>
      </c>
      <c r="E211" s="28">
        <v>2</v>
      </c>
      <c r="F211" s="28">
        <v>5</v>
      </c>
      <c r="G211" s="28">
        <v>5</v>
      </c>
      <c r="H211" s="28">
        <v>255</v>
      </c>
      <c r="I211" s="27" t="s">
        <v>4967</v>
      </c>
    </row>
    <row r="212" spans="1:9" x14ac:dyDescent="0.3">
      <c r="A212" s="27" t="s">
        <v>2096</v>
      </c>
      <c r="B212" s="28">
        <v>4</v>
      </c>
      <c r="C212" s="28">
        <v>12</v>
      </c>
      <c r="D212" s="17">
        <v>3180.5699999999988</v>
      </c>
      <c r="E212" s="28">
        <v>5</v>
      </c>
      <c r="F212" s="28">
        <v>5</v>
      </c>
      <c r="G212" s="28">
        <v>5</v>
      </c>
      <c r="H212" s="28">
        <v>555</v>
      </c>
      <c r="I212" s="27" t="s">
        <v>4969</v>
      </c>
    </row>
    <row r="213" spans="1:9" x14ac:dyDescent="0.3">
      <c r="A213" s="27" t="s">
        <v>2110</v>
      </c>
      <c r="B213" s="28">
        <v>158</v>
      </c>
      <c r="C213" s="28">
        <v>2</v>
      </c>
      <c r="D213" s="17">
        <v>202.45</v>
      </c>
      <c r="E213" s="28">
        <v>1</v>
      </c>
      <c r="F213" s="28">
        <v>1</v>
      </c>
      <c r="G213" s="28">
        <v>1</v>
      </c>
      <c r="H213" s="28">
        <v>111</v>
      </c>
      <c r="I213" s="27" t="s">
        <v>4970</v>
      </c>
    </row>
    <row r="214" spans="1:9" x14ac:dyDescent="0.3">
      <c r="A214" s="27" t="s">
        <v>2114</v>
      </c>
      <c r="B214" s="28">
        <v>59</v>
      </c>
      <c r="C214" s="28">
        <v>12</v>
      </c>
      <c r="D214" s="17">
        <v>2609.2000000000003</v>
      </c>
      <c r="E214" s="28">
        <v>2</v>
      </c>
      <c r="F214" s="28">
        <v>5</v>
      </c>
      <c r="G214" s="28">
        <v>4</v>
      </c>
      <c r="H214" s="28">
        <v>254</v>
      </c>
      <c r="I214" s="27" t="s">
        <v>4967</v>
      </c>
    </row>
    <row r="215" spans="1:9" x14ac:dyDescent="0.3">
      <c r="A215" s="27" t="s">
        <v>2128</v>
      </c>
      <c r="B215" s="28">
        <v>36</v>
      </c>
      <c r="C215" s="28">
        <v>8</v>
      </c>
      <c r="D215" s="17">
        <v>1530.66</v>
      </c>
      <c r="E215" s="28">
        <v>3</v>
      </c>
      <c r="F215" s="28">
        <v>3</v>
      </c>
      <c r="G215" s="28">
        <v>2</v>
      </c>
      <c r="H215" s="28">
        <v>332</v>
      </c>
      <c r="I215" s="27" t="s">
        <v>4972</v>
      </c>
    </row>
    <row r="216" spans="1:9" x14ac:dyDescent="0.3">
      <c r="A216" s="27" t="s">
        <v>2138</v>
      </c>
      <c r="B216" s="28">
        <v>41</v>
      </c>
      <c r="C216" s="28">
        <v>13</v>
      </c>
      <c r="D216" s="17">
        <v>4119.2700000000004</v>
      </c>
      <c r="E216" s="28">
        <v>3</v>
      </c>
      <c r="F216" s="28">
        <v>5</v>
      </c>
      <c r="G216" s="28">
        <v>5</v>
      </c>
      <c r="H216" s="28">
        <v>355</v>
      </c>
      <c r="I216" s="27" t="s">
        <v>4968</v>
      </c>
    </row>
    <row r="217" spans="1:9" x14ac:dyDescent="0.3">
      <c r="A217" s="27" t="s">
        <v>2153</v>
      </c>
      <c r="B217" s="28">
        <v>215</v>
      </c>
      <c r="C217" s="28">
        <v>7</v>
      </c>
      <c r="D217" s="17">
        <v>1573.31</v>
      </c>
      <c r="E217" s="28">
        <v>1</v>
      </c>
      <c r="F217" s="28">
        <v>3</v>
      </c>
      <c r="G217" s="28">
        <v>3</v>
      </c>
      <c r="H217" s="28">
        <v>133</v>
      </c>
      <c r="I217" s="27" t="s">
        <v>4967</v>
      </c>
    </row>
    <row r="218" spans="1:9" x14ac:dyDescent="0.3">
      <c r="A218" s="27" t="s">
        <v>2162</v>
      </c>
      <c r="B218" s="28">
        <v>9</v>
      </c>
      <c r="C218" s="28">
        <v>10</v>
      </c>
      <c r="D218" s="17">
        <v>2468.7199999999998</v>
      </c>
      <c r="E218" s="28">
        <v>4</v>
      </c>
      <c r="F218" s="28">
        <v>4</v>
      </c>
      <c r="G218" s="28">
        <v>4</v>
      </c>
      <c r="H218" s="28">
        <v>444</v>
      </c>
      <c r="I218" s="27" t="s">
        <v>4969</v>
      </c>
    </row>
    <row r="219" spans="1:9" x14ac:dyDescent="0.3">
      <c r="A219" s="27" t="s">
        <v>2174</v>
      </c>
      <c r="B219" s="28">
        <v>43</v>
      </c>
      <c r="C219" s="28">
        <v>4</v>
      </c>
      <c r="D219" s="17">
        <v>1155.74</v>
      </c>
      <c r="E219" s="28">
        <v>3</v>
      </c>
      <c r="F219" s="28">
        <v>2</v>
      </c>
      <c r="G219" s="28">
        <v>2</v>
      </c>
      <c r="H219" s="28">
        <v>322</v>
      </c>
      <c r="I219" s="27" t="s">
        <v>4972</v>
      </c>
    </row>
    <row r="220" spans="1:9" x14ac:dyDescent="0.3">
      <c r="A220" s="27" t="s">
        <v>2180</v>
      </c>
      <c r="B220" s="28">
        <v>190</v>
      </c>
      <c r="C220" s="28">
        <v>4</v>
      </c>
      <c r="D220" s="17">
        <v>1161.7199999999998</v>
      </c>
      <c r="E220" s="28">
        <v>1</v>
      </c>
      <c r="F220" s="28">
        <v>2</v>
      </c>
      <c r="G220" s="28">
        <v>2</v>
      </c>
      <c r="H220" s="28">
        <v>122</v>
      </c>
      <c r="I220" s="27" t="s">
        <v>4970</v>
      </c>
    </row>
    <row r="221" spans="1:9" x14ac:dyDescent="0.3">
      <c r="A221" s="27" t="s">
        <v>2186</v>
      </c>
      <c r="B221" s="28">
        <v>73</v>
      </c>
      <c r="C221" s="28">
        <v>10</v>
      </c>
      <c r="D221" s="17">
        <v>1917.9099999999999</v>
      </c>
      <c r="E221" s="28">
        <v>2</v>
      </c>
      <c r="F221" s="28">
        <v>4</v>
      </c>
      <c r="G221" s="28">
        <v>3</v>
      </c>
      <c r="H221" s="28">
        <v>243</v>
      </c>
      <c r="I221" s="27" t="s">
        <v>4967</v>
      </c>
    </row>
    <row r="222" spans="1:9" x14ac:dyDescent="0.3">
      <c r="A222" s="27" t="s">
        <v>2198</v>
      </c>
      <c r="B222" s="28">
        <v>193</v>
      </c>
      <c r="C222" s="28">
        <v>4</v>
      </c>
      <c r="D222" s="17">
        <v>1031.19</v>
      </c>
      <c r="E222" s="28">
        <v>1</v>
      </c>
      <c r="F222" s="28">
        <v>2</v>
      </c>
      <c r="G222" s="28">
        <v>2</v>
      </c>
      <c r="H222" s="28">
        <v>122</v>
      </c>
      <c r="I222" s="27" t="s">
        <v>4970</v>
      </c>
    </row>
    <row r="223" spans="1:9" x14ac:dyDescent="0.3">
      <c r="A223" s="27" t="s">
        <v>2204</v>
      </c>
      <c r="B223" s="28">
        <v>1</v>
      </c>
      <c r="C223" s="28">
        <v>13</v>
      </c>
      <c r="D223" s="17">
        <v>3478.87</v>
      </c>
      <c r="E223" s="28">
        <v>5</v>
      </c>
      <c r="F223" s="28">
        <v>5</v>
      </c>
      <c r="G223" s="28">
        <v>5</v>
      </c>
      <c r="H223" s="28">
        <v>555</v>
      </c>
      <c r="I223" s="27" t="s">
        <v>4969</v>
      </c>
    </row>
    <row r="224" spans="1:9" x14ac:dyDescent="0.3">
      <c r="A224" s="27" t="s">
        <v>2219</v>
      </c>
      <c r="B224" s="28">
        <v>215</v>
      </c>
      <c r="C224" s="28">
        <v>2</v>
      </c>
      <c r="D224" s="17">
        <v>434.6</v>
      </c>
      <c r="E224" s="28">
        <v>1</v>
      </c>
      <c r="F224" s="28">
        <v>1</v>
      </c>
      <c r="G224" s="28">
        <v>1</v>
      </c>
      <c r="H224" s="28">
        <v>111</v>
      </c>
      <c r="I224" s="27" t="s">
        <v>4970</v>
      </c>
    </row>
    <row r="225" spans="1:9" x14ac:dyDescent="0.3">
      <c r="A225" s="27" t="s">
        <v>2223</v>
      </c>
      <c r="B225" s="28">
        <v>17</v>
      </c>
      <c r="C225" s="28">
        <v>12</v>
      </c>
      <c r="D225" s="17">
        <v>3435.11</v>
      </c>
      <c r="E225" s="28">
        <v>4</v>
      </c>
      <c r="F225" s="28">
        <v>5</v>
      </c>
      <c r="G225" s="28">
        <v>5</v>
      </c>
      <c r="H225" s="28">
        <v>455</v>
      </c>
      <c r="I225" s="27" t="s">
        <v>4969</v>
      </c>
    </row>
    <row r="226" spans="1:9" x14ac:dyDescent="0.3">
      <c r="A226" s="27" t="s">
        <v>2237</v>
      </c>
      <c r="B226" s="28">
        <v>1</v>
      </c>
      <c r="C226" s="28">
        <v>12</v>
      </c>
      <c r="D226" s="17">
        <v>3209.3300000000004</v>
      </c>
      <c r="E226" s="28">
        <v>5</v>
      </c>
      <c r="F226" s="28">
        <v>5</v>
      </c>
      <c r="G226" s="28">
        <v>5</v>
      </c>
      <c r="H226" s="28">
        <v>555</v>
      </c>
      <c r="I226" s="27" t="s">
        <v>4969</v>
      </c>
    </row>
    <row r="227" spans="1:9" x14ac:dyDescent="0.3">
      <c r="A227" s="27" t="s">
        <v>2251</v>
      </c>
      <c r="B227" s="28">
        <v>2</v>
      </c>
      <c r="C227" s="28">
        <v>6</v>
      </c>
      <c r="D227" s="17">
        <v>1365.52</v>
      </c>
      <c r="E227" s="28">
        <v>5</v>
      </c>
      <c r="F227" s="28">
        <v>3</v>
      </c>
      <c r="G227" s="28">
        <v>2</v>
      </c>
      <c r="H227" s="28">
        <v>532</v>
      </c>
      <c r="I227" s="27" t="s">
        <v>4973</v>
      </c>
    </row>
    <row r="228" spans="1:9" x14ac:dyDescent="0.3">
      <c r="A228" s="27" t="s">
        <v>2259</v>
      </c>
      <c r="B228" s="28">
        <v>52</v>
      </c>
      <c r="C228" s="28">
        <v>3</v>
      </c>
      <c r="D228" s="17">
        <v>1043.02</v>
      </c>
      <c r="E228" s="28">
        <v>2</v>
      </c>
      <c r="F228" s="28">
        <v>1</v>
      </c>
      <c r="G228" s="28">
        <v>2</v>
      </c>
      <c r="H228" s="28">
        <v>212</v>
      </c>
      <c r="I228" s="27" t="s">
        <v>4970</v>
      </c>
    </row>
    <row r="229" spans="1:9" x14ac:dyDescent="0.3">
      <c r="A229" s="27" t="s">
        <v>2264</v>
      </c>
      <c r="B229" s="28">
        <v>218</v>
      </c>
      <c r="C229" s="28">
        <v>1</v>
      </c>
      <c r="D229" s="17">
        <v>123.88</v>
      </c>
      <c r="E229" s="28">
        <v>1</v>
      </c>
      <c r="F229" s="28">
        <v>1</v>
      </c>
      <c r="G229" s="28">
        <v>1</v>
      </c>
      <c r="H229" s="28">
        <v>111</v>
      </c>
      <c r="I229" s="27" t="s">
        <v>4970</v>
      </c>
    </row>
    <row r="230" spans="1:9" x14ac:dyDescent="0.3">
      <c r="A230" s="27" t="s">
        <v>2267</v>
      </c>
      <c r="B230" s="28">
        <v>145</v>
      </c>
      <c r="C230" s="28">
        <v>2</v>
      </c>
      <c r="D230" s="17">
        <v>348.31</v>
      </c>
      <c r="E230" s="28">
        <v>1</v>
      </c>
      <c r="F230" s="28">
        <v>1</v>
      </c>
      <c r="G230" s="28">
        <v>1</v>
      </c>
      <c r="H230" s="28">
        <v>111</v>
      </c>
      <c r="I230" s="27" t="s">
        <v>4970</v>
      </c>
    </row>
    <row r="231" spans="1:9" x14ac:dyDescent="0.3">
      <c r="A231" s="27" t="s">
        <v>2271</v>
      </c>
      <c r="B231" s="28">
        <v>69</v>
      </c>
      <c r="C231" s="28">
        <v>3</v>
      </c>
      <c r="D231" s="17">
        <v>1011.31</v>
      </c>
      <c r="E231" s="28">
        <v>2</v>
      </c>
      <c r="F231" s="28">
        <v>1</v>
      </c>
      <c r="G231" s="28">
        <v>2</v>
      </c>
      <c r="H231" s="28">
        <v>212</v>
      </c>
      <c r="I231" s="27" t="s">
        <v>4970</v>
      </c>
    </row>
    <row r="232" spans="1:9" x14ac:dyDescent="0.3">
      <c r="A232" s="27" t="s">
        <v>2276</v>
      </c>
      <c r="B232" s="28">
        <v>1</v>
      </c>
      <c r="C232" s="28">
        <v>10</v>
      </c>
      <c r="D232" s="17">
        <v>2444.9200000000005</v>
      </c>
      <c r="E232" s="28">
        <v>5</v>
      </c>
      <c r="F232" s="28">
        <v>4</v>
      </c>
      <c r="G232" s="28">
        <v>4</v>
      </c>
      <c r="H232" s="28">
        <v>544</v>
      </c>
      <c r="I232" s="27" t="s">
        <v>4969</v>
      </c>
    </row>
    <row r="233" spans="1:9" x14ac:dyDescent="0.3">
      <c r="A233" s="27" t="s">
        <v>2288</v>
      </c>
      <c r="B233" s="28">
        <v>19</v>
      </c>
      <c r="C233" s="28">
        <v>8</v>
      </c>
      <c r="D233" s="17">
        <v>1806.4499999999998</v>
      </c>
      <c r="E233" s="28">
        <v>4</v>
      </c>
      <c r="F233" s="28">
        <v>3</v>
      </c>
      <c r="G233" s="28">
        <v>3</v>
      </c>
      <c r="H233" s="28">
        <v>433</v>
      </c>
      <c r="I233" s="27" t="s">
        <v>4968</v>
      </c>
    </row>
    <row r="234" spans="1:9" x14ac:dyDescent="0.3">
      <c r="A234" s="27" t="s">
        <v>2298</v>
      </c>
      <c r="B234" s="28">
        <v>65</v>
      </c>
      <c r="C234" s="28">
        <v>8</v>
      </c>
      <c r="D234" s="17">
        <v>1598.13</v>
      </c>
      <c r="E234" s="28">
        <v>2</v>
      </c>
      <c r="F234" s="28">
        <v>3</v>
      </c>
      <c r="G234" s="28">
        <v>3</v>
      </c>
      <c r="H234" s="28">
        <v>233</v>
      </c>
      <c r="I234" s="27" t="s">
        <v>4967</v>
      </c>
    </row>
    <row r="235" spans="1:9" x14ac:dyDescent="0.3">
      <c r="A235" s="27" t="s">
        <v>2308</v>
      </c>
      <c r="B235" s="28">
        <v>4</v>
      </c>
      <c r="C235" s="28">
        <v>11</v>
      </c>
      <c r="D235" s="17">
        <v>3163.46</v>
      </c>
      <c r="E235" s="28">
        <v>5</v>
      </c>
      <c r="F235" s="28">
        <v>4</v>
      </c>
      <c r="G235" s="28">
        <v>5</v>
      </c>
      <c r="H235" s="28">
        <v>545</v>
      </c>
      <c r="I235" s="27" t="s">
        <v>4969</v>
      </c>
    </row>
    <row r="236" spans="1:9" x14ac:dyDescent="0.3">
      <c r="A236" s="27" t="s">
        <v>2321</v>
      </c>
      <c r="B236" s="28">
        <v>54</v>
      </c>
      <c r="C236" s="28">
        <v>5</v>
      </c>
      <c r="D236" s="17">
        <v>1032.79</v>
      </c>
      <c r="E236" s="28">
        <v>2</v>
      </c>
      <c r="F236" s="28">
        <v>2</v>
      </c>
      <c r="G236" s="28">
        <v>2</v>
      </c>
      <c r="H236" s="28">
        <v>222</v>
      </c>
      <c r="I236" s="27" t="s">
        <v>4970</v>
      </c>
    </row>
    <row r="237" spans="1:9" x14ac:dyDescent="0.3">
      <c r="A237" s="27" t="s">
        <v>2328</v>
      </c>
      <c r="B237" s="28">
        <v>17</v>
      </c>
      <c r="C237" s="28">
        <v>10</v>
      </c>
      <c r="D237" s="17">
        <v>1948.5800000000002</v>
      </c>
      <c r="E237" s="28">
        <v>4</v>
      </c>
      <c r="F237" s="28">
        <v>4</v>
      </c>
      <c r="G237" s="28">
        <v>3</v>
      </c>
      <c r="H237" s="28">
        <v>443</v>
      </c>
      <c r="I237" s="27" t="s">
        <v>4968</v>
      </c>
    </row>
    <row r="238" spans="1:9" x14ac:dyDescent="0.3">
      <c r="A238" s="27" t="s">
        <v>2340</v>
      </c>
      <c r="B238" s="28">
        <v>12</v>
      </c>
      <c r="C238" s="28">
        <v>9</v>
      </c>
      <c r="D238" s="17">
        <v>2075.0699999999997</v>
      </c>
      <c r="E238" s="28">
        <v>4</v>
      </c>
      <c r="F238" s="28">
        <v>4</v>
      </c>
      <c r="G238" s="28">
        <v>3</v>
      </c>
      <c r="H238" s="28">
        <v>443</v>
      </c>
      <c r="I238" s="27" t="s">
        <v>4968</v>
      </c>
    </row>
    <row r="239" spans="1:9" x14ac:dyDescent="0.3">
      <c r="A239" s="27" t="s">
        <v>2351</v>
      </c>
      <c r="B239" s="28">
        <v>41</v>
      </c>
      <c r="C239" s="28">
        <v>2</v>
      </c>
      <c r="D239" s="17">
        <v>540.23</v>
      </c>
      <c r="E239" s="28">
        <v>3</v>
      </c>
      <c r="F239" s="28">
        <v>1</v>
      </c>
      <c r="G239" s="28">
        <v>1</v>
      </c>
      <c r="H239" s="28">
        <v>311</v>
      </c>
      <c r="I239" s="27" t="s">
        <v>4972</v>
      </c>
    </row>
    <row r="240" spans="1:9" x14ac:dyDescent="0.3">
      <c r="A240" s="27" t="s">
        <v>2355</v>
      </c>
      <c r="B240" s="28">
        <v>98</v>
      </c>
      <c r="C240" s="28">
        <v>4</v>
      </c>
      <c r="D240" s="17">
        <v>710.53</v>
      </c>
      <c r="E240" s="28">
        <v>1</v>
      </c>
      <c r="F240" s="28">
        <v>2</v>
      </c>
      <c r="G240" s="28">
        <v>1</v>
      </c>
      <c r="H240" s="28">
        <v>121</v>
      </c>
      <c r="I240" s="27" t="s">
        <v>4970</v>
      </c>
    </row>
    <row r="241" spans="1:9" x14ac:dyDescent="0.3">
      <c r="A241" s="27" t="s">
        <v>2361</v>
      </c>
      <c r="B241" s="28">
        <v>44</v>
      </c>
      <c r="C241" s="28">
        <v>3</v>
      </c>
      <c r="D241" s="17">
        <v>1135.83</v>
      </c>
      <c r="E241" s="28">
        <v>2</v>
      </c>
      <c r="F241" s="28">
        <v>1</v>
      </c>
      <c r="G241" s="28">
        <v>2</v>
      </c>
      <c r="H241" s="28">
        <v>212</v>
      </c>
      <c r="I241" s="27" t="s">
        <v>4970</v>
      </c>
    </row>
    <row r="242" spans="1:9" x14ac:dyDescent="0.3">
      <c r="A242" s="27" t="s">
        <v>2366</v>
      </c>
      <c r="B242" s="28">
        <v>57</v>
      </c>
      <c r="C242" s="28">
        <v>11</v>
      </c>
      <c r="D242" s="17">
        <v>2959.09</v>
      </c>
      <c r="E242" s="28">
        <v>2</v>
      </c>
      <c r="F242" s="28">
        <v>4</v>
      </c>
      <c r="G242" s="28">
        <v>4</v>
      </c>
      <c r="H242" s="28">
        <v>244</v>
      </c>
      <c r="I242" s="27" t="s">
        <v>4967</v>
      </c>
    </row>
    <row r="243" spans="1:9" x14ac:dyDescent="0.3">
      <c r="A243" s="27" t="s">
        <v>2379</v>
      </c>
      <c r="B243" s="28">
        <v>147</v>
      </c>
      <c r="C243" s="28">
        <v>4</v>
      </c>
      <c r="D243" s="17">
        <v>1015.87</v>
      </c>
      <c r="E243" s="28">
        <v>1</v>
      </c>
      <c r="F243" s="28">
        <v>2</v>
      </c>
      <c r="G243" s="28">
        <v>2</v>
      </c>
      <c r="H243" s="28">
        <v>122</v>
      </c>
      <c r="I243" s="27" t="s">
        <v>4970</v>
      </c>
    </row>
    <row r="244" spans="1:9" x14ac:dyDescent="0.3">
      <c r="A244" s="27" t="s">
        <v>2385</v>
      </c>
      <c r="B244" s="28">
        <v>7</v>
      </c>
      <c r="C244" s="28">
        <v>5</v>
      </c>
      <c r="D244" s="17">
        <v>755.09000000000015</v>
      </c>
      <c r="E244" s="28">
        <v>5</v>
      </c>
      <c r="F244" s="28">
        <v>2</v>
      </c>
      <c r="G244" s="28">
        <v>1</v>
      </c>
      <c r="H244" s="28">
        <v>521</v>
      </c>
      <c r="I244" s="27" t="s">
        <v>4971</v>
      </c>
    </row>
    <row r="245" spans="1:9" x14ac:dyDescent="0.3">
      <c r="A245" s="27" t="s">
        <v>2392</v>
      </c>
      <c r="B245" s="28">
        <v>236</v>
      </c>
      <c r="C245" s="28">
        <v>5</v>
      </c>
      <c r="D245" s="17">
        <v>1588.9399999999998</v>
      </c>
      <c r="E245" s="28">
        <v>1</v>
      </c>
      <c r="F245" s="28">
        <v>2</v>
      </c>
      <c r="G245" s="28">
        <v>3</v>
      </c>
      <c r="H245" s="28">
        <v>123</v>
      </c>
      <c r="I245" s="27" t="s">
        <v>4970</v>
      </c>
    </row>
    <row r="246" spans="1:9" x14ac:dyDescent="0.3">
      <c r="A246" s="27" t="s">
        <v>2399</v>
      </c>
      <c r="B246" s="28">
        <v>1</v>
      </c>
      <c r="C246" s="28">
        <v>13</v>
      </c>
      <c r="D246" s="17">
        <v>3088.15</v>
      </c>
      <c r="E246" s="28">
        <v>5</v>
      </c>
      <c r="F246" s="28">
        <v>5</v>
      </c>
      <c r="G246" s="28">
        <v>4</v>
      </c>
      <c r="H246" s="28">
        <v>554</v>
      </c>
      <c r="I246" s="27" t="s">
        <v>4969</v>
      </c>
    </row>
    <row r="247" spans="1:9" x14ac:dyDescent="0.3">
      <c r="A247" s="27" t="s">
        <v>2414</v>
      </c>
      <c r="B247" s="28">
        <v>17</v>
      </c>
      <c r="C247" s="28">
        <v>13</v>
      </c>
      <c r="D247" s="17">
        <v>3021.8700000000003</v>
      </c>
      <c r="E247" s="28">
        <v>4</v>
      </c>
      <c r="F247" s="28">
        <v>5</v>
      </c>
      <c r="G247" s="28">
        <v>4</v>
      </c>
      <c r="H247" s="28">
        <v>454</v>
      </c>
      <c r="I247" s="27" t="s">
        <v>4969</v>
      </c>
    </row>
    <row r="248" spans="1:9" x14ac:dyDescent="0.3">
      <c r="A248" s="27" t="s">
        <v>2429</v>
      </c>
      <c r="B248" s="28">
        <v>12</v>
      </c>
      <c r="C248" s="28">
        <v>14</v>
      </c>
      <c r="D248" s="17">
        <v>3408.72</v>
      </c>
      <c r="E248" s="28">
        <v>4</v>
      </c>
      <c r="F248" s="28">
        <v>5</v>
      </c>
      <c r="G248" s="28">
        <v>5</v>
      </c>
      <c r="H248" s="28">
        <v>455</v>
      </c>
      <c r="I248" s="27" t="s">
        <v>4969</v>
      </c>
    </row>
    <row r="249" spans="1:9" x14ac:dyDescent="0.3">
      <c r="A249" s="27" t="s">
        <v>2445</v>
      </c>
      <c r="B249" s="28">
        <v>25</v>
      </c>
      <c r="C249" s="28">
        <v>8</v>
      </c>
      <c r="D249" s="17">
        <v>1799.6</v>
      </c>
      <c r="E249" s="28">
        <v>3</v>
      </c>
      <c r="F249" s="28">
        <v>3</v>
      </c>
      <c r="G249" s="28">
        <v>3</v>
      </c>
      <c r="H249" s="28">
        <v>333</v>
      </c>
      <c r="I249" s="27" t="s">
        <v>4968</v>
      </c>
    </row>
    <row r="250" spans="1:9" x14ac:dyDescent="0.3">
      <c r="A250" s="27" t="s">
        <v>2455</v>
      </c>
      <c r="B250" s="28">
        <v>28</v>
      </c>
      <c r="C250" s="28">
        <v>6</v>
      </c>
      <c r="D250" s="17">
        <v>1721.56</v>
      </c>
      <c r="E250" s="28">
        <v>3</v>
      </c>
      <c r="F250" s="28">
        <v>3</v>
      </c>
      <c r="G250" s="28">
        <v>3</v>
      </c>
      <c r="H250" s="28">
        <v>333</v>
      </c>
      <c r="I250" s="27" t="s">
        <v>4968</v>
      </c>
    </row>
    <row r="251" spans="1:9" x14ac:dyDescent="0.3">
      <c r="A251" s="27" t="s">
        <v>2463</v>
      </c>
      <c r="B251" s="28">
        <v>52</v>
      </c>
      <c r="C251" s="28">
        <v>7</v>
      </c>
      <c r="D251" s="17">
        <v>1216.3800000000001</v>
      </c>
      <c r="E251" s="28">
        <v>2</v>
      </c>
      <c r="F251" s="28">
        <v>3</v>
      </c>
      <c r="G251" s="28">
        <v>2</v>
      </c>
      <c r="H251" s="28">
        <v>232</v>
      </c>
      <c r="I251" s="27" t="s">
        <v>4967</v>
      </c>
    </row>
    <row r="252" spans="1:9" x14ac:dyDescent="0.3">
      <c r="A252" s="27" t="s">
        <v>2472</v>
      </c>
      <c r="B252" s="28">
        <v>89</v>
      </c>
      <c r="C252" s="28">
        <v>6</v>
      </c>
      <c r="D252" s="17">
        <v>2150.91</v>
      </c>
      <c r="E252" s="28">
        <v>2</v>
      </c>
      <c r="F252" s="28">
        <v>3</v>
      </c>
      <c r="G252" s="28">
        <v>3</v>
      </c>
      <c r="H252" s="28">
        <v>233</v>
      </c>
      <c r="I252" s="27" t="s">
        <v>4967</v>
      </c>
    </row>
    <row r="253" spans="1:9" x14ac:dyDescent="0.3">
      <c r="A253" s="27" t="s">
        <v>2480</v>
      </c>
      <c r="B253" s="28">
        <v>22</v>
      </c>
      <c r="C253" s="28">
        <v>11</v>
      </c>
      <c r="D253" s="17">
        <v>2488.42</v>
      </c>
      <c r="E253" s="28">
        <v>3</v>
      </c>
      <c r="F253" s="28">
        <v>4</v>
      </c>
      <c r="G253" s="28">
        <v>4</v>
      </c>
      <c r="H253" s="28">
        <v>344</v>
      </c>
      <c r="I253" s="27" t="s">
        <v>4968</v>
      </c>
    </row>
    <row r="254" spans="1:9" x14ac:dyDescent="0.3">
      <c r="A254" s="27" t="s">
        <v>2493</v>
      </c>
      <c r="B254" s="28">
        <v>10</v>
      </c>
      <c r="C254" s="28">
        <v>12</v>
      </c>
      <c r="D254" s="17">
        <v>2398.8199999999997</v>
      </c>
      <c r="E254" s="28">
        <v>4</v>
      </c>
      <c r="F254" s="28">
        <v>5</v>
      </c>
      <c r="G254" s="28">
        <v>4</v>
      </c>
      <c r="H254" s="28">
        <v>454</v>
      </c>
      <c r="I254" s="27" t="s">
        <v>4969</v>
      </c>
    </row>
    <row r="255" spans="1:9" x14ac:dyDescent="0.3">
      <c r="A255" s="27" t="s">
        <v>2507</v>
      </c>
      <c r="B255" s="28">
        <v>17</v>
      </c>
      <c r="C255" s="28">
        <v>15</v>
      </c>
      <c r="D255" s="17">
        <v>4046.0099999999998</v>
      </c>
      <c r="E255" s="28">
        <v>4</v>
      </c>
      <c r="F255" s="28">
        <v>5</v>
      </c>
      <c r="G255" s="28">
        <v>5</v>
      </c>
      <c r="H255" s="28">
        <v>455</v>
      </c>
      <c r="I255" s="27" t="s">
        <v>4969</v>
      </c>
    </row>
    <row r="256" spans="1:9" x14ac:dyDescent="0.3">
      <c r="A256" s="27" t="s">
        <v>2524</v>
      </c>
      <c r="B256" s="28">
        <v>101</v>
      </c>
      <c r="C256" s="28">
        <v>12</v>
      </c>
      <c r="D256" s="17">
        <v>3023.6</v>
      </c>
      <c r="E256" s="28">
        <v>1</v>
      </c>
      <c r="F256" s="28">
        <v>5</v>
      </c>
      <c r="G256" s="28">
        <v>4</v>
      </c>
      <c r="H256" s="28">
        <v>154</v>
      </c>
      <c r="I256" s="27" t="s">
        <v>4967</v>
      </c>
    </row>
    <row r="257" spans="1:9" x14ac:dyDescent="0.3">
      <c r="A257" s="27" t="s">
        <v>2538</v>
      </c>
      <c r="B257" s="28">
        <v>36</v>
      </c>
      <c r="C257" s="28">
        <v>12</v>
      </c>
      <c r="D257" s="17">
        <v>3447.73</v>
      </c>
      <c r="E257" s="28">
        <v>3</v>
      </c>
      <c r="F257" s="28">
        <v>5</v>
      </c>
      <c r="G257" s="28">
        <v>5</v>
      </c>
      <c r="H257" s="28">
        <v>355</v>
      </c>
      <c r="I257" s="27" t="s">
        <v>4968</v>
      </c>
    </row>
    <row r="258" spans="1:9" x14ac:dyDescent="0.3">
      <c r="A258" s="27" t="s">
        <v>2552</v>
      </c>
      <c r="B258" s="28">
        <v>40</v>
      </c>
      <c r="C258" s="28">
        <v>2</v>
      </c>
      <c r="D258" s="17">
        <v>555.79999999999995</v>
      </c>
      <c r="E258" s="28">
        <v>3</v>
      </c>
      <c r="F258" s="28">
        <v>1</v>
      </c>
      <c r="G258" s="28">
        <v>1</v>
      </c>
      <c r="H258" s="28">
        <v>311</v>
      </c>
      <c r="I258" s="27" t="s">
        <v>4972</v>
      </c>
    </row>
    <row r="259" spans="1:9" x14ac:dyDescent="0.3">
      <c r="A259" s="27" t="s">
        <v>2556</v>
      </c>
      <c r="B259" s="28">
        <v>41</v>
      </c>
      <c r="C259" s="28">
        <v>5</v>
      </c>
      <c r="D259" s="17">
        <v>1214.8900000000001</v>
      </c>
      <c r="E259" s="28">
        <v>3</v>
      </c>
      <c r="F259" s="28">
        <v>2</v>
      </c>
      <c r="G259" s="28">
        <v>2</v>
      </c>
      <c r="H259" s="28">
        <v>322</v>
      </c>
      <c r="I259" s="27" t="s">
        <v>4972</v>
      </c>
    </row>
    <row r="260" spans="1:9" x14ac:dyDescent="0.3">
      <c r="A260" s="27" t="s">
        <v>2563</v>
      </c>
      <c r="B260" s="28">
        <v>51</v>
      </c>
      <c r="C260" s="28">
        <v>14</v>
      </c>
      <c r="D260" s="17">
        <v>3482.53</v>
      </c>
      <c r="E260" s="28">
        <v>2</v>
      </c>
      <c r="F260" s="28">
        <v>5</v>
      </c>
      <c r="G260" s="28">
        <v>5</v>
      </c>
      <c r="H260" s="28">
        <v>255</v>
      </c>
      <c r="I260" s="27" t="s">
        <v>4967</v>
      </c>
    </row>
    <row r="261" spans="1:9" x14ac:dyDescent="0.3">
      <c r="A261" s="27" t="s">
        <v>2579</v>
      </c>
      <c r="B261" s="28">
        <v>26</v>
      </c>
      <c r="C261" s="28">
        <v>2</v>
      </c>
      <c r="D261" s="17">
        <v>674.04</v>
      </c>
      <c r="E261" s="28">
        <v>3</v>
      </c>
      <c r="F261" s="28">
        <v>1</v>
      </c>
      <c r="G261" s="28">
        <v>1</v>
      </c>
      <c r="H261" s="28">
        <v>311</v>
      </c>
      <c r="I261" s="27" t="s">
        <v>4972</v>
      </c>
    </row>
    <row r="262" spans="1:9" x14ac:dyDescent="0.3">
      <c r="A262" s="27" t="s">
        <v>2583</v>
      </c>
      <c r="B262" s="28">
        <v>170</v>
      </c>
      <c r="C262" s="28">
        <v>4</v>
      </c>
      <c r="D262" s="17">
        <v>586.89</v>
      </c>
      <c r="E262" s="28">
        <v>1</v>
      </c>
      <c r="F262" s="28">
        <v>2</v>
      </c>
      <c r="G262" s="28">
        <v>1</v>
      </c>
      <c r="H262" s="28">
        <v>121</v>
      </c>
      <c r="I262" s="27" t="s">
        <v>4970</v>
      </c>
    </row>
    <row r="263" spans="1:9" x14ac:dyDescent="0.3">
      <c r="A263" s="27" t="s">
        <v>2589</v>
      </c>
      <c r="B263" s="28">
        <v>217</v>
      </c>
      <c r="C263" s="28">
        <v>4</v>
      </c>
      <c r="D263" s="17">
        <v>1230.06</v>
      </c>
      <c r="E263" s="28">
        <v>1</v>
      </c>
      <c r="F263" s="28">
        <v>2</v>
      </c>
      <c r="G263" s="28">
        <v>2</v>
      </c>
      <c r="H263" s="28">
        <v>122</v>
      </c>
      <c r="I263" s="27" t="s">
        <v>4970</v>
      </c>
    </row>
    <row r="264" spans="1:9" x14ac:dyDescent="0.3">
      <c r="A264" s="27" t="s">
        <v>2595</v>
      </c>
      <c r="B264" s="28">
        <v>12</v>
      </c>
      <c r="C264" s="28">
        <v>5</v>
      </c>
      <c r="D264" s="17">
        <v>868.54</v>
      </c>
      <c r="E264" s="28">
        <v>4</v>
      </c>
      <c r="F264" s="28">
        <v>2</v>
      </c>
      <c r="G264" s="28">
        <v>1</v>
      </c>
      <c r="H264" s="28">
        <v>421</v>
      </c>
      <c r="I264" s="27" t="s">
        <v>4971</v>
      </c>
    </row>
    <row r="265" spans="1:9" x14ac:dyDescent="0.3">
      <c r="A265" s="27" t="s">
        <v>2602</v>
      </c>
      <c r="B265" s="28">
        <v>45</v>
      </c>
      <c r="C265" s="28">
        <v>11</v>
      </c>
      <c r="D265" s="17">
        <v>2399.6000000000004</v>
      </c>
      <c r="E265" s="28">
        <v>2</v>
      </c>
      <c r="F265" s="28">
        <v>4</v>
      </c>
      <c r="G265" s="28">
        <v>4</v>
      </c>
      <c r="H265" s="28">
        <v>244</v>
      </c>
      <c r="I265" s="27" t="s">
        <v>4967</v>
      </c>
    </row>
    <row r="266" spans="1:9" x14ac:dyDescent="0.3">
      <c r="A266" s="27" t="s">
        <v>2615</v>
      </c>
      <c r="B266" s="28">
        <v>4</v>
      </c>
      <c r="C266" s="28">
        <v>13</v>
      </c>
      <c r="D266" s="17">
        <v>3344.87</v>
      </c>
      <c r="E266" s="28">
        <v>5</v>
      </c>
      <c r="F266" s="28">
        <v>5</v>
      </c>
      <c r="G266" s="28">
        <v>5</v>
      </c>
      <c r="H266" s="28">
        <v>555</v>
      </c>
      <c r="I266" s="27" t="s">
        <v>4969</v>
      </c>
    </row>
    <row r="267" spans="1:9" x14ac:dyDescent="0.3">
      <c r="A267" s="27" t="s">
        <v>2630</v>
      </c>
      <c r="B267" s="28">
        <v>176</v>
      </c>
      <c r="C267" s="28">
        <v>7</v>
      </c>
      <c r="D267" s="17">
        <v>1896.1100000000001</v>
      </c>
      <c r="E267" s="28">
        <v>1</v>
      </c>
      <c r="F267" s="28">
        <v>3</v>
      </c>
      <c r="G267" s="28">
        <v>3</v>
      </c>
      <c r="H267" s="28">
        <v>133</v>
      </c>
      <c r="I267" s="27" t="s">
        <v>4967</v>
      </c>
    </row>
    <row r="268" spans="1:9" x14ac:dyDescent="0.3">
      <c r="A268" s="27" t="s">
        <v>2639</v>
      </c>
      <c r="B268" s="28">
        <v>129</v>
      </c>
      <c r="C268" s="28">
        <v>5</v>
      </c>
      <c r="D268" s="17">
        <v>1586.5700000000002</v>
      </c>
      <c r="E268" s="28">
        <v>1</v>
      </c>
      <c r="F268" s="28">
        <v>2</v>
      </c>
      <c r="G268" s="28">
        <v>3</v>
      </c>
      <c r="H268" s="28">
        <v>123</v>
      </c>
      <c r="I268" s="27" t="s">
        <v>4970</v>
      </c>
    </row>
    <row r="269" spans="1:9" x14ac:dyDescent="0.3">
      <c r="A269" s="27" t="s">
        <v>2646</v>
      </c>
      <c r="B269" s="28">
        <v>24</v>
      </c>
      <c r="C269" s="28">
        <v>12</v>
      </c>
      <c r="D269" s="17">
        <v>2896.9000000000005</v>
      </c>
      <c r="E269" s="28">
        <v>3</v>
      </c>
      <c r="F269" s="28">
        <v>5</v>
      </c>
      <c r="G269" s="28">
        <v>4</v>
      </c>
      <c r="H269" s="28">
        <v>354</v>
      </c>
      <c r="I269" s="27" t="s">
        <v>4968</v>
      </c>
    </row>
    <row r="270" spans="1:9" x14ac:dyDescent="0.3">
      <c r="A270" s="27" t="s">
        <v>2660</v>
      </c>
      <c r="B270" s="28">
        <v>28</v>
      </c>
      <c r="C270" s="28">
        <v>8</v>
      </c>
      <c r="D270" s="17">
        <v>1911.36</v>
      </c>
      <c r="E270" s="28">
        <v>3</v>
      </c>
      <c r="F270" s="28">
        <v>3</v>
      </c>
      <c r="G270" s="28">
        <v>3</v>
      </c>
      <c r="H270" s="28">
        <v>333</v>
      </c>
      <c r="I270" s="27" t="s">
        <v>4968</v>
      </c>
    </row>
    <row r="271" spans="1:9" x14ac:dyDescent="0.3">
      <c r="A271" s="27" t="s">
        <v>2670</v>
      </c>
      <c r="B271" s="28">
        <v>2</v>
      </c>
      <c r="C271" s="28">
        <v>7</v>
      </c>
      <c r="D271" s="17">
        <v>2242.0100000000002</v>
      </c>
      <c r="E271" s="28">
        <v>5</v>
      </c>
      <c r="F271" s="28">
        <v>3</v>
      </c>
      <c r="G271" s="28">
        <v>3</v>
      </c>
      <c r="H271" s="28">
        <v>533</v>
      </c>
      <c r="I271" s="27" t="s">
        <v>4968</v>
      </c>
    </row>
    <row r="272" spans="1:9" x14ac:dyDescent="0.3">
      <c r="A272" s="27" t="s">
        <v>2679</v>
      </c>
      <c r="B272" s="28">
        <v>21</v>
      </c>
      <c r="C272" s="28">
        <v>8</v>
      </c>
      <c r="D272" s="17">
        <v>1868.44</v>
      </c>
      <c r="E272" s="28">
        <v>3</v>
      </c>
      <c r="F272" s="28">
        <v>3</v>
      </c>
      <c r="G272" s="28">
        <v>3</v>
      </c>
      <c r="H272" s="28">
        <v>333</v>
      </c>
      <c r="I272" s="27" t="s">
        <v>4968</v>
      </c>
    </row>
    <row r="273" spans="1:9" x14ac:dyDescent="0.3">
      <c r="A273" s="27" t="s">
        <v>2689</v>
      </c>
      <c r="B273" s="28">
        <v>26</v>
      </c>
      <c r="C273" s="28">
        <v>7</v>
      </c>
      <c r="D273" s="17">
        <v>2168.09</v>
      </c>
      <c r="E273" s="28">
        <v>3</v>
      </c>
      <c r="F273" s="28">
        <v>3</v>
      </c>
      <c r="G273" s="28">
        <v>3</v>
      </c>
      <c r="H273" s="28">
        <v>333</v>
      </c>
      <c r="I273" s="27" t="s">
        <v>4968</v>
      </c>
    </row>
    <row r="274" spans="1:9" x14ac:dyDescent="0.3">
      <c r="A274" s="27" t="s">
        <v>2698</v>
      </c>
      <c r="B274" s="28">
        <v>42</v>
      </c>
      <c r="C274" s="28">
        <v>4</v>
      </c>
      <c r="D274" s="17">
        <v>1160.8900000000001</v>
      </c>
      <c r="E274" s="28">
        <v>3</v>
      </c>
      <c r="F274" s="28">
        <v>2</v>
      </c>
      <c r="G274" s="28">
        <v>2</v>
      </c>
      <c r="H274" s="28">
        <v>322</v>
      </c>
      <c r="I274" s="27" t="s">
        <v>4972</v>
      </c>
    </row>
    <row r="275" spans="1:9" x14ac:dyDescent="0.3">
      <c r="A275" s="27" t="s">
        <v>2704</v>
      </c>
      <c r="B275" s="28">
        <v>65</v>
      </c>
      <c r="C275" s="28">
        <v>6</v>
      </c>
      <c r="D275" s="17">
        <v>1494.98</v>
      </c>
      <c r="E275" s="28">
        <v>2</v>
      </c>
      <c r="F275" s="28">
        <v>3</v>
      </c>
      <c r="G275" s="28">
        <v>2</v>
      </c>
      <c r="H275" s="28">
        <v>232</v>
      </c>
      <c r="I275" s="27" t="s">
        <v>4967</v>
      </c>
    </row>
    <row r="276" spans="1:9" x14ac:dyDescent="0.3">
      <c r="A276" s="27" t="s">
        <v>2712</v>
      </c>
      <c r="B276" s="28">
        <v>6</v>
      </c>
      <c r="C276" s="28">
        <v>1</v>
      </c>
      <c r="D276" s="17">
        <v>296.97000000000003</v>
      </c>
      <c r="E276" s="28">
        <v>5</v>
      </c>
      <c r="F276" s="28">
        <v>1</v>
      </c>
      <c r="G276" s="28">
        <v>1</v>
      </c>
      <c r="H276" s="28">
        <v>511</v>
      </c>
      <c r="I276" s="27" t="s">
        <v>4971</v>
      </c>
    </row>
    <row r="277" spans="1:9" x14ac:dyDescent="0.3">
      <c r="A277" s="27" t="s">
        <v>2715</v>
      </c>
      <c r="B277" s="28">
        <v>20</v>
      </c>
      <c r="C277" s="28">
        <v>2</v>
      </c>
      <c r="D277" s="17">
        <v>477.83</v>
      </c>
      <c r="E277" s="28">
        <v>4</v>
      </c>
      <c r="F277" s="28">
        <v>1</v>
      </c>
      <c r="G277" s="28">
        <v>1</v>
      </c>
      <c r="H277" s="28">
        <v>411</v>
      </c>
      <c r="I277" s="27" t="s">
        <v>4971</v>
      </c>
    </row>
    <row r="278" spans="1:9" x14ac:dyDescent="0.3">
      <c r="A278" s="27" t="s">
        <v>2719</v>
      </c>
      <c r="B278" s="28">
        <v>16</v>
      </c>
      <c r="C278" s="28">
        <v>13</v>
      </c>
      <c r="D278" s="17">
        <v>3214.01</v>
      </c>
      <c r="E278" s="28">
        <v>4</v>
      </c>
      <c r="F278" s="28">
        <v>5</v>
      </c>
      <c r="G278" s="28">
        <v>5</v>
      </c>
      <c r="H278" s="28">
        <v>455</v>
      </c>
      <c r="I278" s="27" t="s">
        <v>4969</v>
      </c>
    </row>
    <row r="279" spans="1:9" x14ac:dyDescent="0.3">
      <c r="A279" s="27" t="s">
        <v>2734</v>
      </c>
      <c r="B279" s="28">
        <v>73</v>
      </c>
      <c r="C279" s="28">
        <v>12</v>
      </c>
      <c r="D279" s="17">
        <v>3354.7500000000005</v>
      </c>
      <c r="E279" s="28">
        <v>2</v>
      </c>
      <c r="F279" s="28">
        <v>5</v>
      </c>
      <c r="G279" s="28">
        <v>5</v>
      </c>
      <c r="H279" s="28">
        <v>255</v>
      </c>
      <c r="I279" s="27" t="s">
        <v>4967</v>
      </c>
    </row>
    <row r="280" spans="1:9" x14ac:dyDescent="0.3">
      <c r="A280" s="27" t="s">
        <v>2748</v>
      </c>
      <c r="B280" s="28">
        <v>12</v>
      </c>
      <c r="C280" s="28">
        <v>4</v>
      </c>
      <c r="D280" s="17">
        <v>1504.62</v>
      </c>
      <c r="E280" s="28">
        <v>4</v>
      </c>
      <c r="F280" s="28">
        <v>2</v>
      </c>
      <c r="G280" s="28">
        <v>2</v>
      </c>
      <c r="H280" s="28">
        <v>422</v>
      </c>
      <c r="I280" s="27" t="s">
        <v>4971</v>
      </c>
    </row>
    <row r="281" spans="1:9" x14ac:dyDescent="0.3">
      <c r="A281" s="27" t="s">
        <v>2754</v>
      </c>
      <c r="B281" s="28">
        <v>41</v>
      </c>
      <c r="C281" s="28">
        <v>13</v>
      </c>
      <c r="D281" s="17">
        <v>2670.6000000000004</v>
      </c>
      <c r="E281" s="28">
        <v>3</v>
      </c>
      <c r="F281" s="28">
        <v>5</v>
      </c>
      <c r="G281" s="28">
        <v>4</v>
      </c>
      <c r="H281" s="28">
        <v>354</v>
      </c>
      <c r="I281" s="27" t="s">
        <v>4968</v>
      </c>
    </row>
    <row r="282" spans="1:9" x14ac:dyDescent="0.3">
      <c r="A282" s="27" t="s">
        <v>2769</v>
      </c>
      <c r="B282" s="28">
        <v>6</v>
      </c>
      <c r="C282" s="28">
        <v>11</v>
      </c>
      <c r="D282" s="17">
        <v>2323.83</v>
      </c>
      <c r="E282" s="28">
        <v>5</v>
      </c>
      <c r="F282" s="28">
        <v>4</v>
      </c>
      <c r="G282" s="28">
        <v>4</v>
      </c>
      <c r="H282" s="28">
        <v>544</v>
      </c>
      <c r="I282" s="27" t="s">
        <v>4969</v>
      </c>
    </row>
    <row r="283" spans="1:9" x14ac:dyDescent="0.3">
      <c r="A283" s="27" t="s">
        <v>2782</v>
      </c>
      <c r="B283" s="28">
        <v>98</v>
      </c>
      <c r="C283" s="28">
        <v>7</v>
      </c>
      <c r="D283" s="17">
        <v>827.06</v>
      </c>
      <c r="E283" s="28">
        <v>1</v>
      </c>
      <c r="F283" s="28">
        <v>3</v>
      </c>
      <c r="G283" s="28">
        <v>1</v>
      </c>
      <c r="H283" s="28">
        <v>131</v>
      </c>
      <c r="I283" s="27" t="s">
        <v>4967</v>
      </c>
    </row>
    <row r="284" spans="1:9" x14ac:dyDescent="0.3">
      <c r="A284" s="27" t="s">
        <v>2791</v>
      </c>
      <c r="B284" s="28">
        <v>111</v>
      </c>
      <c r="C284" s="28">
        <v>9</v>
      </c>
      <c r="D284" s="17">
        <v>2291.09</v>
      </c>
      <c r="E284" s="28">
        <v>1</v>
      </c>
      <c r="F284" s="28">
        <v>4</v>
      </c>
      <c r="G284" s="28">
        <v>3</v>
      </c>
      <c r="H284" s="28">
        <v>143</v>
      </c>
      <c r="I284" s="27" t="s">
        <v>4967</v>
      </c>
    </row>
    <row r="285" spans="1:9" x14ac:dyDescent="0.3">
      <c r="A285" s="27" t="s">
        <v>2802</v>
      </c>
      <c r="B285" s="28">
        <v>148</v>
      </c>
      <c r="C285" s="28">
        <v>3</v>
      </c>
      <c r="D285" s="17">
        <v>804.69</v>
      </c>
      <c r="E285" s="28">
        <v>1</v>
      </c>
      <c r="F285" s="28">
        <v>1</v>
      </c>
      <c r="G285" s="28">
        <v>1</v>
      </c>
      <c r="H285" s="28">
        <v>111</v>
      </c>
      <c r="I285" s="27" t="s">
        <v>4970</v>
      </c>
    </row>
    <row r="286" spans="1:9" x14ac:dyDescent="0.3">
      <c r="A286" s="27" t="s">
        <v>2807</v>
      </c>
      <c r="B286" s="28">
        <v>16</v>
      </c>
      <c r="C286" s="28">
        <v>5</v>
      </c>
      <c r="D286" s="17">
        <v>1293.48</v>
      </c>
      <c r="E286" s="28">
        <v>4</v>
      </c>
      <c r="F286" s="28">
        <v>2</v>
      </c>
      <c r="G286" s="28">
        <v>2</v>
      </c>
      <c r="H286" s="28">
        <v>422</v>
      </c>
      <c r="I286" s="27" t="s">
        <v>4971</v>
      </c>
    </row>
    <row r="287" spans="1:9" x14ac:dyDescent="0.3">
      <c r="A287" s="27" t="s">
        <v>2814</v>
      </c>
      <c r="B287" s="28">
        <v>36</v>
      </c>
      <c r="C287" s="28">
        <v>13</v>
      </c>
      <c r="D287" s="17">
        <v>3152.33</v>
      </c>
      <c r="E287" s="28">
        <v>3</v>
      </c>
      <c r="F287" s="28">
        <v>5</v>
      </c>
      <c r="G287" s="28">
        <v>5</v>
      </c>
      <c r="H287" s="28">
        <v>355</v>
      </c>
      <c r="I287" s="27" t="s">
        <v>4968</v>
      </c>
    </row>
    <row r="288" spans="1:9" x14ac:dyDescent="0.3">
      <c r="A288" s="27" t="s">
        <v>2829</v>
      </c>
      <c r="B288" s="28">
        <v>7</v>
      </c>
      <c r="C288" s="28">
        <v>2</v>
      </c>
      <c r="D288" s="17">
        <v>379.1</v>
      </c>
      <c r="E288" s="28">
        <v>5</v>
      </c>
      <c r="F288" s="28">
        <v>1</v>
      </c>
      <c r="G288" s="28">
        <v>1</v>
      </c>
      <c r="H288" s="28">
        <v>511</v>
      </c>
      <c r="I288" s="27" t="s">
        <v>4971</v>
      </c>
    </row>
    <row r="289" spans="1:9" x14ac:dyDescent="0.3">
      <c r="A289" s="27" t="s">
        <v>2833</v>
      </c>
      <c r="B289" s="28">
        <v>94</v>
      </c>
      <c r="C289" s="28">
        <v>5</v>
      </c>
      <c r="D289" s="17">
        <v>1639.52</v>
      </c>
      <c r="E289" s="28">
        <v>1</v>
      </c>
      <c r="F289" s="28">
        <v>2</v>
      </c>
      <c r="G289" s="28">
        <v>3</v>
      </c>
      <c r="H289" s="28">
        <v>123</v>
      </c>
      <c r="I289" s="27" t="s">
        <v>4970</v>
      </c>
    </row>
    <row r="290" spans="1:9" x14ac:dyDescent="0.3">
      <c r="A290" s="27" t="s">
        <v>2840</v>
      </c>
      <c r="B290" s="28">
        <v>1</v>
      </c>
      <c r="C290" s="28">
        <v>9</v>
      </c>
      <c r="D290" s="17">
        <v>2091.21</v>
      </c>
      <c r="E290" s="28">
        <v>5</v>
      </c>
      <c r="F290" s="28">
        <v>4</v>
      </c>
      <c r="G290" s="28">
        <v>3</v>
      </c>
      <c r="H290" s="28">
        <v>543</v>
      </c>
      <c r="I290" s="27" t="s">
        <v>4968</v>
      </c>
    </row>
    <row r="291" spans="1:9" x14ac:dyDescent="0.3">
      <c r="A291" s="27" t="s">
        <v>2851</v>
      </c>
      <c r="B291" s="28">
        <v>17</v>
      </c>
      <c r="C291" s="28">
        <v>8</v>
      </c>
      <c r="D291" s="17">
        <v>1538.2400000000002</v>
      </c>
      <c r="E291" s="28">
        <v>4</v>
      </c>
      <c r="F291" s="28">
        <v>3</v>
      </c>
      <c r="G291" s="28">
        <v>2</v>
      </c>
      <c r="H291" s="28">
        <v>432</v>
      </c>
      <c r="I291" s="27" t="s">
        <v>4973</v>
      </c>
    </row>
    <row r="292" spans="1:9" x14ac:dyDescent="0.3">
      <c r="A292" s="27" t="s">
        <v>2861</v>
      </c>
      <c r="B292" s="28">
        <v>1</v>
      </c>
      <c r="C292" s="28">
        <v>13</v>
      </c>
      <c r="D292" s="17">
        <v>3279.9100000000003</v>
      </c>
      <c r="E292" s="28">
        <v>5</v>
      </c>
      <c r="F292" s="28">
        <v>5</v>
      </c>
      <c r="G292" s="28">
        <v>5</v>
      </c>
      <c r="H292" s="28">
        <v>555</v>
      </c>
      <c r="I292" s="27" t="s">
        <v>4969</v>
      </c>
    </row>
    <row r="293" spans="1:9" x14ac:dyDescent="0.3">
      <c r="A293" s="27" t="s">
        <v>2876</v>
      </c>
      <c r="B293" s="28">
        <v>9</v>
      </c>
      <c r="C293" s="28">
        <v>10</v>
      </c>
      <c r="D293" s="17">
        <v>2787.02</v>
      </c>
      <c r="E293" s="28">
        <v>4</v>
      </c>
      <c r="F293" s="28">
        <v>4</v>
      </c>
      <c r="G293" s="28">
        <v>4</v>
      </c>
      <c r="H293" s="28">
        <v>444</v>
      </c>
      <c r="I293" s="27" t="s">
        <v>4969</v>
      </c>
    </row>
    <row r="294" spans="1:9" x14ac:dyDescent="0.3">
      <c r="A294" s="27" t="s">
        <v>2888</v>
      </c>
      <c r="B294" s="28">
        <v>1</v>
      </c>
      <c r="C294" s="28">
        <v>14</v>
      </c>
      <c r="D294" s="17">
        <v>3883.0400000000004</v>
      </c>
      <c r="E294" s="28">
        <v>5</v>
      </c>
      <c r="F294" s="28">
        <v>5</v>
      </c>
      <c r="G294" s="28">
        <v>5</v>
      </c>
      <c r="H294" s="28">
        <v>555</v>
      </c>
      <c r="I294" s="27" t="s">
        <v>4969</v>
      </c>
    </row>
    <row r="295" spans="1:9" x14ac:dyDescent="0.3">
      <c r="A295" s="27" t="s">
        <v>2904</v>
      </c>
      <c r="B295" s="28">
        <v>6</v>
      </c>
      <c r="C295" s="28">
        <v>9</v>
      </c>
      <c r="D295" s="17">
        <v>2957.08</v>
      </c>
      <c r="E295" s="28">
        <v>5</v>
      </c>
      <c r="F295" s="28">
        <v>4</v>
      </c>
      <c r="G295" s="28">
        <v>4</v>
      </c>
      <c r="H295" s="28">
        <v>544</v>
      </c>
      <c r="I295" s="27" t="s">
        <v>4969</v>
      </c>
    </row>
    <row r="296" spans="1:9" x14ac:dyDescent="0.3">
      <c r="A296" s="27" t="s">
        <v>2915</v>
      </c>
      <c r="B296" s="28">
        <v>215</v>
      </c>
      <c r="C296" s="28">
        <v>4</v>
      </c>
      <c r="D296" s="17">
        <v>1015.8399999999999</v>
      </c>
      <c r="E296" s="28">
        <v>1</v>
      </c>
      <c r="F296" s="28">
        <v>2</v>
      </c>
      <c r="G296" s="28">
        <v>2</v>
      </c>
      <c r="H296" s="28">
        <v>122</v>
      </c>
      <c r="I296" s="27" t="s">
        <v>4970</v>
      </c>
    </row>
    <row r="297" spans="1:9" x14ac:dyDescent="0.3">
      <c r="A297" s="27" t="s">
        <v>2921</v>
      </c>
      <c r="B297" s="28">
        <v>19</v>
      </c>
      <c r="C297" s="28">
        <v>9</v>
      </c>
      <c r="D297" s="17">
        <v>2384.7399999999998</v>
      </c>
      <c r="E297" s="28">
        <v>4</v>
      </c>
      <c r="F297" s="28">
        <v>4</v>
      </c>
      <c r="G297" s="28">
        <v>4</v>
      </c>
      <c r="H297" s="28">
        <v>444</v>
      </c>
      <c r="I297" s="27" t="s">
        <v>4969</v>
      </c>
    </row>
    <row r="298" spans="1:9" x14ac:dyDescent="0.3">
      <c r="A298" s="27" t="s">
        <v>2932</v>
      </c>
      <c r="B298" s="28">
        <v>9</v>
      </c>
      <c r="C298" s="28">
        <v>10</v>
      </c>
      <c r="D298" s="17">
        <v>2590.87</v>
      </c>
      <c r="E298" s="28">
        <v>4</v>
      </c>
      <c r="F298" s="28">
        <v>4</v>
      </c>
      <c r="G298" s="28">
        <v>4</v>
      </c>
      <c r="H298" s="28">
        <v>444</v>
      </c>
      <c r="I298" s="27" t="s">
        <v>4969</v>
      </c>
    </row>
    <row r="299" spans="1:9" x14ac:dyDescent="0.3">
      <c r="A299" s="27" t="s">
        <v>2944</v>
      </c>
      <c r="B299" s="28">
        <v>10</v>
      </c>
      <c r="C299" s="28">
        <v>15</v>
      </c>
      <c r="D299" s="17">
        <v>3880.0500000000006</v>
      </c>
      <c r="E299" s="28">
        <v>4</v>
      </c>
      <c r="F299" s="28">
        <v>5</v>
      </c>
      <c r="G299" s="28">
        <v>5</v>
      </c>
      <c r="H299" s="28">
        <v>455</v>
      </c>
      <c r="I299" s="27" t="s">
        <v>4969</v>
      </c>
    </row>
    <row r="300" spans="1:9" x14ac:dyDescent="0.3">
      <c r="A300" s="27" t="s">
        <v>2961</v>
      </c>
      <c r="B300" s="28">
        <v>264</v>
      </c>
      <c r="C300" s="28">
        <v>11</v>
      </c>
      <c r="D300" s="17">
        <v>2155.9900000000002</v>
      </c>
      <c r="E300" s="28">
        <v>1</v>
      </c>
      <c r="F300" s="28">
        <v>4</v>
      </c>
      <c r="G300" s="28">
        <v>3</v>
      </c>
      <c r="H300" s="28">
        <v>143</v>
      </c>
      <c r="I300" s="27" t="s">
        <v>4967</v>
      </c>
    </row>
    <row r="301" spans="1:9" x14ac:dyDescent="0.3">
      <c r="A301" s="27" t="s">
        <v>2974</v>
      </c>
      <c r="B301" s="28">
        <v>9</v>
      </c>
      <c r="C301" s="28">
        <v>8</v>
      </c>
      <c r="D301" s="17">
        <v>1705.1599999999999</v>
      </c>
      <c r="E301" s="28">
        <v>4</v>
      </c>
      <c r="F301" s="28">
        <v>3</v>
      </c>
      <c r="G301" s="28">
        <v>3</v>
      </c>
      <c r="H301" s="28">
        <v>433</v>
      </c>
      <c r="I301" s="27" t="s">
        <v>4968</v>
      </c>
    </row>
    <row r="302" spans="1:9" x14ac:dyDescent="0.3">
      <c r="A302" s="27" t="s">
        <v>2984</v>
      </c>
      <c r="B302" s="28">
        <v>3</v>
      </c>
      <c r="C302" s="28">
        <v>8</v>
      </c>
      <c r="D302" s="17">
        <v>2121.23</v>
      </c>
      <c r="E302" s="28">
        <v>5</v>
      </c>
      <c r="F302" s="28">
        <v>3</v>
      </c>
      <c r="G302" s="28">
        <v>3</v>
      </c>
      <c r="H302" s="28">
        <v>533</v>
      </c>
      <c r="I302" s="27" t="s">
        <v>4968</v>
      </c>
    </row>
    <row r="303" spans="1:9" x14ac:dyDescent="0.3">
      <c r="A303" s="27" t="s">
        <v>2994</v>
      </c>
      <c r="B303" s="28">
        <v>23</v>
      </c>
      <c r="C303" s="28">
        <v>7</v>
      </c>
      <c r="D303" s="17">
        <v>2212.5299999999997</v>
      </c>
      <c r="E303" s="28">
        <v>3</v>
      </c>
      <c r="F303" s="28">
        <v>3</v>
      </c>
      <c r="G303" s="28">
        <v>3</v>
      </c>
      <c r="H303" s="28">
        <v>333</v>
      </c>
      <c r="I303" s="27" t="s">
        <v>4968</v>
      </c>
    </row>
    <row r="304" spans="1:9" x14ac:dyDescent="0.3">
      <c r="A304" s="27" t="s">
        <v>3003</v>
      </c>
      <c r="B304" s="28">
        <v>27</v>
      </c>
      <c r="C304" s="28">
        <v>15</v>
      </c>
      <c r="D304" s="17">
        <v>3899.35</v>
      </c>
      <c r="E304" s="28">
        <v>3</v>
      </c>
      <c r="F304" s="28">
        <v>5</v>
      </c>
      <c r="G304" s="28">
        <v>5</v>
      </c>
      <c r="H304" s="28">
        <v>355</v>
      </c>
      <c r="I304" s="27" t="s">
        <v>4968</v>
      </c>
    </row>
    <row r="305" spans="1:9" x14ac:dyDescent="0.3">
      <c r="A305" s="27" t="s">
        <v>3020</v>
      </c>
      <c r="B305" s="28">
        <v>21</v>
      </c>
      <c r="C305" s="28">
        <v>1</v>
      </c>
      <c r="D305" s="17">
        <v>42.54</v>
      </c>
      <c r="E305" s="28">
        <v>3</v>
      </c>
      <c r="F305" s="28">
        <v>1</v>
      </c>
      <c r="G305" s="28">
        <v>1</v>
      </c>
      <c r="H305" s="28">
        <v>311</v>
      </c>
      <c r="I305" s="27" t="s">
        <v>4972</v>
      </c>
    </row>
    <row r="306" spans="1:9" x14ac:dyDescent="0.3">
      <c r="A306" s="27" t="s">
        <v>3023</v>
      </c>
      <c r="B306" s="28">
        <v>1</v>
      </c>
      <c r="C306" s="28">
        <v>6</v>
      </c>
      <c r="D306" s="17">
        <v>661.97</v>
      </c>
      <c r="E306" s="28">
        <v>5</v>
      </c>
      <c r="F306" s="28">
        <v>3</v>
      </c>
      <c r="G306" s="28">
        <v>1</v>
      </c>
      <c r="H306" s="28">
        <v>531</v>
      </c>
      <c r="I306" s="27" t="s">
        <v>4972</v>
      </c>
    </row>
    <row r="307" spans="1:9" x14ac:dyDescent="0.3">
      <c r="A307" s="27" t="s">
        <v>3031</v>
      </c>
      <c r="B307" s="28">
        <v>20</v>
      </c>
      <c r="C307" s="28">
        <v>5</v>
      </c>
      <c r="D307" s="17">
        <v>1170.3499999999999</v>
      </c>
      <c r="E307" s="28">
        <v>4</v>
      </c>
      <c r="F307" s="28">
        <v>2</v>
      </c>
      <c r="G307" s="28">
        <v>2</v>
      </c>
      <c r="H307" s="28">
        <v>422</v>
      </c>
      <c r="I307" s="27" t="s">
        <v>4971</v>
      </c>
    </row>
    <row r="308" spans="1:9" x14ac:dyDescent="0.3">
      <c r="A308" s="27" t="s">
        <v>3038</v>
      </c>
      <c r="B308" s="28">
        <v>1</v>
      </c>
      <c r="C308" s="28">
        <v>11</v>
      </c>
      <c r="D308" s="17">
        <v>2477.1200000000003</v>
      </c>
      <c r="E308" s="28">
        <v>5</v>
      </c>
      <c r="F308" s="28">
        <v>4</v>
      </c>
      <c r="G308" s="28">
        <v>4</v>
      </c>
      <c r="H308" s="28">
        <v>544</v>
      </c>
      <c r="I308" s="27" t="s">
        <v>4969</v>
      </c>
    </row>
    <row r="309" spans="1:9" x14ac:dyDescent="0.3">
      <c r="A309" s="27" t="s">
        <v>3051</v>
      </c>
      <c r="B309" s="28">
        <v>5</v>
      </c>
      <c r="C309" s="28">
        <v>7</v>
      </c>
      <c r="D309" s="17">
        <v>907.18</v>
      </c>
      <c r="E309" s="28">
        <v>5</v>
      </c>
      <c r="F309" s="28">
        <v>3</v>
      </c>
      <c r="G309" s="28">
        <v>1</v>
      </c>
      <c r="H309" s="28">
        <v>531</v>
      </c>
      <c r="I309" s="27" t="s">
        <v>4972</v>
      </c>
    </row>
    <row r="310" spans="1:9" x14ac:dyDescent="0.3">
      <c r="A310" s="27" t="s">
        <v>3060</v>
      </c>
      <c r="B310" s="28">
        <v>7</v>
      </c>
      <c r="C310" s="28">
        <v>4</v>
      </c>
      <c r="D310" s="17">
        <v>1318.3999999999999</v>
      </c>
      <c r="E310" s="28">
        <v>5</v>
      </c>
      <c r="F310" s="28">
        <v>2</v>
      </c>
      <c r="G310" s="28">
        <v>2</v>
      </c>
      <c r="H310" s="28">
        <v>522</v>
      </c>
      <c r="I310" s="27" t="s">
        <v>4971</v>
      </c>
    </row>
    <row r="311" spans="1:9" x14ac:dyDescent="0.3">
      <c r="A311" s="27" t="s">
        <v>3066</v>
      </c>
      <c r="B311" s="28">
        <v>170</v>
      </c>
      <c r="C311" s="28">
        <v>1</v>
      </c>
      <c r="D311" s="17">
        <v>359.92</v>
      </c>
      <c r="E311" s="28">
        <v>1</v>
      </c>
      <c r="F311" s="28">
        <v>1</v>
      </c>
      <c r="G311" s="28">
        <v>1</v>
      </c>
      <c r="H311" s="28">
        <v>111</v>
      </c>
      <c r="I311" s="27" t="s">
        <v>4970</v>
      </c>
    </row>
    <row r="312" spans="1:9" x14ac:dyDescent="0.3">
      <c r="A312" s="27" t="s">
        <v>3069</v>
      </c>
      <c r="B312" s="28">
        <v>5</v>
      </c>
      <c r="C312" s="28">
        <v>10</v>
      </c>
      <c r="D312" s="17">
        <v>2383.35</v>
      </c>
      <c r="E312" s="28">
        <v>5</v>
      </c>
      <c r="F312" s="28">
        <v>4</v>
      </c>
      <c r="G312" s="28">
        <v>4</v>
      </c>
      <c r="H312" s="28">
        <v>544</v>
      </c>
      <c r="I312" s="27" t="s">
        <v>4969</v>
      </c>
    </row>
    <row r="313" spans="1:9" x14ac:dyDescent="0.3">
      <c r="A313" s="27" t="s">
        <v>3081</v>
      </c>
      <c r="B313" s="28">
        <v>27</v>
      </c>
      <c r="C313" s="28">
        <v>15</v>
      </c>
      <c r="D313" s="17">
        <v>4545.6899999999996</v>
      </c>
      <c r="E313" s="28">
        <v>3</v>
      </c>
      <c r="F313" s="28">
        <v>5</v>
      </c>
      <c r="G313" s="28">
        <v>5</v>
      </c>
      <c r="H313" s="28">
        <v>355</v>
      </c>
      <c r="I313" s="27" t="s">
        <v>4968</v>
      </c>
    </row>
    <row r="314" spans="1:9" x14ac:dyDescent="0.3">
      <c r="A314" s="27" t="s">
        <v>3098</v>
      </c>
      <c r="B314" s="28">
        <v>7</v>
      </c>
      <c r="C314" s="28">
        <v>7</v>
      </c>
      <c r="D314" s="17">
        <v>1286.2</v>
      </c>
      <c r="E314" s="28">
        <v>5</v>
      </c>
      <c r="F314" s="28">
        <v>3</v>
      </c>
      <c r="G314" s="28">
        <v>2</v>
      </c>
      <c r="H314" s="28">
        <v>532</v>
      </c>
      <c r="I314" s="27" t="s">
        <v>4973</v>
      </c>
    </row>
    <row r="315" spans="1:9" x14ac:dyDescent="0.3">
      <c r="A315" s="27" t="s">
        <v>3107</v>
      </c>
      <c r="B315" s="28">
        <v>210</v>
      </c>
      <c r="C315" s="28">
        <v>1</v>
      </c>
      <c r="D315" s="17">
        <v>119.94</v>
      </c>
      <c r="E315" s="28">
        <v>1</v>
      </c>
      <c r="F315" s="28">
        <v>1</v>
      </c>
      <c r="G315" s="28">
        <v>1</v>
      </c>
      <c r="H315" s="28">
        <v>111</v>
      </c>
      <c r="I315" s="27" t="s">
        <v>4970</v>
      </c>
    </row>
    <row r="316" spans="1:9" x14ac:dyDescent="0.3">
      <c r="A316" s="27" t="s">
        <v>3110</v>
      </c>
      <c r="B316" s="28">
        <v>5</v>
      </c>
      <c r="C316" s="28">
        <v>8</v>
      </c>
      <c r="D316" s="17">
        <v>1758.53</v>
      </c>
      <c r="E316" s="28">
        <v>5</v>
      </c>
      <c r="F316" s="28">
        <v>3</v>
      </c>
      <c r="G316" s="28">
        <v>3</v>
      </c>
      <c r="H316" s="28">
        <v>533</v>
      </c>
      <c r="I316" s="27" t="s">
        <v>4968</v>
      </c>
    </row>
    <row r="317" spans="1:9" x14ac:dyDescent="0.3">
      <c r="A317" s="27" t="s">
        <v>3120</v>
      </c>
      <c r="B317" s="28">
        <v>1</v>
      </c>
      <c r="C317" s="28">
        <v>5</v>
      </c>
      <c r="D317" s="17">
        <v>1286.2399999999998</v>
      </c>
      <c r="E317" s="28">
        <v>5</v>
      </c>
      <c r="F317" s="28">
        <v>2</v>
      </c>
      <c r="G317" s="28">
        <v>2</v>
      </c>
      <c r="H317" s="28">
        <v>522</v>
      </c>
      <c r="I317" s="27" t="s">
        <v>4971</v>
      </c>
    </row>
    <row r="318" spans="1:9" x14ac:dyDescent="0.3">
      <c r="A318" s="27" t="s">
        <v>3127</v>
      </c>
      <c r="B318" s="28">
        <v>63</v>
      </c>
      <c r="C318" s="28">
        <v>3</v>
      </c>
      <c r="D318" s="17">
        <v>663.55</v>
      </c>
      <c r="E318" s="28">
        <v>2</v>
      </c>
      <c r="F318" s="28">
        <v>1</v>
      </c>
      <c r="G318" s="28">
        <v>1</v>
      </c>
      <c r="H318" s="28">
        <v>211</v>
      </c>
      <c r="I318" s="27" t="s">
        <v>4970</v>
      </c>
    </row>
    <row r="319" spans="1:9" x14ac:dyDescent="0.3">
      <c r="A319" s="27" t="s">
        <v>3132</v>
      </c>
      <c r="B319" s="28">
        <v>269</v>
      </c>
      <c r="C319" s="28">
        <v>5</v>
      </c>
      <c r="D319" s="17">
        <v>1023.5400000000002</v>
      </c>
      <c r="E319" s="28">
        <v>1</v>
      </c>
      <c r="F319" s="28">
        <v>2</v>
      </c>
      <c r="G319" s="28">
        <v>2</v>
      </c>
      <c r="H319" s="28">
        <v>122</v>
      </c>
      <c r="I319" s="27" t="s">
        <v>4970</v>
      </c>
    </row>
    <row r="320" spans="1:9" x14ac:dyDescent="0.3">
      <c r="A320" s="27" t="s">
        <v>3139</v>
      </c>
      <c r="B320" s="28">
        <v>20</v>
      </c>
      <c r="C320" s="28">
        <v>12</v>
      </c>
      <c r="D320" s="17">
        <v>3339.67</v>
      </c>
      <c r="E320" s="28">
        <v>4</v>
      </c>
      <c r="F320" s="28">
        <v>5</v>
      </c>
      <c r="G320" s="28">
        <v>5</v>
      </c>
      <c r="H320" s="28">
        <v>455</v>
      </c>
      <c r="I320" s="27" t="s">
        <v>4969</v>
      </c>
    </row>
    <row r="321" spans="1:9" x14ac:dyDescent="0.3">
      <c r="A321" s="27" t="s">
        <v>3153</v>
      </c>
      <c r="B321" s="28">
        <v>10</v>
      </c>
      <c r="C321" s="28">
        <v>11</v>
      </c>
      <c r="D321" s="17">
        <v>2329.9399999999996</v>
      </c>
      <c r="E321" s="28">
        <v>4</v>
      </c>
      <c r="F321" s="28">
        <v>4</v>
      </c>
      <c r="G321" s="28">
        <v>4</v>
      </c>
      <c r="H321" s="28">
        <v>444</v>
      </c>
      <c r="I321" s="27" t="s">
        <v>4969</v>
      </c>
    </row>
    <row r="322" spans="1:9" x14ac:dyDescent="0.3">
      <c r="A322" s="27" t="s">
        <v>3166</v>
      </c>
      <c r="B322" s="28">
        <v>61</v>
      </c>
      <c r="C322" s="28">
        <v>8</v>
      </c>
      <c r="D322" s="17">
        <v>2204.84</v>
      </c>
      <c r="E322" s="28">
        <v>2</v>
      </c>
      <c r="F322" s="28">
        <v>3</v>
      </c>
      <c r="G322" s="28">
        <v>3</v>
      </c>
      <c r="H322" s="28">
        <v>233</v>
      </c>
      <c r="I322" s="27" t="s">
        <v>4967</v>
      </c>
    </row>
    <row r="323" spans="1:9" x14ac:dyDescent="0.3">
      <c r="A323" s="27" t="s">
        <v>3176</v>
      </c>
      <c r="B323" s="28">
        <v>5</v>
      </c>
      <c r="C323" s="28">
        <v>11</v>
      </c>
      <c r="D323" s="17">
        <v>3464.8599999999997</v>
      </c>
      <c r="E323" s="28">
        <v>5</v>
      </c>
      <c r="F323" s="28">
        <v>4</v>
      </c>
      <c r="G323" s="28">
        <v>5</v>
      </c>
      <c r="H323" s="28">
        <v>545</v>
      </c>
      <c r="I323" s="27" t="s">
        <v>4969</v>
      </c>
    </row>
    <row r="324" spans="1:9" x14ac:dyDescent="0.3">
      <c r="A324" s="27" t="s">
        <v>3189</v>
      </c>
      <c r="B324" s="28">
        <v>10</v>
      </c>
      <c r="C324" s="28">
        <v>14</v>
      </c>
      <c r="D324" s="17">
        <v>3613.8099999999995</v>
      </c>
      <c r="E324" s="28">
        <v>4</v>
      </c>
      <c r="F324" s="28">
        <v>5</v>
      </c>
      <c r="G324" s="28">
        <v>5</v>
      </c>
      <c r="H324" s="28">
        <v>455</v>
      </c>
      <c r="I324" s="27" t="s">
        <v>4969</v>
      </c>
    </row>
    <row r="325" spans="1:9" x14ac:dyDescent="0.3">
      <c r="A325" s="27" t="s">
        <v>3205</v>
      </c>
      <c r="B325" s="28">
        <v>9</v>
      </c>
      <c r="C325" s="28">
        <v>10</v>
      </c>
      <c r="D325" s="17">
        <v>2841.52</v>
      </c>
      <c r="E325" s="28">
        <v>4</v>
      </c>
      <c r="F325" s="28">
        <v>4</v>
      </c>
      <c r="G325" s="28">
        <v>4</v>
      </c>
      <c r="H325" s="28">
        <v>444</v>
      </c>
      <c r="I325" s="27" t="s">
        <v>4969</v>
      </c>
    </row>
    <row r="326" spans="1:9" x14ac:dyDescent="0.3">
      <c r="A326" s="27" t="s">
        <v>3217</v>
      </c>
      <c r="B326" s="28">
        <v>232</v>
      </c>
      <c r="C326" s="28">
        <v>5</v>
      </c>
      <c r="D326" s="17">
        <v>1434.3</v>
      </c>
      <c r="E326" s="28">
        <v>1</v>
      </c>
      <c r="F326" s="28">
        <v>2</v>
      </c>
      <c r="G326" s="28">
        <v>2</v>
      </c>
      <c r="H326" s="28">
        <v>122</v>
      </c>
      <c r="I326" s="27" t="s">
        <v>4970</v>
      </c>
    </row>
    <row r="327" spans="1:9" x14ac:dyDescent="0.3">
      <c r="A327" s="27" t="s">
        <v>3224</v>
      </c>
      <c r="B327" s="28">
        <v>25</v>
      </c>
      <c r="C327" s="28">
        <v>3</v>
      </c>
      <c r="D327" s="17">
        <v>608.76</v>
      </c>
      <c r="E327" s="28">
        <v>3</v>
      </c>
      <c r="F327" s="28">
        <v>1</v>
      </c>
      <c r="G327" s="28">
        <v>1</v>
      </c>
      <c r="H327" s="28">
        <v>311</v>
      </c>
      <c r="I327" s="27" t="s">
        <v>4972</v>
      </c>
    </row>
    <row r="328" spans="1:9" x14ac:dyDescent="0.3">
      <c r="A328" s="27" t="s">
        <v>3229</v>
      </c>
      <c r="B328" s="28">
        <v>14</v>
      </c>
      <c r="C328" s="28">
        <v>10</v>
      </c>
      <c r="D328" s="17">
        <v>2707.3599999999997</v>
      </c>
      <c r="E328" s="28">
        <v>4</v>
      </c>
      <c r="F328" s="28">
        <v>4</v>
      </c>
      <c r="G328" s="28">
        <v>4</v>
      </c>
      <c r="H328" s="28">
        <v>444</v>
      </c>
      <c r="I328" s="27" t="s">
        <v>4969</v>
      </c>
    </row>
    <row r="329" spans="1:9" x14ac:dyDescent="0.3">
      <c r="A329" s="27" t="s">
        <v>3241</v>
      </c>
      <c r="B329" s="28">
        <v>12</v>
      </c>
      <c r="C329" s="28">
        <v>4</v>
      </c>
      <c r="D329" s="17">
        <v>462.81</v>
      </c>
      <c r="E329" s="28">
        <v>4</v>
      </c>
      <c r="F329" s="28">
        <v>2</v>
      </c>
      <c r="G329" s="28">
        <v>1</v>
      </c>
      <c r="H329" s="28">
        <v>421</v>
      </c>
      <c r="I329" s="27" t="s">
        <v>4971</v>
      </c>
    </row>
    <row r="330" spans="1:9" x14ac:dyDescent="0.3">
      <c r="A330" s="27" t="s">
        <v>3247</v>
      </c>
      <c r="B330" s="28">
        <v>7</v>
      </c>
      <c r="C330" s="28">
        <v>11</v>
      </c>
      <c r="D330" s="17">
        <v>2626.74</v>
      </c>
      <c r="E330" s="28">
        <v>5</v>
      </c>
      <c r="F330" s="28">
        <v>4</v>
      </c>
      <c r="G330" s="28">
        <v>4</v>
      </c>
      <c r="H330" s="28">
        <v>544</v>
      </c>
      <c r="I330" s="27" t="s">
        <v>4969</v>
      </c>
    </row>
    <row r="331" spans="1:9" x14ac:dyDescent="0.3">
      <c r="A331" s="27" t="s">
        <v>3260</v>
      </c>
      <c r="B331" s="28">
        <v>33</v>
      </c>
      <c r="C331" s="28">
        <v>4</v>
      </c>
      <c r="D331" s="17">
        <v>1280.75</v>
      </c>
      <c r="E331" s="28">
        <v>3</v>
      </c>
      <c r="F331" s="28">
        <v>2</v>
      </c>
      <c r="G331" s="28">
        <v>2</v>
      </c>
      <c r="H331" s="28">
        <v>322</v>
      </c>
      <c r="I331" s="27" t="s">
        <v>4972</v>
      </c>
    </row>
    <row r="332" spans="1:9" x14ac:dyDescent="0.3">
      <c r="A332" s="27" t="s">
        <v>3266</v>
      </c>
      <c r="B332" s="28">
        <v>51</v>
      </c>
      <c r="C332" s="28">
        <v>13</v>
      </c>
      <c r="D332" s="17">
        <v>3176.7499999999995</v>
      </c>
      <c r="E332" s="28">
        <v>2</v>
      </c>
      <c r="F332" s="28">
        <v>5</v>
      </c>
      <c r="G332" s="28">
        <v>5</v>
      </c>
      <c r="H332" s="28">
        <v>255</v>
      </c>
      <c r="I332" s="27" t="s">
        <v>4967</v>
      </c>
    </row>
    <row r="333" spans="1:9" x14ac:dyDescent="0.3">
      <c r="A333" s="27" t="s">
        <v>3281</v>
      </c>
      <c r="B333" s="28">
        <v>10</v>
      </c>
      <c r="C333" s="28">
        <v>13</v>
      </c>
      <c r="D333" s="17">
        <v>3115.47</v>
      </c>
      <c r="E333" s="28">
        <v>4</v>
      </c>
      <c r="F333" s="28">
        <v>5</v>
      </c>
      <c r="G333" s="28">
        <v>4</v>
      </c>
      <c r="H333" s="28">
        <v>454</v>
      </c>
      <c r="I333" s="27" t="s">
        <v>4969</v>
      </c>
    </row>
    <row r="334" spans="1:9" x14ac:dyDescent="0.3">
      <c r="A334" s="27" t="s">
        <v>3296</v>
      </c>
      <c r="B334" s="28">
        <v>3</v>
      </c>
      <c r="C334" s="28">
        <v>11</v>
      </c>
      <c r="D334" s="17">
        <v>2596.2200000000003</v>
      </c>
      <c r="E334" s="28">
        <v>5</v>
      </c>
      <c r="F334" s="28">
        <v>4</v>
      </c>
      <c r="G334" s="28">
        <v>4</v>
      </c>
      <c r="H334" s="28">
        <v>544</v>
      </c>
      <c r="I334" s="27" t="s">
        <v>4969</v>
      </c>
    </row>
    <row r="335" spans="1:9" x14ac:dyDescent="0.3">
      <c r="A335" s="27" t="s">
        <v>3309</v>
      </c>
      <c r="B335" s="28">
        <v>77</v>
      </c>
      <c r="C335" s="28">
        <v>9</v>
      </c>
      <c r="D335" s="17">
        <v>2828.34</v>
      </c>
      <c r="E335" s="28">
        <v>2</v>
      </c>
      <c r="F335" s="28">
        <v>4</v>
      </c>
      <c r="G335" s="28">
        <v>4</v>
      </c>
      <c r="H335" s="28">
        <v>244</v>
      </c>
      <c r="I335" s="27" t="s">
        <v>4967</v>
      </c>
    </row>
    <row r="336" spans="1:9" x14ac:dyDescent="0.3">
      <c r="A336" s="27" t="s">
        <v>3320</v>
      </c>
      <c r="B336" s="28">
        <v>438</v>
      </c>
      <c r="C336" s="28">
        <v>2</v>
      </c>
      <c r="D336" s="17">
        <v>480.90000000000003</v>
      </c>
      <c r="E336" s="28">
        <v>1</v>
      </c>
      <c r="F336" s="28">
        <v>1</v>
      </c>
      <c r="G336" s="28">
        <v>1</v>
      </c>
      <c r="H336" s="28">
        <v>111</v>
      </c>
      <c r="I336" s="27" t="s">
        <v>4970</v>
      </c>
    </row>
    <row r="337" spans="1:9" x14ac:dyDescent="0.3">
      <c r="A337" s="27" t="s">
        <v>3324</v>
      </c>
      <c r="B337" s="28">
        <v>45</v>
      </c>
      <c r="C337" s="28">
        <v>1</v>
      </c>
      <c r="D337" s="17">
        <v>142.97999999999999</v>
      </c>
      <c r="E337" s="28">
        <v>2</v>
      </c>
      <c r="F337" s="28">
        <v>1</v>
      </c>
      <c r="G337" s="28">
        <v>1</v>
      </c>
      <c r="H337" s="28">
        <v>211</v>
      </c>
      <c r="I337" s="27" t="s">
        <v>4970</v>
      </c>
    </row>
    <row r="338" spans="1:9" x14ac:dyDescent="0.3">
      <c r="A338" s="27" t="s">
        <v>3327</v>
      </c>
      <c r="B338" s="28">
        <v>16</v>
      </c>
      <c r="C338" s="28">
        <v>12</v>
      </c>
      <c r="D338" s="17">
        <v>3242.4700000000003</v>
      </c>
      <c r="E338" s="28">
        <v>4</v>
      </c>
      <c r="F338" s="28">
        <v>5</v>
      </c>
      <c r="G338" s="28">
        <v>5</v>
      </c>
      <c r="H338" s="28">
        <v>455</v>
      </c>
      <c r="I338" s="27" t="s">
        <v>4969</v>
      </c>
    </row>
    <row r="339" spans="1:9" x14ac:dyDescent="0.3">
      <c r="A339" s="27" t="s">
        <v>3341</v>
      </c>
      <c r="B339" s="28">
        <v>15</v>
      </c>
      <c r="C339" s="28">
        <v>10</v>
      </c>
      <c r="D339" s="17">
        <v>2914.54</v>
      </c>
      <c r="E339" s="28">
        <v>4</v>
      </c>
      <c r="F339" s="28">
        <v>4</v>
      </c>
      <c r="G339" s="28">
        <v>4</v>
      </c>
      <c r="H339" s="28">
        <v>444</v>
      </c>
      <c r="I339" s="27" t="s">
        <v>4969</v>
      </c>
    </row>
    <row r="340" spans="1:9" x14ac:dyDescent="0.3">
      <c r="A340" s="27" t="s">
        <v>3353</v>
      </c>
      <c r="B340" s="28">
        <v>213</v>
      </c>
      <c r="C340" s="28">
        <v>5</v>
      </c>
      <c r="D340" s="17">
        <v>1081.08</v>
      </c>
      <c r="E340" s="28">
        <v>1</v>
      </c>
      <c r="F340" s="28">
        <v>2</v>
      </c>
      <c r="G340" s="28">
        <v>2</v>
      </c>
      <c r="H340" s="28">
        <v>122</v>
      </c>
      <c r="I340" s="27" t="s">
        <v>4970</v>
      </c>
    </row>
    <row r="341" spans="1:9" x14ac:dyDescent="0.3">
      <c r="A341" s="27" t="s">
        <v>3360</v>
      </c>
      <c r="B341" s="28">
        <v>17</v>
      </c>
      <c r="C341" s="28">
        <v>4</v>
      </c>
      <c r="D341" s="17">
        <v>770.39</v>
      </c>
      <c r="E341" s="28">
        <v>4</v>
      </c>
      <c r="F341" s="28">
        <v>2</v>
      </c>
      <c r="G341" s="28">
        <v>1</v>
      </c>
      <c r="H341" s="28">
        <v>421</v>
      </c>
      <c r="I341" s="27" t="s">
        <v>4971</v>
      </c>
    </row>
    <row r="342" spans="1:9" x14ac:dyDescent="0.3">
      <c r="A342" s="27" t="s">
        <v>3366</v>
      </c>
      <c r="B342" s="28">
        <v>12</v>
      </c>
      <c r="C342" s="28">
        <v>15</v>
      </c>
      <c r="D342" s="17">
        <v>3899.3199999999997</v>
      </c>
      <c r="E342" s="28">
        <v>4</v>
      </c>
      <c r="F342" s="28">
        <v>5</v>
      </c>
      <c r="G342" s="28">
        <v>5</v>
      </c>
      <c r="H342" s="28">
        <v>455</v>
      </c>
      <c r="I342" s="27" t="s">
        <v>4969</v>
      </c>
    </row>
    <row r="343" spans="1:9" x14ac:dyDescent="0.3">
      <c r="A343" s="27" t="s">
        <v>3383</v>
      </c>
      <c r="B343" s="28">
        <v>40</v>
      </c>
      <c r="C343" s="28">
        <v>2</v>
      </c>
      <c r="D343" s="17">
        <v>464.94</v>
      </c>
      <c r="E343" s="28">
        <v>3</v>
      </c>
      <c r="F343" s="28">
        <v>1</v>
      </c>
      <c r="G343" s="28">
        <v>1</v>
      </c>
      <c r="H343" s="28">
        <v>311</v>
      </c>
      <c r="I343" s="27" t="s">
        <v>4972</v>
      </c>
    </row>
    <row r="344" spans="1:9" x14ac:dyDescent="0.3">
      <c r="A344" s="27" t="s">
        <v>3387</v>
      </c>
      <c r="B344" s="28">
        <v>9</v>
      </c>
      <c r="C344" s="28">
        <v>8</v>
      </c>
      <c r="D344" s="17">
        <v>2472.44</v>
      </c>
      <c r="E344" s="28">
        <v>4</v>
      </c>
      <c r="F344" s="28">
        <v>3</v>
      </c>
      <c r="G344" s="28">
        <v>4</v>
      </c>
      <c r="H344" s="28">
        <v>434</v>
      </c>
      <c r="I344" s="27" t="s">
        <v>4968</v>
      </c>
    </row>
    <row r="345" spans="1:9" x14ac:dyDescent="0.3">
      <c r="A345" s="27" t="s">
        <v>3397</v>
      </c>
      <c r="B345" s="28">
        <v>360</v>
      </c>
      <c r="C345" s="28">
        <v>2</v>
      </c>
      <c r="D345" s="17">
        <v>363.69</v>
      </c>
      <c r="E345" s="28">
        <v>1</v>
      </c>
      <c r="F345" s="28">
        <v>1</v>
      </c>
      <c r="G345" s="28">
        <v>1</v>
      </c>
      <c r="H345" s="28">
        <v>111</v>
      </c>
      <c r="I345" s="27" t="s">
        <v>4970</v>
      </c>
    </row>
    <row r="346" spans="1:9" x14ac:dyDescent="0.3">
      <c r="A346" s="27" t="s">
        <v>3401</v>
      </c>
      <c r="B346" s="28">
        <v>32</v>
      </c>
      <c r="C346" s="28">
        <v>6</v>
      </c>
      <c r="D346" s="17">
        <v>953.26</v>
      </c>
      <c r="E346" s="28">
        <v>3</v>
      </c>
      <c r="F346" s="28">
        <v>3</v>
      </c>
      <c r="G346" s="28">
        <v>2</v>
      </c>
      <c r="H346" s="28">
        <v>332</v>
      </c>
      <c r="I346" s="27" t="s">
        <v>4972</v>
      </c>
    </row>
    <row r="347" spans="1:9" x14ac:dyDescent="0.3">
      <c r="A347" s="27" t="s">
        <v>3409</v>
      </c>
      <c r="B347" s="28">
        <v>32</v>
      </c>
      <c r="C347" s="28">
        <v>5</v>
      </c>
      <c r="D347" s="17">
        <v>887.42000000000007</v>
      </c>
      <c r="E347" s="28">
        <v>3</v>
      </c>
      <c r="F347" s="28">
        <v>2</v>
      </c>
      <c r="G347" s="28">
        <v>1</v>
      </c>
      <c r="H347" s="28">
        <v>321</v>
      </c>
      <c r="I347" s="27" t="s">
        <v>4972</v>
      </c>
    </row>
    <row r="348" spans="1:9" x14ac:dyDescent="0.3">
      <c r="A348" s="27" t="s">
        <v>3416</v>
      </c>
      <c r="B348" s="28">
        <v>16</v>
      </c>
      <c r="C348" s="28">
        <v>15</v>
      </c>
      <c r="D348" s="17">
        <v>2644.0299999999997</v>
      </c>
      <c r="E348" s="28">
        <v>4</v>
      </c>
      <c r="F348" s="28">
        <v>5</v>
      </c>
      <c r="G348" s="28">
        <v>4</v>
      </c>
      <c r="H348" s="28">
        <v>454</v>
      </c>
      <c r="I348" s="27" t="s">
        <v>4969</v>
      </c>
    </row>
    <row r="349" spans="1:9" x14ac:dyDescent="0.3">
      <c r="A349" s="27" t="s">
        <v>3433</v>
      </c>
      <c r="B349" s="28">
        <v>48</v>
      </c>
      <c r="C349" s="28">
        <v>7</v>
      </c>
      <c r="D349" s="17">
        <v>1593.9899999999998</v>
      </c>
      <c r="E349" s="28">
        <v>2</v>
      </c>
      <c r="F349" s="28">
        <v>3</v>
      </c>
      <c r="G349" s="28">
        <v>3</v>
      </c>
      <c r="H349" s="28">
        <v>233</v>
      </c>
      <c r="I349" s="27" t="s">
        <v>4967</v>
      </c>
    </row>
    <row r="350" spans="1:9" x14ac:dyDescent="0.3">
      <c r="A350" s="27" t="s">
        <v>3442</v>
      </c>
      <c r="B350" s="28">
        <v>20</v>
      </c>
      <c r="C350" s="28">
        <v>7</v>
      </c>
      <c r="D350" s="17">
        <v>1806.0099999999998</v>
      </c>
      <c r="E350" s="28">
        <v>4</v>
      </c>
      <c r="F350" s="28">
        <v>3</v>
      </c>
      <c r="G350" s="28">
        <v>3</v>
      </c>
      <c r="H350" s="28">
        <v>433</v>
      </c>
      <c r="I350" s="27" t="s">
        <v>4968</v>
      </c>
    </row>
    <row r="351" spans="1:9" x14ac:dyDescent="0.3">
      <c r="A351" s="27" t="s">
        <v>3451</v>
      </c>
      <c r="B351" s="28">
        <v>16</v>
      </c>
      <c r="C351" s="28">
        <v>14</v>
      </c>
      <c r="D351" s="17">
        <v>3948.3900000000003</v>
      </c>
      <c r="E351" s="28">
        <v>4</v>
      </c>
      <c r="F351" s="28">
        <v>5</v>
      </c>
      <c r="G351" s="28">
        <v>5</v>
      </c>
      <c r="H351" s="28">
        <v>455</v>
      </c>
      <c r="I351" s="27" t="s">
        <v>4969</v>
      </c>
    </row>
    <row r="352" spans="1:9" x14ac:dyDescent="0.3">
      <c r="A352" s="27" t="s">
        <v>3467</v>
      </c>
      <c r="B352" s="28">
        <v>5</v>
      </c>
      <c r="C352" s="28">
        <v>8</v>
      </c>
      <c r="D352" s="17">
        <v>2319.9</v>
      </c>
      <c r="E352" s="28">
        <v>5</v>
      </c>
      <c r="F352" s="28">
        <v>3</v>
      </c>
      <c r="G352" s="28">
        <v>4</v>
      </c>
      <c r="H352" s="28">
        <v>534</v>
      </c>
      <c r="I352" s="27" t="s">
        <v>4968</v>
      </c>
    </row>
    <row r="353" spans="1:9" x14ac:dyDescent="0.3">
      <c r="A353" s="27" t="s">
        <v>3477</v>
      </c>
      <c r="B353" s="28">
        <v>83</v>
      </c>
      <c r="C353" s="28">
        <v>10</v>
      </c>
      <c r="D353" s="17">
        <v>1892.2099999999998</v>
      </c>
      <c r="E353" s="28">
        <v>2</v>
      </c>
      <c r="F353" s="28">
        <v>4</v>
      </c>
      <c r="G353" s="28">
        <v>3</v>
      </c>
      <c r="H353" s="28">
        <v>243</v>
      </c>
      <c r="I353" s="27" t="s">
        <v>4967</v>
      </c>
    </row>
    <row r="354" spans="1:9" x14ac:dyDescent="0.3">
      <c r="A354" s="27" t="s">
        <v>3489</v>
      </c>
      <c r="B354" s="28">
        <v>19</v>
      </c>
      <c r="C354" s="28">
        <v>13</v>
      </c>
      <c r="D354" s="17">
        <v>4060.82</v>
      </c>
      <c r="E354" s="28">
        <v>4</v>
      </c>
      <c r="F354" s="28">
        <v>5</v>
      </c>
      <c r="G354" s="28">
        <v>5</v>
      </c>
      <c r="H354" s="28">
        <v>455</v>
      </c>
      <c r="I354" s="27" t="s">
        <v>4969</v>
      </c>
    </row>
    <row r="355" spans="1:9" x14ac:dyDescent="0.3">
      <c r="A355" s="27" t="s">
        <v>3504</v>
      </c>
      <c r="B355" s="28">
        <v>17</v>
      </c>
      <c r="C355" s="28">
        <v>14</v>
      </c>
      <c r="D355" s="17">
        <v>3057.3</v>
      </c>
      <c r="E355" s="28">
        <v>4</v>
      </c>
      <c r="F355" s="28">
        <v>5</v>
      </c>
      <c r="G355" s="28">
        <v>4</v>
      </c>
      <c r="H355" s="28">
        <v>454</v>
      </c>
      <c r="I355" s="27" t="s">
        <v>4969</v>
      </c>
    </row>
    <row r="356" spans="1:9" x14ac:dyDescent="0.3">
      <c r="A356" s="27" t="s">
        <v>3520</v>
      </c>
      <c r="B356" s="28">
        <v>8</v>
      </c>
      <c r="C356" s="28">
        <v>4</v>
      </c>
      <c r="D356" s="17">
        <v>1253.8699999999999</v>
      </c>
      <c r="E356" s="28">
        <v>4</v>
      </c>
      <c r="F356" s="28">
        <v>2</v>
      </c>
      <c r="G356" s="28">
        <v>2</v>
      </c>
      <c r="H356" s="28">
        <v>422</v>
      </c>
      <c r="I356" s="27" t="s">
        <v>4971</v>
      </c>
    </row>
    <row r="357" spans="1:9" x14ac:dyDescent="0.3">
      <c r="A357" s="27" t="s">
        <v>3526</v>
      </c>
      <c r="B357" s="28">
        <v>11</v>
      </c>
      <c r="C357" s="28">
        <v>6</v>
      </c>
      <c r="D357" s="17">
        <v>1983.97</v>
      </c>
      <c r="E357" s="28">
        <v>4</v>
      </c>
      <c r="F357" s="28">
        <v>3</v>
      </c>
      <c r="G357" s="28">
        <v>3</v>
      </c>
      <c r="H357" s="28">
        <v>433</v>
      </c>
      <c r="I357" s="27" t="s">
        <v>4968</v>
      </c>
    </row>
    <row r="358" spans="1:9" x14ac:dyDescent="0.3">
      <c r="A358" s="27" t="s">
        <v>3534</v>
      </c>
      <c r="B358" s="28">
        <v>2</v>
      </c>
      <c r="C358" s="28">
        <v>5</v>
      </c>
      <c r="D358" s="17">
        <v>1556.8999999999999</v>
      </c>
      <c r="E358" s="28">
        <v>5</v>
      </c>
      <c r="F358" s="28">
        <v>2</v>
      </c>
      <c r="G358" s="28">
        <v>2</v>
      </c>
      <c r="H358" s="28">
        <v>522</v>
      </c>
      <c r="I358" s="27" t="s">
        <v>4971</v>
      </c>
    </row>
    <row r="359" spans="1:9" x14ac:dyDescent="0.3">
      <c r="A359" s="27" t="s">
        <v>3541</v>
      </c>
      <c r="B359" s="28">
        <v>70</v>
      </c>
      <c r="C359" s="28">
        <v>6</v>
      </c>
      <c r="D359" s="17">
        <v>1364.0900000000001</v>
      </c>
      <c r="E359" s="28">
        <v>2</v>
      </c>
      <c r="F359" s="28">
        <v>3</v>
      </c>
      <c r="G359" s="28">
        <v>2</v>
      </c>
      <c r="H359" s="28">
        <v>232</v>
      </c>
      <c r="I359" s="27" t="s">
        <v>4967</v>
      </c>
    </row>
    <row r="360" spans="1:9" x14ac:dyDescent="0.3">
      <c r="A360" s="27" t="s">
        <v>3549</v>
      </c>
      <c r="B360" s="28">
        <v>79</v>
      </c>
      <c r="C360" s="28">
        <v>13</v>
      </c>
      <c r="D360" s="17">
        <v>2759.0999999999995</v>
      </c>
      <c r="E360" s="28">
        <v>2</v>
      </c>
      <c r="F360" s="28">
        <v>5</v>
      </c>
      <c r="G360" s="28">
        <v>4</v>
      </c>
      <c r="H360" s="28">
        <v>254</v>
      </c>
      <c r="I360" s="27" t="s">
        <v>4967</v>
      </c>
    </row>
    <row r="361" spans="1:9" x14ac:dyDescent="0.3">
      <c r="A361" s="27" t="s">
        <v>3564</v>
      </c>
      <c r="B361" s="28">
        <v>18</v>
      </c>
      <c r="C361" s="28">
        <v>6</v>
      </c>
      <c r="D361" s="17">
        <v>1845.9699999999998</v>
      </c>
      <c r="E361" s="28">
        <v>4</v>
      </c>
      <c r="F361" s="28">
        <v>3</v>
      </c>
      <c r="G361" s="28">
        <v>3</v>
      </c>
      <c r="H361" s="28">
        <v>433</v>
      </c>
      <c r="I361" s="27" t="s">
        <v>4968</v>
      </c>
    </row>
    <row r="362" spans="1:9" x14ac:dyDescent="0.3">
      <c r="A362" s="27" t="s">
        <v>3572</v>
      </c>
      <c r="B362" s="28">
        <v>109</v>
      </c>
      <c r="C362" s="28">
        <v>10</v>
      </c>
      <c r="D362" s="17">
        <v>2496.5899999999997</v>
      </c>
      <c r="E362" s="28">
        <v>1</v>
      </c>
      <c r="F362" s="28">
        <v>4</v>
      </c>
      <c r="G362" s="28">
        <v>4</v>
      </c>
      <c r="H362" s="28">
        <v>144</v>
      </c>
      <c r="I362" s="27" t="s">
        <v>4967</v>
      </c>
    </row>
    <row r="363" spans="1:9" x14ac:dyDescent="0.3">
      <c r="A363" s="27" t="s">
        <v>3584</v>
      </c>
      <c r="B363" s="28">
        <v>8</v>
      </c>
      <c r="C363" s="28">
        <v>7</v>
      </c>
      <c r="D363" s="17">
        <v>1718.8799999999999</v>
      </c>
      <c r="E363" s="28">
        <v>4</v>
      </c>
      <c r="F363" s="28">
        <v>3</v>
      </c>
      <c r="G363" s="28">
        <v>3</v>
      </c>
      <c r="H363" s="28">
        <v>433</v>
      </c>
      <c r="I363" s="27" t="s">
        <v>4968</v>
      </c>
    </row>
    <row r="364" spans="1:9" x14ac:dyDescent="0.3">
      <c r="A364" s="27" t="s">
        <v>3593</v>
      </c>
      <c r="B364" s="28">
        <v>145</v>
      </c>
      <c r="C364" s="28">
        <v>3</v>
      </c>
      <c r="D364" s="17">
        <v>1049.1099999999999</v>
      </c>
      <c r="E364" s="28">
        <v>1</v>
      </c>
      <c r="F364" s="28">
        <v>1</v>
      </c>
      <c r="G364" s="28">
        <v>2</v>
      </c>
      <c r="H364" s="28">
        <v>112</v>
      </c>
      <c r="I364" s="27" t="s">
        <v>4970</v>
      </c>
    </row>
    <row r="365" spans="1:9" x14ac:dyDescent="0.3">
      <c r="A365" s="27" t="s">
        <v>3598</v>
      </c>
      <c r="B365" s="28">
        <v>98</v>
      </c>
      <c r="C365" s="28">
        <v>8</v>
      </c>
      <c r="D365" s="17">
        <v>1892.07</v>
      </c>
      <c r="E365" s="28">
        <v>1</v>
      </c>
      <c r="F365" s="28">
        <v>3</v>
      </c>
      <c r="G365" s="28">
        <v>3</v>
      </c>
      <c r="H365" s="28">
        <v>133</v>
      </c>
      <c r="I365" s="27" t="s">
        <v>4967</v>
      </c>
    </row>
    <row r="366" spans="1:9" x14ac:dyDescent="0.3">
      <c r="A366" s="27" t="s">
        <v>3608</v>
      </c>
      <c r="B366" s="28">
        <v>2</v>
      </c>
      <c r="C366" s="28">
        <v>14</v>
      </c>
      <c r="D366" s="17">
        <v>3241.09</v>
      </c>
      <c r="E366" s="28">
        <v>5</v>
      </c>
      <c r="F366" s="28">
        <v>5</v>
      </c>
      <c r="G366" s="28">
        <v>5</v>
      </c>
      <c r="H366" s="28">
        <v>555</v>
      </c>
      <c r="I366" s="27" t="s">
        <v>4969</v>
      </c>
    </row>
    <row r="367" spans="1:9" x14ac:dyDescent="0.3">
      <c r="A367" s="27" t="s">
        <v>3624</v>
      </c>
      <c r="B367" s="28">
        <v>27</v>
      </c>
      <c r="C367" s="28">
        <v>8</v>
      </c>
      <c r="D367" s="17">
        <v>2666.36</v>
      </c>
      <c r="E367" s="28">
        <v>3</v>
      </c>
      <c r="F367" s="28">
        <v>3</v>
      </c>
      <c r="G367" s="28">
        <v>4</v>
      </c>
      <c r="H367" s="28">
        <v>334</v>
      </c>
      <c r="I367" s="27" t="s">
        <v>4968</v>
      </c>
    </row>
    <row r="368" spans="1:9" x14ac:dyDescent="0.3">
      <c r="A368" s="27" t="s">
        <v>3634</v>
      </c>
      <c r="B368" s="28">
        <v>18</v>
      </c>
      <c r="C368" s="28">
        <v>8</v>
      </c>
      <c r="D368" s="17">
        <v>2136.5800000000004</v>
      </c>
      <c r="E368" s="28">
        <v>4</v>
      </c>
      <c r="F368" s="28">
        <v>3</v>
      </c>
      <c r="G368" s="28">
        <v>3</v>
      </c>
      <c r="H368" s="28">
        <v>433</v>
      </c>
      <c r="I368" s="27" t="s">
        <v>4968</v>
      </c>
    </row>
    <row r="369" spans="1:9" x14ac:dyDescent="0.3">
      <c r="A369" s="27" t="s">
        <v>3644</v>
      </c>
      <c r="B369" s="28">
        <v>178</v>
      </c>
      <c r="C369" s="28">
        <v>3</v>
      </c>
      <c r="D369" s="17">
        <v>985.19999999999993</v>
      </c>
      <c r="E369" s="28">
        <v>1</v>
      </c>
      <c r="F369" s="28">
        <v>1</v>
      </c>
      <c r="G369" s="28">
        <v>2</v>
      </c>
      <c r="H369" s="28">
        <v>112</v>
      </c>
      <c r="I369" s="27" t="s">
        <v>4970</v>
      </c>
    </row>
    <row r="370" spans="1:9" x14ac:dyDescent="0.3">
      <c r="A370" s="27" t="s">
        <v>3649</v>
      </c>
      <c r="B370" s="28">
        <v>71</v>
      </c>
      <c r="C370" s="28">
        <v>4</v>
      </c>
      <c r="D370" s="17">
        <v>1145.8600000000001</v>
      </c>
      <c r="E370" s="28">
        <v>2</v>
      </c>
      <c r="F370" s="28">
        <v>2</v>
      </c>
      <c r="G370" s="28">
        <v>2</v>
      </c>
      <c r="H370" s="28">
        <v>222</v>
      </c>
      <c r="I370" s="27" t="s">
        <v>4970</v>
      </c>
    </row>
    <row r="371" spans="1:9" x14ac:dyDescent="0.3">
      <c r="A371" s="27" t="s">
        <v>3655</v>
      </c>
      <c r="B371" s="28">
        <v>207</v>
      </c>
      <c r="C371" s="28">
        <v>1</v>
      </c>
      <c r="D371" s="17">
        <v>246.1</v>
      </c>
      <c r="E371" s="28">
        <v>1</v>
      </c>
      <c r="F371" s="28">
        <v>1</v>
      </c>
      <c r="G371" s="28">
        <v>1</v>
      </c>
      <c r="H371" s="28">
        <v>111</v>
      </c>
      <c r="I371" s="27" t="s">
        <v>4970</v>
      </c>
    </row>
    <row r="372" spans="1:9" x14ac:dyDescent="0.3">
      <c r="A372" s="27" t="s">
        <v>3658</v>
      </c>
      <c r="B372" s="28">
        <v>35</v>
      </c>
      <c r="C372" s="28">
        <v>7</v>
      </c>
      <c r="D372" s="17">
        <v>2307.58</v>
      </c>
      <c r="E372" s="28">
        <v>3</v>
      </c>
      <c r="F372" s="28">
        <v>3</v>
      </c>
      <c r="G372" s="28">
        <v>4</v>
      </c>
      <c r="H372" s="28">
        <v>334</v>
      </c>
      <c r="I372" s="27" t="s">
        <v>4968</v>
      </c>
    </row>
    <row r="373" spans="1:9" x14ac:dyDescent="0.3">
      <c r="A373" s="27" t="s">
        <v>3667</v>
      </c>
      <c r="B373" s="28">
        <v>289</v>
      </c>
      <c r="C373" s="28">
        <v>1</v>
      </c>
      <c r="D373" s="17">
        <v>469.8</v>
      </c>
      <c r="E373" s="28">
        <v>1</v>
      </c>
      <c r="F373" s="28">
        <v>1</v>
      </c>
      <c r="G373" s="28">
        <v>1</v>
      </c>
      <c r="H373" s="28">
        <v>111</v>
      </c>
      <c r="I373" s="27" t="s">
        <v>4970</v>
      </c>
    </row>
    <row r="374" spans="1:9" x14ac:dyDescent="0.3">
      <c r="A374" s="27" t="s">
        <v>3670</v>
      </c>
      <c r="B374" s="28">
        <v>2</v>
      </c>
      <c r="C374" s="28">
        <v>15</v>
      </c>
      <c r="D374" s="17">
        <v>4158.3900000000003</v>
      </c>
      <c r="E374" s="28">
        <v>5</v>
      </c>
      <c r="F374" s="28">
        <v>5</v>
      </c>
      <c r="G374" s="28">
        <v>5</v>
      </c>
      <c r="H374" s="28">
        <v>555</v>
      </c>
      <c r="I374" s="27" t="s">
        <v>4969</v>
      </c>
    </row>
    <row r="375" spans="1:9" x14ac:dyDescent="0.3">
      <c r="A375" s="27" t="s">
        <v>3687</v>
      </c>
      <c r="B375" s="28">
        <v>12</v>
      </c>
      <c r="C375" s="28">
        <v>14</v>
      </c>
      <c r="D375" s="17">
        <v>3104.8299999999995</v>
      </c>
      <c r="E375" s="28">
        <v>4</v>
      </c>
      <c r="F375" s="28">
        <v>5</v>
      </c>
      <c r="G375" s="28">
        <v>4</v>
      </c>
      <c r="H375" s="28">
        <v>454</v>
      </c>
      <c r="I375" s="27" t="s">
        <v>4969</v>
      </c>
    </row>
    <row r="376" spans="1:9" x14ac:dyDescent="0.3">
      <c r="A376" s="27" t="s">
        <v>3703</v>
      </c>
      <c r="B376" s="28">
        <v>273</v>
      </c>
      <c r="C376" s="28">
        <v>1</v>
      </c>
      <c r="D376" s="17">
        <v>281.62</v>
      </c>
      <c r="E376" s="28">
        <v>1</v>
      </c>
      <c r="F376" s="28">
        <v>1</v>
      </c>
      <c r="G376" s="28">
        <v>1</v>
      </c>
      <c r="H376" s="28">
        <v>111</v>
      </c>
      <c r="I376" s="27" t="s">
        <v>4970</v>
      </c>
    </row>
    <row r="377" spans="1:9" x14ac:dyDescent="0.3">
      <c r="A377" s="27" t="s">
        <v>3706</v>
      </c>
      <c r="B377" s="28">
        <v>29</v>
      </c>
      <c r="C377" s="28">
        <v>6</v>
      </c>
      <c r="D377" s="17">
        <v>1367.01</v>
      </c>
      <c r="E377" s="28">
        <v>3</v>
      </c>
      <c r="F377" s="28">
        <v>3</v>
      </c>
      <c r="G377" s="28">
        <v>2</v>
      </c>
      <c r="H377" s="28">
        <v>332</v>
      </c>
      <c r="I377" s="27" t="s">
        <v>4972</v>
      </c>
    </row>
    <row r="378" spans="1:9" x14ac:dyDescent="0.3">
      <c r="A378" s="27" t="s">
        <v>3714</v>
      </c>
      <c r="B378" s="28">
        <v>60</v>
      </c>
      <c r="C378" s="28">
        <v>15</v>
      </c>
      <c r="D378" s="17">
        <v>3612.65</v>
      </c>
      <c r="E378" s="28">
        <v>2</v>
      </c>
      <c r="F378" s="28">
        <v>5</v>
      </c>
      <c r="G378" s="28">
        <v>5</v>
      </c>
      <c r="H378" s="28">
        <v>255</v>
      </c>
      <c r="I378" s="27" t="s">
        <v>4967</v>
      </c>
    </row>
    <row r="379" spans="1:9" x14ac:dyDescent="0.3">
      <c r="A379" s="27" t="s">
        <v>3731</v>
      </c>
      <c r="B379" s="28">
        <v>110</v>
      </c>
      <c r="C379" s="28">
        <v>5</v>
      </c>
      <c r="D379" s="17">
        <v>1097.8</v>
      </c>
      <c r="E379" s="28">
        <v>1</v>
      </c>
      <c r="F379" s="28">
        <v>2</v>
      </c>
      <c r="G379" s="28">
        <v>2</v>
      </c>
      <c r="H379" s="28">
        <v>122</v>
      </c>
      <c r="I379" s="27" t="s">
        <v>4970</v>
      </c>
    </row>
    <row r="380" spans="1:9" x14ac:dyDescent="0.3">
      <c r="A380" s="27" t="s">
        <v>3738</v>
      </c>
      <c r="B380" s="28">
        <v>38</v>
      </c>
      <c r="C380" s="28">
        <v>2</v>
      </c>
      <c r="D380" s="17">
        <v>582.67000000000007</v>
      </c>
      <c r="E380" s="28">
        <v>3</v>
      </c>
      <c r="F380" s="28">
        <v>1</v>
      </c>
      <c r="G380" s="28">
        <v>1</v>
      </c>
      <c r="H380" s="28">
        <v>311</v>
      </c>
      <c r="I380" s="27" t="s">
        <v>4972</v>
      </c>
    </row>
    <row r="381" spans="1:9" x14ac:dyDescent="0.3">
      <c r="A381" s="27" t="s">
        <v>3742</v>
      </c>
      <c r="B381" s="28">
        <v>15</v>
      </c>
      <c r="C381" s="28">
        <v>8</v>
      </c>
      <c r="D381" s="17">
        <v>2295.86</v>
      </c>
      <c r="E381" s="28">
        <v>4</v>
      </c>
      <c r="F381" s="28">
        <v>3</v>
      </c>
      <c r="G381" s="28">
        <v>4</v>
      </c>
      <c r="H381" s="28">
        <v>434</v>
      </c>
      <c r="I381" s="27" t="s">
        <v>4968</v>
      </c>
    </row>
    <row r="382" spans="1:9" x14ac:dyDescent="0.3">
      <c r="A382" s="27" t="s">
        <v>3752</v>
      </c>
      <c r="B382" s="28">
        <v>64</v>
      </c>
      <c r="C382" s="28">
        <v>8</v>
      </c>
      <c r="D382" s="17">
        <v>1594.4099999999999</v>
      </c>
      <c r="E382" s="28">
        <v>2</v>
      </c>
      <c r="F382" s="28">
        <v>3</v>
      </c>
      <c r="G382" s="28">
        <v>3</v>
      </c>
      <c r="H382" s="28">
        <v>233</v>
      </c>
      <c r="I382" s="27" t="s">
        <v>4967</v>
      </c>
    </row>
    <row r="383" spans="1:9" x14ac:dyDescent="0.3">
      <c r="A383" s="27" t="s">
        <v>3762</v>
      </c>
      <c r="B383" s="28">
        <v>111</v>
      </c>
      <c r="C383" s="28">
        <v>3</v>
      </c>
      <c r="D383" s="17">
        <v>1245.8599999999999</v>
      </c>
      <c r="E383" s="28">
        <v>1</v>
      </c>
      <c r="F383" s="28">
        <v>1</v>
      </c>
      <c r="G383" s="28">
        <v>2</v>
      </c>
      <c r="H383" s="28">
        <v>112</v>
      </c>
      <c r="I383" s="27" t="s">
        <v>4970</v>
      </c>
    </row>
    <row r="384" spans="1:9" x14ac:dyDescent="0.3">
      <c r="A384" s="27" t="s">
        <v>3767</v>
      </c>
      <c r="B384" s="28">
        <v>16</v>
      </c>
      <c r="C384" s="28">
        <v>11</v>
      </c>
      <c r="D384" s="17">
        <v>2622.94</v>
      </c>
      <c r="E384" s="28">
        <v>4</v>
      </c>
      <c r="F384" s="28">
        <v>4</v>
      </c>
      <c r="G384" s="28">
        <v>4</v>
      </c>
      <c r="H384" s="28">
        <v>444</v>
      </c>
      <c r="I384" s="27" t="s">
        <v>4969</v>
      </c>
    </row>
    <row r="385" spans="1:9" x14ac:dyDescent="0.3">
      <c r="A385" s="27" t="s">
        <v>3780</v>
      </c>
      <c r="B385" s="28">
        <v>171</v>
      </c>
      <c r="C385" s="28">
        <v>3</v>
      </c>
      <c r="D385" s="17">
        <v>620.44000000000005</v>
      </c>
      <c r="E385" s="28">
        <v>1</v>
      </c>
      <c r="F385" s="28">
        <v>1</v>
      </c>
      <c r="G385" s="28">
        <v>1</v>
      </c>
      <c r="H385" s="28">
        <v>111</v>
      </c>
      <c r="I385" s="27" t="s">
        <v>4970</v>
      </c>
    </row>
    <row r="386" spans="1:9" x14ac:dyDescent="0.3">
      <c r="A386" s="27" t="s">
        <v>3785</v>
      </c>
      <c r="B386" s="28">
        <v>2</v>
      </c>
      <c r="C386" s="28">
        <v>14</v>
      </c>
      <c r="D386" s="17">
        <v>3803.02</v>
      </c>
      <c r="E386" s="28">
        <v>5</v>
      </c>
      <c r="F386" s="28">
        <v>5</v>
      </c>
      <c r="G386" s="28">
        <v>5</v>
      </c>
      <c r="H386" s="28">
        <v>555</v>
      </c>
      <c r="I386" s="27" t="s">
        <v>4969</v>
      </c>
    </row>
    <row r="387" spans="1:9" x14ac:dyDescent="0.3">
      <c r="A387" s="27" t="s">
        <v>3801</v>
      </c>
      <c r="B387" s="28">
        <v>29</v>
      </c>
      <c r="C387" s="28">
        <v>10</v>
      </c>
      <c r="D387" s="17">
        <v>2372.04</v>
      </c>
      <c r="E387" s="28">
        <v>3</v>
      </c>
      <c r="F387" s="28">
        <v>4</v>
      </c>
      <c r="G387" s="28">
        <v>4</v>
      </c>
      <c r="H387" s="28">
        <v>344</v>
      </c>
      <c r="I387" s="27" t="s">
        <v>4968</v>
      </c>
    </row>
    <row r="388" spans="1:9" x14ac:dyDescent="0.3">
      <c r="A388" s="27" t="s">
        <v>3813</v>
      </c>
      <c r="B388" s="28">
        <v>45</v>
      </c>
      <c r="C388" s="28">
        <v>5</v>
      </c>
      <c r="D388" s="17">
        <v>1174.7199999999998</v>
      </c>
      <c r="E388" s="28">
        <v>2</v>
      </c>
      <c r="F388" s="28">
        <v>2</v>
      </c>
      <c r="G388" s="28">
        <v>2</v>
      </c>
      <c r="H388" s="28">
        <v>222</v>
      </c>
      <c r="I388" s="27" t="s">
        <v>4970</v>
      </c>
    </row>
    <row r="389" spans="1:9" x14ac:dyDescent="0.3">
      <c r="A389" s="27" t="s">
        <v>3820</v>
      </c>
      <c r="B389" s="28">
        <v>23</v>
      </c>
      <c r="C389" s="28">
        <v>11</v>
      </c>
      <c r="D389" s="17">
        <v>3641.9999999999995</v>
      </c>
      <c r="E389" s="28">
        <v>3</v>
      </c>
      <c r="F389" s="28">
        <v>4</v>
      </c>
      <c r="G389" s="28">
        <v>5</v>
      </c>
      <c r="H389" s="28">
        <v>345</v>
      </c>
      <c r="I389" s="27" t="s">
        <v>4968</v>
      </c>
    </row>
    <row r="390" spans="1:9" x14ac:dyDescent="0.3">
      <c r="A390" s="27" t="s">
        <v>3833</v>
      </c>
      <c r="B390" s="28">
        <v>97</v>
      </c>
      <c r="C390" s="28">
        <v>12</v>
      </c>
      <c r="D390" s="17">
        <v>3367.0700000000006</v>
      </c>
      <c r="E390" s="28">
        <v>1</v>
      </c>
      <c r="F390" s="28">
        <v>5</v>
      </c>
      <c r="G390" s="28">
        <v>5</v>
      </c>
      <c r="H390" s="28">
        <v>155</v>
      </c>
      <c r="I390" s="27" t="s">
        <v>4967</v>
      </c>
    </row>
    <row r="391" spans="1:9" x14ac:dyDescent="0.3">
      <c r="A391" s="27" t="s">
        <v>3847</v>
      </c>
      <c r="B391" s="28">
        <v>11</v>
      </c>
      <c r="C391" s="28">
        <v>2</v>
      </c>
      <c r="D391" s="17">
        <v>581.6</v>
      </c>
      <c r="E391" s="28">
        <v>4</v>
      </c>
      <c r="F391" s="28">
        <v>1</v>
      </c>
      <c r="G391" s="28">
        <v>1</v>
      </c>
      <c r="H391" s="28">
        <v>411</v>
      </c>
      <c r="I391" s="27" t="s">
        <v>4971</v>
      </c>
    </row>
    <row r="392" spans="1:9" x14ac:dyDescent="0.3">
      <c r="A392" s="27" t="s">
        <v>3851</v>
      </c>
      <c r="B392" s="28">
        <v>38</v>
      </c>
      <c r="C392" s="28">
        <v>11</v>
      </c>
      <c r="D392" s="17">
        <v>3534.5099999999998</v>
      </c>
      <c r="E392" s="28">
        <v>3</v>
      </c>
      <c r="F392" s="28">
        <v>4</v>
      </c>
      <c r="G392" s="28">
        <v>5</v>
      </c>
      <c r="H392" s="28">
        <v>345</v>
      </c>
      <c r="I392" s="27" t="s">
        <v>4968</v>
      </c>
    </row>
    <row r="393" spans="1:9" x14ac:dyDescent="0.3">
      <c r="A393" s="27" t="s">
        <v>3864</v>
      </c>
      <c r="B393" s="28">
        <v>3</v>
      </c>
      <c r="C393" s="28">
        <v>3</v>
      </c>
      <c r="D393" s="17">
        <v>757.23</v>
      </c>
      <c r="E393" s="28">
        <v>5</v>
      </c>
      <c r="F393" s="28">
        <v>1</v>
      </c>
      <c r="G393" s="28">
        <v>1</v>
      </c>
      <c r="H393" s="28">
        <v>511</v>
      </c>
      <c r="I393" s="27" t="s">
        <v>4971</v>
      </c>
    </row>
    <row r="394" spans="1:9" x14ac:dyDescent="0.3">
      <c r="A394" s="27" t="s">
        <v>3869</v>
      </c>
      <c r="B394" s="28">
        <v>9</v>
      </c>
      <c r="C394" s="28">
        <v>10</v>
      </c>
      <c r="D394" s="17">
        <v>2309.13</v>
      </c>
      <c r="E394" s="28">
        <v>4</v>
      </c>
      <c r="F394" s="28">
        <v>4</v>
      </c>
      <c r="G394" s="28">
        <v>4</v>
      </c>
      <c r="H394" s="28">
        <v>444</v>
      </c>
      <c r="I394" s="27" t="s">
        <v>4969</v>
      </c>
    </row>
    <row r="395" spans="1:9" x14ac:dyDescent="0.3">
      <c r="A395" s="27" t="s">
        <v>3881</v>
      </c>
      <c r="B395" s="28">
        <v>5</v>
      </c>
      <c r="C395" s="28">
        <v>6</v>
      </c>
      <c r="D395" s="17">
        <v>1507.93</v>
      </c>
      <c r="E395" s="28">
        <v>5</v>
      </c>
      <c r="F395" s="28">
        <v>3</v>
      </c>
      <c r="G395" s="28">
        <v>2</v>
      </c>
      <c r="H395" s="28">
        <v>532</v>
      </c>
      <c r="I395" s="27" t="s">
        <v>4973</v>
      </c>
    </row>
    <row r="396" spans="1:9" x14ac:dyDescent="0.3">
      <c r="A396" s="27" t="s">
        <v>3889</v>
      </c>
      <c r="B396" s="28">
        <v>32</v>
      </c>
      <c r="C396" s="28">
        <v>6</v>
      </c>
      <c r="D396" s="17">
        <v>1779.6</v>
      </c>
      <c r="E396" s="28">
        <v>3</v>
      </c>
      <c r="F396" s="28">
        <v>3</v>
      </c>
      <c r="G396" s="28">
        <v>3</v>
      </c>
      <c r="H396" s="28">
        <v>333</v>
      </c>
      <c r="I396" s="27" t="s">
        <v>4968</v>
      </c>
    </row>
    <row r="397" spans="1:9" x14ac:dyDescent="0.3">
      <c r="A397" s="27" t="s">
        <v>3897</v>
      </c>
      <c r="B397" s="28">
        <v>288</v>
      </c>
      <c r="C397" s="28">
        <v>1</v>
      </c>
      <c r="D397" s="17">
        <v>47.17</v>
      </c>
      <c r="E397" s="28">
        <v>1</v>
      </c>
      <c r="F397" s="28">
        <v>1</v>
      </c>
      <c r="G397" s="28">
        <v>1</v>
      </c>
      <c r="H397" s="28">
        <v>111</v>
      </c>
      <c r="I397" s="27" t="s">
        <v>4970</v>
      </c>
    </row>
    <row r="398" spans="1:9" x14ac:dyDescent="0.3">
      <c r="A398" s="27" t="s">
        <v>3900</v>
      </c>
      <c r="B398" s="28">
        <v>94</v>
      </c>
      <c r="C398" s="28">
        <v>4</v>
      </c>
      <c r="D398" s="17">
        <v>1306.3</v>
      </c>
      <c r="E398" s="28">
        <v>1</v>
      </c>
      <c r="F398" s="28">
        <v>2</v>
      </c>
      <c r="G398" s="28">
        <v>2</v>
      </c>
      <c r="H398" s="28">
        <v>122</v>
      </c>
      <c r="I398" s="27" t="s">
        <v>4970</v>
      </c>
    </row>
    <row r="399" spans="1:9" x14ac:dyDescent="0.3">
      <c r="A399" s="27" t="s">
        <v>3906</v>
      </c>
      <c r="B399" s="28">
        <v>76</v>
      </c>
      <c r="C399" s="28">
        <v>11</v>
      </c>
      <c r="D399" s="17">
        <v>1934.8000000000002</v>
      </c>
      <c r="E399" s="28">
        <v>2</v>
      </c>
      <c r="F399" s="28">
        <v>4</v>
      </c>
      <c r="G399" s="28">
        <v>3</v>
      </c>
      <c r="H399" s="28">
        <v>243</v>
      </c>
      <c r="I399" s="27" t="s">
        <v>4967</v>
      </c>
    </row>
    <row r="400" spans="1:9" x14ac:dyDescent="0.3">
      <c r="A400" s="27" t="s">
        <v>3919</v>
      </c>
      <c r="B400" s="28">
        <v>2</v>
      </c>
      <c r="C400" s="28">
        <v>7</v>
      </c>
      <c r="D400" s="17">
        <v>1495.2</v>
      </c>
      <c r="E400" s="28">
        <v>5</v>
      </c>
      <c r="F400" s="28">
        <v>3</v>
      </c>
      <c r="G400" s="28">
        <v>2</v>
      </c>
      <c r="H400" s="28">
        <v>532</v>
      </c>
      <c r="I400" s="27" t="s">
        <v>4973</v>
      </c>
    </row>
    <row r="401" spans="1:9" x14ac:dyDescent="0.3">
      <c r="A401" s="27" t="s">
        <v>3928</v>
      </c>
      <c r="B401" s="28">
        <v>53</v>
      </c>
      <c r="C401" s="28">
        <v>12</v>
      </c>
      <c r="D401" s="17">
        <v>3994.1799999999994</v>
      </c>
      <c r="E401" s="28">
        <v>2</v>
      </c>
      <c r="F401" s="28">
        <v>5</v>
      </c>
      <c r="G401" s="28">
        <v>5</v>
      </c>
      <c r="H401" s="28">
        <v>255</v>
      </c>
      <c r="I401" s="27" t="s">
        <v>4967</v>
      </c>
    </row>
    <row r="402" spans="1:9" x14ac:dyDescent="0.3">
      <c r="A402" s="27" t="s">
        <v>3942</v>
      </c>
      <c r="B402" s="28">
        <v>27</v>
      </c>
      <c r="C402" s="28">
        <v>4</v>
      </c>
      <c r="D402" s="17">
        <v>946.62</v>
      </c>
      <c r="E402" s="28">
        <v>3</v>
      </c>
      <c r="F402" s="28">
        <v>2</v>
      </c>
      <c r="G402" s="28">
        <v>2</v>
      </c>
      <c r="H402" s="28">
        <v>322</v>
      </c>
      <c r="I402" s="27" t="s">
        <v>4972</v>
      </c>
    </row>
    <row r="403" spans="1:9" x14ac:dyDescent="0.3">
      <c r="A403" s="27" t="s">
        <v>3948</v>
      </c>
      <c r="B403" s="28">
        <v>12</v>
      </c>
      <c r="C403" s="28">
        <v>12</v>
      </c>
      <c r="D403" s="17">
        <v>2414.6999999999998</v>
      </c>
      <c r="E403" s="28">
        <v>4</v>
      </c>
      <c r="F403" s="28">
        <v>5</v>
      </c>
      <c r="G403" s="28">
        <v>4</v>
      </c>
      <c r="H403" s="28">
        <v>454</v>
      </c>
      <c r="I403" s="27" t="s">
        <v>4969</v>
      </c>
    </row>
    <row r="404" spans="1:9" x14ac:dyDescent="0.3">
      <c r="A404" s="27" t="s">
        <v>3962</v>
      </c>
      <c r="B404" s="28">
        <v>47</v>
      </c>
      <c r="C404" s="28">
        <v>1</v>
      </c>
      <c r="D404" s="17">
        <v>230.25</v>
      </c>
      <c r="E404" s="28">
        <v>2</v>
      </c>
      <c r="F404" s="28">
        <v>1</v>
      </c>
      <c r="G404" s="28">
        <v>1</v>
      </c>
      <c r="H404" s="28">
        <v>211</v>
      </c>
      <c r="I404" s="27" t="s">
        <v>4970</v>
      </c>
    </row>
    <row r="405" spans="1:9" x14ac:dyDescent="0.3">
      <c r="A405" s="27" t="s">
        <v>3965</v>
      </c>
      <c r="B405" s="28">
        <v>107</v>
      </c>
      <c r="C405" s="28">
        <v>2</v>
      </c>
      <c r="D405" s="17">
        <v>255.65</v>
      </c>
      <c r="E405" s="28">
        <v>1</v>
      </c>
      <c r="F405" s="28">
        <v>1</v>
      </c>
      <c r="G405" s="28">
        <v>1</v>
      </c>
      <c r="H405" s="28">
        <v>111</v>
      </c>
      <c r="I405" s="27" t="s">
        <v>4970</v>
      </c>
    </row>
    <row r="406" spans="1:9" x14ac:dyDescent="0.3">
      <c r="A406" s="27" t="s">
        <v>3969</v>
      </c>
      <c r="B406" s="28">
        <v>14</v>
      </c>
      <c r="C406" s="28">
        <v>15</v>
      </c>
      <c r="D406" s="17">
        <v>3913.45</v>
      </c>
      <c r="E406" s="28">
        <v>4</v>
      </c>
      <c r="F406" s="28">
        <v>5</v>
      </c>
      <c r="G406" s="28">
        <v>5</v>
      </c>
      <c r="H406" s="28">
        <v>455</v>
      </c>
      <c r="I406" s="27" t="s">
        <v>4969</v>
      </c>
    </row>
    <row r="407" spans="1:9" x14ac:dyDescent="0.3">
      <c r="A407" s="27" t="s">
        <v>3986</v>
      </c>
      <c r="B407" s="28">
        <v>45</v>
      </c>
      <c r="C407" s="28">
        <v>13</v>
      </c>
      <c r="D407" s="17">
        <v>3282.91</v>
      </c>
      <c r="E407" s="28">
        <v>2</v>
      </c>
      <c r="F407" s="28">
        <v>5</v>
      </c>
      <c r="G407" s="28">
        <v>5</v>
      </c>
      <c r="H407" s="28">
        <v>255</v>
      </c>
      <c r="I407" s="27" t="s">
        <v>4967</v>
      </c>
    </row>
    <row r="408" spans="1:9" x14ac:dyDescent="0.3">
      <c r="A408" s="27" t="s">
        <v>4001</v>
      </c>
      <c r="B408" s="28">
        <v>7</v>
      </c>
      <c r="C408" s="28">
        <v>14</v>
      </c>
      <c r="D408" s="17">
        <v>2964.4300000000003</v>
      </c>
      <c r="E408" s="28">
        <v>5</v>
      </c>
      <c r="F408" s="28">
        <v>5</v>
      </c>
      <c r="G408" s="28">
        <v>4</v>
      </c>
      <c r="H408" s="28">
        <v>554</v>
      </c>
      <c r="I408" s="27" t="s">
        <v>4969</v>
      </c>
    </row>
    <row r="409" spans="1:9" x14ac:dyDescent="0.3">
      <c r="A409" s="27" t="s">
        <v>4017</v>
      </c>
      <c r="B409" s="28">
        <v>2</v>
      </c>
      <c r="C409" s="28">
        <v>15</v>
      </c>
      <c r="D409" s="17">
        <v>5083.6899999999996</v>
      </c>
      <c r="E409" s="28">
        <v>5</v>
      </c>
      <c r="F409" s="28">
        <v>5</v>
      </c>
      <c r="G409" s="28">
        <v>5</v>
      </c>
      <c r="H409" s="28">
        <v>555</v>
      </c>
      <c r="I409" s="27" t="s">
        <v>4969</v>
      </c>
    </row>
    <row r="410" spans="1:9" x14ac:dyDescent="0.3">
      <c r="A410" s="27" t="s">
        <v>4034</v>
      </c>
      <c r="B410" s="28">
        <v>2</v>
      </c>
      <c r="C410" s="28">
        <v>12</v>
      </c>
      <c r="D410" s="17">
        <v>2836.0699999999997</v>
      </c>
      <c r="E410" s="28">
        <v>5</v>
      </c>
      <c r="F410" s="28">
        <v>5</v>
      </c>
      <c r="G410" s="28">
        <v>4</v>
      </c>
      <c r="H410" s="28">
        <v>554</v>
      </c>
      <c r="I410" s="27" t="s">
        <v>4969</v>
      </c>
    </row>
    <row r="411" spans="1:9" x14ac:dyDescent="0.3">
      <c r="A411" s="27" t="s">
        <v>4048</v>
      </c>
      <c r="B411" s="28">
        <v>12</v>
      </c>
      <c r="C411" s="28">
        <v>4</v>
      </c>
      <c r="D411" s="17">
        <v>1059.8499999999999</v>
      </c>
      <c r="E411" s="28">
        <v>4</v>
      </c>
      <c r="F411" s="28">
        <v>2</v>
      </c>
      <c r="G411" s="28">
        <v>2</v>
      </c>
      <c r="H411" s="28">
        <v>422</v>
      </c>
      <c r="I411" s="27" t="s">
        <v>4971</v>
      </c>
    </row>
    <row r="412" spans="1:9" x14ac:dyDescent="0.3">
      <c r="A412" s="27" t="s">
        <v>4054</v>
      </c>
      <c r="B412" s="28">
        <v>3</v>
      </c>
      <c r="C412" s="28">
        <v>15</v>
      </c>
      <c r="D412" s="17">
        <v>3803.8199999999997</v>
      </c>
      <c r="E412" s="28">
        <v>5</v>
      </c>
      <c r="F412" s="28">
        <v>5</v>
      </c>
      <c r="G412" s="28">
        <v>5</v>
      </c>
      <c r="H412" s="28">
        <v>555</v>
      </c>
      <c r="I412" s="27" t="s">
        <v>4969</v>
      </c>
    </row>
    <row r="413" spans="1:9" x14ac:dyDescent="0.3">
      <c r="A413" s="27" t="s">
        <v>4071</v>
      </c>
      <c r="B413" s="28">
        <v>5</v>
      </c>
      <c r="C413" s="28">
        <v>2</v>
      </c>
      <c r="D413" s="17">
        <v>886.45</v>
      </c>
      <c r="E413" s="28">
        <v>5</v>
      </c>
      <c r="F413" s="28">
        <v>1</v>
      </c>
      <c r="G413" s="28">
        <v>1</v>
      </c>
      <c r="H413" s="28">
        <v>511</v>
      </c>
      <c r="I413" s="27" t="s">
        <v>4971</v>
      </c>
    </row>
    <row r="414" spans="1:9" x14ac:dyDescent="0.3">
      <c r="A414" s="27" t="s">
        <v>4075</v>
      </c>
      <c r="B414" s="28">
        <v>88</v>
      </c>
      <c r="C414" s="28">
        <v>14</v>
      </c>
      <c r="D414" s="17">
        <v>4649.5600000000004</v>
      </c>
      <c r="E414" s="28">
        <v>2</v>
      </c>
      <c r="F414" s="28">
        <v>5</v>
      </c>
      <c r="G414" s="28">
        <v>5</v>
      </c>
      <c r="H414" s="28">
        <v>255</v>
      </c>
      <c r="I414" s="27" t="s">
        <v>4967</v>
      </c>
    </row>
    <row r="415" spans="1:9" x14ac:dyDescent="0.3">
      <c r="A415" s="27" t="s">
        <v>4091</v>
      </c>
      <c r="B415" s="28">
        <v>88</v>
      </c>
      <c r="C415" s="28">
        <v>1</v>
      </c>
      <c r="D415" s="17">
        <v>121.45</v>
      </c>
      <c r="E415" s="28">
        <v>2</v>
      </c>
      <c r="F415" s="28">
        <v>1</v>
      </c>
      <c r="G415" s="28">
        <v>1</v>
      </c>
      <c r="H415" s="28">
        <v>211</v>
      </c>
      <c r="I415" s="27" t="s">
        <v>4970</v>
      </c>
    </row>
    <row r="416" spans="1:9" x14ac:dyDescent="0.3">
      <c r="A416" s="27" t="s">
        <v>4094</v>
      </c>
      <c r="B416" s="28">
        <v>89</v>
      </c>
      <c r="C416" s="28">
        <v>7</v>
      </c>
      <c r="D416" s="17">
        <v>1728.1</v>
      </c>
      <c r="E416" s="28">
        <v>2</v>
      </c>
      <c r="F416" s="28">
        <v>3</v>
      </c>
      <c r="G416" s="28">
        <v>3</v>
      </c>
      <c r="H416" s="28">
        <v>233</v>
      </c>
      <c r="I416" s="27" t="s">
        <v>4967</v>
      </c>
    </row>
    <row r="417" spans="1:9" x14ac:dyDescent="0.3">
      <c r="A417" s="27" t="s">
        <v>4103</v>
      </c>
      <c r="B417" s="28">
        <v>124</v>
      </c>
      <c r="C417" s="28">
        <v>8</v>
      </c>
      <c r="D417" s="17">
        <v>1830.35</v>
      </c>
      <c r="E417" s="28">
        <v>1</v>
      </c>
      <c r="F417" s="28">
        <v>3</v>
      </c>
      <c r="G417" s="28">
        <v>3</v>
      </c>
      <c r="H417" s="28">
        <v>133</v>
      </c>
      <c r="I417" s="27" t="s">
        <v>4967</v>
      </c>
    </row>
    <row r="418" spans="1:9" x14ac:dyDescent="0.3">
      <c r="A418" s="27" t="s">
        <v>4113</v>
      </c>
      <c r="B418" s="28">
        <v>37</v>
      </c>
      <c r="C418" s="28">
        <v>12</v>
      </c>
      <c r="D418" s="17">
        <v>3931</v>
      </c>
      <c r="E418" s="28">
        <v>3</v>
      </c>
      <c r="F418" s="28">
        <v>5</v>
      </c>
      <c r="G418" s="28">
        <v>5</v>
      </c>
      <c r="H418" s="28">
        <v>355</v>
      </c>
      <c r="I418" s="27" t="s">
        <v>4968</v>
      </c>
    </row>
    <row r="419" spans="1:9" x14ac:dyDescent="0.3">
      <c r="A419" s="27" t="s">
        <v>4127</v>
      </c>
      <c r="B419" s="28">
        <v>65</v>
      </c>
      <c r="C419" s="28">
        <v>10</v>
      </c>
      <c r="D419" s="17">
        <v>2766.0999999999995</v>
      </c>
      <c r="E419" s="28">
        <v>2</v>
      </c>
      <c r="F419" s="28">
        <v>4</v>
      </c>
      <c r="G419" s="28">
        <v>4</v>
      </c>
      <c r="H419" s="28">
        <v>244</v>
      </c>
      <c r="I419" s="27" t="s">
        <v>4967</v>
      </c>
    </row>
    <row r="420" spans="1:9" x14ac:dyDescent="0.3">
      <c r="A420" s="27" t="s">
        <v>4139</v>
      </c>
      <c r="B420" s="28">
        <v>42</v>
      </c>
      <c r="C420" s="28">
        <v>4</v>
      </c>
      <c r="D420" s="17">
        <v>741.21</v>
      </c>
      <c r="E420" s="28">
        <v>3</v>
      </c>
      <c r="F420" s="28">
        <v>2</v>
      </c>
      <c r="G420" s="28">
        <v>1</v>
      </c>
      <c r="H420" s="28">
        <v>321</v>
      </c>
      <c r="I420" s="27" t="s">
        <v>4972</v>
      </c>
    </row>
    <row r="421" spans="1:9" x14ac:dyDescent="0.3">
      <c r="A421" s="27" t="s">
        <v>4145</v>
      </c>
      <c r="B421" s="28">
        <v>64</v>
      </c>
      <c r="C421" s="28">
        <v>5</v>
      </c>
      <c r="D421" s="17">
        <v>1744.8900000000003</v>
      </c>
      <c r="E421" s="28">
        <v>2</v>
      </c>
      <c r="F421" s="28">
        <v>2</v>
      </c>
      <c r="G421" s="28">
        <v>3</v>
      </c>
      <c r="H421" s="28">
        <v>223</v>
      </c>
      <c r="I421" s="27" t="s">
        <v>4970</v>
      </c>
    </row>
    <row r="422" spans="1:9" x14ac:dyDescent="0.3">
      <c r="A422" s="27" t="s">
        <v>4152</v>
      </c>
      <c r="B422" s="28">
        <v>4</v>
      </c>
      <c r="C422" s="28">
        <v>11</v>
      </c>
      <c r="D422" s="17">
        <v>2773.0599999999995</v>
      </c>
      <c r="E422" s="28">
        <v>5</v>
      </c>
      <c r="F422" s="28">
        <v>4</v>
      </c>
      <c r="G422" s="28">
        <v>4</v>
      </c>
      <c r="H422" s="28">
        <v>544</v>
      </c>
      <c r="I422" s="27" t="s">
        <v>4969</v>
      </c>
    </row>
    <row r="423" spans="1:9" x14ac:dyDescent="0.3">
      <c r="A423" s="27" t="s">
        <v>4165</v>
      </c>
      <c r="B423" s="28">
        <v>1</v>
      </c>
      <c r="C423" s="28">
        <v>14</v>
      </c>
      <c r="D423" s="17">
        <v>3713.1099999999997</v>
      </c>
      <c r="E423" s="28">
        <v>5</v>
      </c>
      <c r="F423" s="28">
        <v>5</v>
      </c>
      <c r="G423" s="28">
        <v>5</v>
      </c>
      <c r="H423" s="28">
        <v>555</v>
      </c>
      <c r="I423" s="27" t="s">
        <v>4969</v>
      </c>
    </row>
    <row r="424" spans="1:9" x14ac:dyDescent="0.3">
      <c r="A424" s="27" t="s">
        <v>4181</v>
      </c>
      <c r="B424" s="28">
        <v>1</v>
      </c>
      <c r="C424" s="28">
        <v>12</v>
      </c>
      <c r="D424" s="17">
        <v>3120.99</v>
      </c>
      <c r="E424" s="28">
        <v>5</v>
      </c>
      <c r="F424" s="28">
        <v>5</v>
      </c>
      <c r="G424" s="28">
        <v>4</v>
      </c>
      <c r="H424" s="28">
        <v>554</v>
      </c>
      <c r="I424" s="27" t="s">
        <v>4969</v>
      </c>
    </row>
    <row r="425" spans="1:9" x14ac:dyDescent="0.3">
      <c r="A425" s="27" t="s">
        <v>4195</v>
      </c>
      <c r="B425" s="28">
        <v>32</v>
      </c>
      <c r="C425" s="28">
        <v>4</v>
      </c>
      <c r="D425" s="17">
        <v>1255.73</v>
      </c>
      <c r="E425" s="28">
        <v>3</v>
      </c>
      <c r="F425" s="28">
        <v>2</v>
      </c>
      <c r="G425" s="28">
        <v>2</v>
      </c>
      <c r="H425" s="28">
        <v>322</v>
      </c>
      <c r="I425" s="27" t="s">
        <v>4972</v>
      </c>
    </row>
    <row r="426" spans="1:9" x14ac:dyDescent="0.3">
      <c r="A426" s="27" t="s">
        <v>4201</v>
      </c>
      <c r="B426" s="28">
        <v>56</v>
      </c>
      <c r="C426" s="28">
        <v>4</v>
      </c>
      <c r="D426" s="17">
        <v>1145.1500000000001</v>
      </c>
      <c r="E426" s="28">
        <v>2</v>
      </c>
      <c r="F426" s="28">
        <v>2</v>
      </c>
      <c r="G426" s="28">
        <v>2</v>
      </c>
      <c r="H426" s="28">
        <v>222</v>
      </c>
      <c r="I426" s="27" t="s">
        <v>4970</v>
      </c>
    </row>
    <row r="427" spans="1:9" x14ac:dyDescent="0.3">
      <c r="A427" s="27" t="s">
        <v>4207</v>
      </c>
      <c r="B427" s="28">
        <v>57</v>
      </c>
      <c r="C427" s="28">
        <v>13</v>
      </c>
      <c r="D427" s="17">
        <v>3891.36</v>
      </c>
      <c r="E427" s="28">
        <v>2</v>
      </c>
      <c r="F427" s="28">
        <v>5</v>
      </c>
      <c r="G427" s="28">
        <v>5</v>
      </c>
      <c r="H427" s="28">
        <v>255</v>
      </c>
      <c r="I427" s="27" t="s">
        <v>4967</v>
      </c>
    </row>
    <row r="428" spans="1:9" x14ac:dyDescent="0.3">
      <c r="A428" s="27" t="s">
        <v>4222</v>
      </c>
      <c r="B428" s="28">
        <v>355</v>
      </c>
      <c r="C428" s="28">
        <v>1</v>
      </c>
      <c r="D428" s="17">
        <v>53.33</v>
      </c>
      <c r="E428" s="28">
        <v>1</v>
      </c>
      <c r="F428" s="28">
        <v>1</v>
      </c>
      <c r="G428" s="28">
        <v>1</v>
      </c>
      <c r="H428" s="28">
        <v>111</v>
      </c>
      <c r="I428" s="27" t="s">
        <v>4970</v>
      </c>
    </row>
    <row r="429" spans="1:9" x14ac:dyDescent="0.3">
      <c r="A429" s="27" t="s">
        <v>4225</v>
      </c>
      <c r="B429" s="28">
        <v>2</v>
      </c>
      <c r="C429" s="28">
        <v>5</v>
      </c>
      <c r="D429" s="17">
        <v>1159.06</v>
      </c>
      <c r="E429" s="28">
        <v>5</v>
      </c>
      <c r="F429" s="28">
        <v>2</v>
      </c>
      <c r="G429" s="28">
        <v>2</v>
      </c>
      <c r="H429" s="28">
        <v>522</v>
      </c>
      <c r="I429" s="27" t="s">
        <v>4971</v>
      </c>
    </row>
    <row r="430" spans="1:9" x14ac:dyDescent="0.3">
      <c r="A430" s="27" t="s">
        <v>4232</v>
      </c>
      <c r="B430" s="28">
        <v>175</v>
      </c>
      <c r="C430" s="28">
        <v>1</v>
      </c>
      <c r="D430" s="17">
        <v>219.66</v>
      </c>
      <c r="E430" s="28">
        <v>1</v>
      </c>
      <c r="F430" s="28">
        <v>1</v>
      </c>
      <c r="G430" s="28">
        <v>1</v>
      </c>
      <c r="H430" s="28">
        <v>111</v>
      </c>
      <c r="I430" s="27" t="s">
        <v>4970</v>
      </c>
    </row>
    <row r="431" spans="1:9" x14ac:dyDescent="0.3">
      <c r="A431" s="27" t="s">
        <v>4235</v>
      </c>
      <c r="B431" s="28">
        <v>2</v>
      </c>
      <c r="C431" s="28">
        <v>14</v>
      </c>
      <c r="D431" s="17">
        <v>3239.23</v>
      </c>
      <c r="E431" s="28">
        <v>5</v>
      </c>
      <c r="F431" s="28">
        <v>5</v>
      </c>
      <c r="G431" s="28">
        <v>5</v>
      </c>
      <c r="H431" s="28">
        <v>555</v>
      </c>
      <c r="I431" s="27" t="s">
        <v>4969</v>
      </c>
    </row>
    <row r="432" spans="1:9" x14ac:dyDescent="0.3">
      <c r="A432" s="27" t="s">
        <v>4251</v>
      </c>
      <c r="B432" s="28">
        <v>169</v>
      </c>
      <c r="C432" s="28">
        <v>2</v>
      </c>
      <c r="D432" s="17">
        <v>385.72</v>
      </c>
      <c r="E432" s="28">
        <v>1</v>
      </c>
      <c r="F432" s="28">
        <v>1</v>
      </c>
      <c r="G432" s="28">
        <v>1</v>
      </c>
      <c r="H432" s="28">
        <v>111</v>
      </c>
      <c r="I432" s="27" t="s">
        <v>4970</v>
      </c>
    </row>
    <row r="433" spans="1:9" x14ac:dyDescent="0.3">
      <c r="A433" s="27" t="s">
        <v>4255</v>
      </c>
      <c r="B433" s="28">
        <v>11</v>
      </c>
      <c r="C433" s="28">
        <v>14</v>
      </c>
      <c r="D433" s="17">
        <v>4338.09</v>
      </c>
      <c r="E433" s="28">
        <v>4</v>
      </c>
      <c r="F433" s="28">
        <v>5</v>
      </c>
      <c r="G433" s="28">
        <v>5</v>
      </c>
      <c r="H433" s="28">
        <v>455</v>
      </c>
      <c r="I433" s="27" t="s">
        <v>4969</v>
      </c>
    </row>
    <row r="434" spans="1:9" x14ac:dyDescent="0.3">
      <c r="A434" s="27" t="s">
        <v>4271</v>
      </c>
      <c r="B434" s="28">
        <v>163</v>
      </c>
      <c r="C434" s="28">
        <v>4</v>
      </c>
      <c r="D434" s="17">
        <v>980.14</v>
      </c>
      <c r="E434" s="28">
        <v>1</v>
      </c>
      <c r="F434" s="28">
        <v>2</v>
      </c>
      <c r="G434" s="28">
        <v>2</v>
      </c>
      <c r="H434" s="28">
        <v>122</v>
      </c>
      <c r="I434" s="27" t="s">
        <v>4970</v>
      </c>
    </row>
    <row r="435" spans="1:9" x14ac:dyDescent="0.3">
      <c r="A435" s="27" t="s">
        <v>4277</v>
      </c>
      <c r="B435" s="28">
        <v>129</v>
      </c>
      <c r="C435" s="28">
        <v>9</v>
      </c>
      <c r="D435" s="17">
        <v>2755.5799999999995</v>
      </c>
      <c r="E435" s="28">
        <v>1</v>
      </c>
      <c r="F435" s="28">
        <v>4</v>
      </c>
      <c r="G435" s="28">
        <v>4</v>
      </c>
      <c r="H435" s="28">
        <v>144</v>
      </c>
      <c r="I435" s="27" t="s">
        <v>4967</v>
      </c>
    </row>
    <row r="436" spans="1:9" x14ac:dyDescent="0.3">
      <c r="A436" s="27" t="s">
        <v>4288</v>
      </c>
      <c r="B436" s="28">
        <v>3</v>
      </c>
      <c r="C436" s="28">
        <v>10</v>
      </c>
      <c r="D436" s="17">
        <v>2540.3200000000002</v>
      </c>
      <c r="E436" s="28">
        <v>5</v>
      </c>
      <c r="F436" s="28">
        <v>4</v>
      </c>
      <c r="G436" s="28">
        <v>4</v>
      </c>
      <c r="H436" s="28">
        <v>544</v>
      </c>
      <c r="I436" s="27" t="s">
        <v>4969</v>
      </c>
    </row>
    <row r="437" spans="1:9" x14ac:dyDescent="0.3">
      <c r="A437" s="27" t="s">
        <v>4300</v>
      </c>
      <c r="B437" s="28">
        <v>21</v>
      </c>
      <c r="C437" s="28">
        <v>7</v>
      </c>
      <c r="D437" s="17">
        <v>2084.0500000000002</v>
      </c>
      <c r="E437" s="28">
        <v>3</v>
      </c>
      <c r="F437" s="28">
        <v>3</v>
      </c>
      <c r="G437" s="28">
        <v>3</v>
      </c>
      <c r="H437" s="28">
        <v>333</v>
      </c>
      <c r="I437" s="27" t="s">
        <v>4968</v>
      </c>
    </row>
    <row r="438" spans="1:9" x14ac:dyDescent="0.3">
      <c r="A438" s="27" t="s">
        <v>4309</v>
      </c>
      <c r="B438" s="28">
        <v>45</v>
      </c>
      <c r="C438" s="28">
        <v>7</v>
      </c>
      <c r="D438" s="17">
        <v>2157.0299999999997</v>
      </c>
      <c r="E438" s="28">
        <v>2</v>
      </c>
      <c r="F438" s="28">
        <v>3</v>
      </c>
      <c r="G438" s="28">
        <v>3</v>
      </c>
      <c r="H438" s="28">
        <v>233</v>
      </c>
      <c r="I438" s="27" t="s">
        <v>4967</v>
      </c>
    </row>
    <row r="439" spans="1:9" x14ac:dyDescent="0.3">
      <c r="A439" s="27" t="s">
        <v>4318</v>
      </c>
      <c r="B439" s="28">
        <v>1</v>
      </c>
      <c r="C439" s="28">
        <v>10</v>
      </c>
      <c r="D439" s="17">
        <v>2288.4499999999998</v>
      </c>
      <c r="E439" s="28">
        <v>5</v>
      </c>
      <c r="F439" s="28">
        <v>4</v>
      </c>
      <c r="G439" s="28">
        <v>3</v>
      </c>
      <c r="H439" s="28">
        <v>543</v>
      </c>
      <c r="I439" s="27" t="s">
        <v>4968</v>
      </c>
    </row>
    <row r="440" spans="1:9" x14ac:dyDescent="0.3">
      <c r="A440" s="27" t="s">
        <v>4330</v>
      </c>
      <c r="B440" s="28">
        <v>36</v>
      </c>
      <c r="C440" s="28">
        <v>9</v>
      </c>
      <c r="D440" s="17">
        <v>2281.6499999999996</v>
      </c>
      <c r="E440" s="28">
        <v>3</v>
      </c>
      <c r="F440" s="28">
        <v>4</v>
      </c>
      <c r="G440" s="28">
        <v>3</v>
      </c>
      <c r="H440" s="28">
        <v>343</v>
      </c>
      <c r="I440" s="27" t="s">
        <v>4968</v>
      </c>
    </row>
    <row r="441" spans="1:9" x14ac:dyDescent="0.3">
      <c r="A441" s="27" t="s">
        <v>4341</v>
      </c>
      <c r="B441" s="28">
        <v>22</v>
      </c>
      <c r="C441" s="28">
        <v>4</v>
      </c>
      <c r="D441" s="17">
        <v>901.11999999999989</v>
      </c>
      <c r="E441" s="28">
        <v>3</v>
      </c>
      <c r="F441" s="28">
        <v>2</v>
      </c>
      <c r="G441" s="28">
        <v>1</v>
      </c>
      <c r="H441" s="28">
        <v>321</v>
      </c>
      <c r="I441" s="27" t="s">
        <v>4972</v>
      </c>
    </row>
    <row r="442" spans="1:9" x14ac:dyDescent="0.3">
      <c r="A442" s="27" t="s">
        <v>4347</v>
      </c>
      <c r="B442" s="28">
        <v>11</v>
      </c>
      <c r="C442" s="28">
        <v>7</v>
      </c>
      <c r="D442" s="17">
        <v>1983.3500000000001</v>
      </c>
      <c r="E442" s="28">
        <v>4</v>
      </c>
      <c r="F442" s="28">
        <v>3</v>
      </c>
      <c r="G442" s="28">
        <v>3</v>
      </c>
      <c r="H442" s="28">
        <v>433</v>
      </c>
      <c r="I442" s="27" t="s">
        <v>4968</v>
      </c>
    </row>
    <row r="443" spans="1:9" x14ac:dyDescent="0.3">
      <c r="A443" s="27" t="s">
        <v>4356</v>
      </c>
      <c r="B443" s="28">
        <v>5</v>
      </c>
      <c r="C443" s="28">
        <v>8</v>
      </c>
      <c r="D443" s="17">
        <v>2153.19</v>
      </c>
      <c r="E443" s="28">
        <v>5</v>
      </c>
      <c r="F443" s="28">
        <v>3</v>
      </c>
      <c r="G443" s="28">
        <v>3</v>
      </c>
      <c r="H443" s="28">
        <v>533</v>
      </c>
      <c r="I443" s="27" t="s">
        <v>4968</v>
      </c>
    </row>
    <row r="444" spans="1:9" x14ac:dyDescent="0.3">
      <c r="A444" s="27" t="s">
        <v>4366</v>
      </c>
      <c r="B444" s="28">
        <v>12</v>
      </c>
      <c r="C444" s="28">
        <v>9</v>
      </c>
      <c r="D444" s="17">
        <v>2883.45</v>
      </c>
      <c r="E444" s="28">
        <v>4</v>
      </c>
      <c r="F444" s="28">
        <v>4</v>
      </c>
      <c r="G444" s="28">
        <v>4</v>
      </c>
      <c r="H444" s="28">
        <v>444</v>
      </c>
      <c r="I444" s="27" t="s">
        <v>4969</v>
      </c>
    </row>
    <row r="445" spans="1:9" x14ac:dyDescent="0.3">
      <c r="A445" s="27" t="s">
        <v>4377</v>
      </c>
      <c r="B445" s="28">
        <v>8</v>
      </c>
      <c r="C445" s="28">
        <v>15</v>
      </c>
      <c r="D445" s="17">
        <v>3293.4600000000005</v>
      </c>
      <c r="E445" s="28">
        <v>4</v>
      </c>
      <c r="F445" s="28">
        <v>5</v>
      </c>
      <c r="G445" s="28">
        <v>5</v>
      </c>
      <c r="H445" s="28">
        <v>455</v>
      </c>
      <c r="I445" s="27" t="s">
        <v>4969</v>
      </c>
    </row>
    <row r="446" spans="1:9" x14ac:dyDescent="0.3">
      <c r="A446" s="27" t="s">
        <v>4394</v>
      </c>
      <c r="B446" s="28">
        <v>68</v>
      </c>
      <c r="C446" s="28">
        <v>7</v>
      </c>
      <c r="D446" s="17">
        <v>2071.56</v>
      </c>
      <c r="E446" s="28">
        <v>2</v>
      </c>
      <c r="F446" s="28">
        <v>3</v>
      </c>
      <c r="G446" s="28">
        <v>3</v>
      </c>
      <c r="H446" s="28">
        <v>233</v>
      </c>
      <c r="I446" s="27" t="s">
        <v>4967</v>
      </c>
    </row>
    <row r="447" spans="1:9" x14ac:dyDescent="0.3">
      <c r="A447" s="27" t="s">
        <v>4403</v>
      </c>
      <c r="B447" s="28">
        <v>71</v>
      </c>
      <c r="C447" s="28">
        <v>4</v>
      </c>
      <c r="D447" s="17">
        <v>641.95000000000005</v>
      </c>
      <c r="E447" s="28">
        <v>2</v>
      </c>
      <c r="F447" s="28">
        <v>2</v>
      </c>
      <c r="G447" s="28">
        <v>1</v>
      </c>
      <c r="H447" s="28">
        <v>221</v>
      </c>
      <c r="I447" s="27" t="s">
        <v>4970</v>
      </c>
    </row>
    <row r="448" spans="1:9" x14ac:dyDescent="0.3">
      <c r="A448" s="27" t="s">
        <v>4409</v>
      </c>
      <c r="B448" s="28">
        <v>249</v>
      </c>
      <c r="C448" s="28">
        <v>7</v>
      </c>
      <c r="D448" s="17">
        <v>1795.32</v>
      </c>
      <c r="E448" s="28">
        <v>1</v>
      </c>
      <c r="F448" s="28">
        <v>3</v>
      </c>
      <c r="G448" s="28">
        <v>3</v>
      </c>
      <c r="H448" s="28">
        <v>133</v>
      </c>
      <c r="I448" s="27" t="s">
        <v>4967</v>
      </c>
    </row>
    <row r="449" spans="1:9" x14ac:dyDescent="0.3">
      <c r="A449" s="27" t="s">
        <v>4418</v>
      </c>
      <c r="B449" s="28">
        <v>32</v>
      </c>
      <c r="C449" s="28">
        <v>11</v>
      </c>
      <c r="D449" s="17">
        <v>2028.5299999999997</v>
      </c>
      <c r="E449" s="28">
        <v>3</v>
      </c>
      <c r="F449" s="28">
        <v>4</v>
      </c>
      <c r="G449" s="28">
        <v>3</v>
      </c>
      <c r="H449" s="28">
        <v>343</v>
      </c>
      <c r="I449" s="27" t="s">
        <v>4968</v>
      </c>
    </row>
    <row r="450" spans="1:9" x14ac:dyDescent="0.3">
      <c r="A450" s="27" t="s">
        <v>4431</v>
      </c>
      <c r="B450" s="28">
        <v>36</v>
      </c>
      <c r="C450" s="28">
        <v>3</v>
      </c>
      <c r="D450" s="17">
        <v>806.07</v>
      </c>
      <c r="E450" s="28">
        <v>3</v>
      </c>
      <c r="F450" s="28">
        <v>1</v>
      </c>
      <c r="G450" s="28">
        <v>1</v>
      </c>
      <c r="H450" s="28">
        <v>311</v>
      </c>
      <c r="I450" s="27" t="s">
        <v>4972</v>
      </c>
    </row>
    <row r="451" spans="1:9" x14ac:dyDescent="0.3">
      <c r="A451" s="27" t="s">
        <v>4436</v>
      </c>
      <c r="B451" s="28">
        <v>38</v>
      </c>
      <c r="C451" s="28">
        <v>14</v>
      </c>
      <c r="D451" s="17">
        <v>3608.11</v>
      </c>
      <c r="E451" s="28">
        <v>3</v>
      </c>
      <c r="F451" s="28">
        <v>5</v>
      </c>
      <c r="G451" s="28">
        <v>5</v>
      </c>
      <c r="H451" s="28">
        <v>355</v>
      </c>
      <c r="I451" s="27" t="s">
        <v>4968</v>
      </c>
    </row>
    <row r="452" spans="1:9" x14ac:dyDescent="0.3">
      <c r="A452" s="27" t="s">
        <v>4452</v>
      </c>
      <c r="B452" s="28">
        <v>46</v>
      </c>
      <c r="C452" s="28">
        <v>11</v>
      </c>
      <c r="D452" s="17">
        <v>3462.77</v>
      </c>
      <c r="E452" s="28">
        <v>2</v>
      </c>
      <c r="F452" s="28">
        <v>4</v>
      </c>
      <c r="G452" s="28">
        <v>5</v>
      </c>
      <c r="H452" s="28">
        <v>245</v>
      </c>
      <c r="I452" s="27" t="s">
        <v>4967</v>
      </c>
    </row>
    <row r="453" spans="1:9" x14ac:dyDescent="0.3">
      <c r="A453" s="27" t="s">
        <v>4465</v>
      </c>
      <c r="B453" s="28">
        <v>63</v>
      </c>
      <c r="C453" s="28">
        <v>2</v>
      </c>
      <c r="D453" s="17">
        <v>675.53</v>
      </c>
      <c r="E453" s="28">
        <v>2</v>
      </c>
      <c r="F453" s="28">
        <v>1</v>
      </c>
      <c r="G453" s="28">
        <v>1</v>
      </c>
      <c r="H453" s="28">
        <v>211</v>
      </c>
      <c r="I453" s="27" t="s">
        <v>4970</v>
      </c>
    </row>
    <row r="454" spans="1:9" x14ac:dyDescent="0.3">
      <c r="A454" s="27" t="s">
        <v>4469</v>
      </c>
      <c r="B454" s="28">
        <v>1</v>
      </c>
      <c r="C454" s="28">
        <v>13</v>
      </c>
      <c r="D454" s="17">
        <v>3849.57</v>
      </c>
      <c r="E454" s="28">
        <v>5</v>
      </c>
      <c r="F454" s="28">
        <v>5</v>
      </c>
      <c r="G454" s="28">
        <v>5</v>
      </c>
      <c r="H454" s="28">
        <v>555</v>
      </c>
      <c r="I454" s="27" t="s">
        <v>4969</v>
      </c>
    </row>
    <row r="455" spans="1:9" x14ac:dyDescent="0.3">
      <c r="A455" s="27" t="s">
        <v>4484</v>
      </c>
      <c r="B455" s="28">
        <v>14</v>
      </c>
      <c r="C455" s="28">
        <v>2</v>
      </c>
      <c r="D455" s="17">
        <v>800.34</v>
      </c>
      <c r="E455" s="28">
        <v>4</v>
      </c>
      <c r="F455" s="28">
        <v>1</v>
      </c>
      <c r="G455" s="28">
        <v>1</v>
      </c>
      <c r="H455" s="28">
        <v>411</v>
      </c>
      <c r="I455" s="27" t="s">
        <v>4971</v>
      </c>
    </row>
    <row r="456" spans="1:9" x14ac:dyDescent="0.3">
      <c r="A456" s="27" t="s">
        <v>4488</v>
      </c>
      <c r="B456" s="28">
        <v>12</v>
      </c>
      <c r="C456" s="28">
        <v>4</v>
      </c>
      <c r="D456" s="17">
        <v>504.86</v>
      </c>
      <c r="E456" s="28">
        <v>4</v>
      </c>
      <c r="F456" s="28">
        <v>2</v>
      </c>
      <c r="G456" s="28">
        <v>1</v>
      </c>
      <c r="H456" s="28">
        <v>421</v>
      </c>
      <c r="I456" s="27" t="s">
        <v>4971</v>
      </c>
    </row>
    <row r="457" spans="1:9" x14ac:dyDescent="0.3">
      <c r="A457" s="27" t="s">
        <v>4494</v>
      </c>
      <c r="B457" s="28">
        <v>16</v>
      </c>
      <c r="C457" s="28">
        <v>12</v>
      </c>
      <c r="D457" s="17">
        <v>3524.1799999999994</v>
      </c>
      <c r="E457" s="28">
        <v>4</v>
      </c>
      <c r="F457" s="28">
        <v>5</v>
      </c>
      <c r="G457" s="28">
        <v>5</v>
      </c>
      <c r="H457" s="28">
        <v>455</v>
      </c>
      <c r="I457" s="27" t="s">
        <v>4969</v>
      </c>
    </row>
    <row r="458" spans="1:9" x14ac:dyDescent="0.3">
      <c r="A458" s="27" t="s">
        <v>4508</v>
      </c>
      <c r="B458" s="28">
        <v>13</v>
      </c>
      <c r="C458" s="28">
        <v>9</v>
      </c>
      <c r="D458" s="17">
        <v>2511.17</v>
      </c>
      <c r="E458" s="28">
        <v>4</v>
      </c>
      <c r="F458" s="28">
        <v>4</v>
      </c>
      <c r="G458" s="28">
        <v>4</v>
      </c>
      <c r="H458" s="28">
        <v>444</v>
      </c>
      <c r="I458" s="27" t="s">
        <v>4969</v>
      </c>
    </row>
    <row r="459" spans="1:9" x14ac:dyDescent="0.3">
      <c r="A459" s="27" t="s">
        <v>4519</v>
      </c>
      <c r="B459" s="28">
        <v>30</v>
      </c>
      <c r="C459" s="28">
        <v>4</v>
      </c>
      <c r="D459" s="17">
        <v>1065.52</v>
      </c>
      <c r="E459" s="28">
        <v>3</v>
      </c>
      <c r="F459" s="28">
        <v>2</v>
      </c>
      <c r="G459" s="28">
        <v>2</v>
      </c>
      <c r="H459" s="28">
        <v>322</v>
      </c>
      <c r="I459" s="27" t="s">
        <v>4972</v>
      </c>
    </row>
    <row r="460" spans="1:9" x14ac:dyDescent="0.3">
      <c r="A460" s="27" t="s">
        <v>4525</v>
      </c>
      <c r="B460" s="28">
        <v>2</v>
      </c>
      <c r="C460" s="28">
        <v>9</v>
      </c>
      <c r="D460" s="17">
        <v>2190.42</v>
      </c>
      <c r="E460" s="28">
        <v>5</v>
      </c>
      <c r="F460" s="28">
        <v>4</v>
      </c>
      <c r="G460" s="28">
        <v>3</v>
      </c>
      <c r="H460" s="28">
        <v>543</v>
      </c>
      <c r="I460" s="27" t="s">
        <v>4968</v>
      </c>
    </row>
    <row r="461" spans="1:9" x14ac:dyDescent="0.3">
      <c r="A461" s="27" t="s">
        <v>4536</v>
      </c>
      <c r="B461" s="28">
        <v>25</v>
      </c>
      <c r="C461" s="28">
        <v>5</v>
      </c>
      <c r="D461" s="17">
        <v>925.77</v>
      </c>
      <c r="E461" s="28">
        <v>3</v>
      </c>
      <c r="F461" s="28">
        <v>2</v>
      </c>
      <c r="G461" s="28">
        <v>1</v>
      </c>
      <c r="H461" s="28">
        <v>321</v>
      </c>
      <c r="I461" s="27" t="s">
        <v>4972</v>
      </c>
    </row>
    <row r="462" spans="1:9" x14ac:dyDescent="0.3">
      <c r="A462" s="27" t="s">
        <v>4543</v>
      </c>
      <c r="B462" s="28">
        <v>19</v>
      </c>
      <c r="C462" s="28">
        <v>9</v>
      </c>
      <c r="D462" s="17">
        <v>1802.0700000000002</v>
      </c>
      <c r="E462" s="28">
        <v>4</v>
      </c>
      <c r="F462" s="28">
        <v>4</v>
      </c>
      <c r="G462" s="28">
        <v>3</v>
      </c>
      <c r="H462" s="28">
        <v>443</v>
      </c>
      <c r="I462" s="27" t="s">
        <v>4968</v>
      </c>
    </row>
    <row r="463" spans="1:9" x14ac:dyDescent="0.3">
      <c r="A463" s="27" t="s">
        <v>4554</v>
      </c>
      <c r="B463" s="28">
        <v>3</v>
      </c>
      <c r="C463" s="28">
        <v>12</v>
      </c>
      <c r="D463" s="17">
        <v>2824.9</v>
      </c>
      <c r="E463" s="28">
        <v>5</v>
      </c>
      <c r="F463" s="28">
        <v>5</v>
      </c>
      <c r="G463" s="28">
        <v>4</v>
      </c>
      <c r="H463" s="28">
        <v>554</v>
      </c>
      <c r="I463" s="27" t="s">
        <v>4969</v>
      </c>
    </row>
    <row r="464" spans="1:9" x14ac:dyDescent="0.3">
      <c r="A464" s="27" t="s">
        <v>4568</v>
      </c>
      <c r="B464" s="28">
        <v>120</v>
      </c>
      <c r="C464" s="28">
        <v>15</v>
      </c>
      <c r="D464" s="17">
        <v>4289.3999999999996</v>
      </c>
      <c r="E464" s="28">
        <v>1</v>
      </c>
      <c r="F464" s="28">
        <v>5</v>
      </c>
      <c r="G464" s="28">
        <v>5</v>
      </c>
      <c r="H464" s="28">
        <v>155</v>
      </c>
      <c r="I464" s="27" t="s">
        <v>4967</v>
      </c>
    </row>
    <row r="465" spans="1:9" x14ac:dyDescent="0.3">
      <c r="A465" s="27" t="s">
        <v>4585</v>
      </c>
      <c r="B465" s="28">
        <v>7</v>
      </c>
      <c r="C465" s="28">
        <v>9</v>
      </c>
      <c r="D465" s="17">
        <v>2098.2200000000003</v>
      </c>
      <c r="E465" s="28">
        <v>5</v>
      </c>
      <c r="F465" s="28">
        <v>4</v>
      </c>
      <c r="G465" s="28">
        <v>3</v>
      </c>
      <c r="H465" s="28">
        <v>543</v>
      </c>
      <c r="I465" s="27" t="s">
        <v>4968</v>
      </c>
    </row>
    <row r="466" spans="1:9" x14ac:dyDescent="0.3">
      <c r="A466" s="27" t="s">
        <v>4596</v>
      </c>
      <c r="B466" s="28">
        <v>3</v>
      </c>
      <c r="C466" s="28">
        <v>14</v>
      </c>
      <c r="D466" s="17">
        <v>3928.3399999999997</v>
      </c>
      <c r="E466" s="28">
        <v>5</v>
      </c>
      <c r="F466" s="28">
        <v>5</v>
      </c>
      <c r="G466" s="28">
        <v>5</v>
      </c>
      <c r="H466" s="28">
        <v>555</v>
      </c>
      <c r="I466" s="27" t="s">
        <v>4969</v>
      </c>
    </row>
    <row r="467" spans="1:9" x14ac:dyDescent="0.3">
      <c r="A467" s="27" t="s">
        <v>4612</v>
      </c>
      <c r="B467" s="28">
        <v>88</v>
      </c>
      <c r="C467" s="28">
        <v>7</v>
      </c>
      <c r="D467" s="17">
        <v>1822.72</v>
      </c>
      <c r="E467" s="28">
        <v>2</v>
      </c>
      <c r="F467" s="28">
        <v>3</v>
      </c>
      <c r="G467" s="28">
        <v>3</v>
      </c>
      <c r="H467" s="28">
        <v>233</v>
      </c>
      <c r="I467" s="27" t="s">
        <v>4967</v>
      </c>
    </row>
    <row r="468" spans="1:9" x14ac:dyDescent="0.3">
      <c r="A468" s="27" t="s">
        <v>4621</v>
      </c>
      <c r="B468" s="28">
        <v>35</v>
      </c>
      <c r="C468" s="28">
        <v>13</v>
      </c>
      <c r="D468" s="17">
        <v>2467.02</v>
      </c>
      <c r="E468" s="28">
        <v>3</v>
      </c>
      <c r="F468" s="28">
        <v>5</v>
      </c>
      <c r="G468" s="28">
        <v>4</v>
      </c>
      <c r="H468" s="28">
        <v>354</v>
      </c>
      <c r="I468" s="27" t="s">
        <v>4968</v>
      </c>
    </row>
    <row r="469" spans="1:9" x14ac:dyDescent="0.3">
      <c r="A469" s="27" t="s">
        <v>4636</v>
      </c>
      <c r="B469" s="28">
        <v>1</v>
      </c>
      <c r="C469" s="28">
        <v>7</v>
      </c>
      <c r="D469" s="17">
        <v>1241.1499999999999</v>
      </c>
      <c r="E469" s="28">
        <v>5</v>
      </c>
      <c r="F469" s="28">
        <v>3</v>
      </c>
      <c r="G469" s="28">
        <v>2</v>
      </c>
      <c r="H469" s="28">
        <v>532</v>
      </c>
      <c r="I469" s="27" t="s">
        <v>4973</v>
      </c>
    </row>
    <row r="470" spans="1:9" x14ac:dyDescent="0.3">
      <c r="A470" s="27" t="s">
        <v>4645</v>
      </c>
      <c r="B470" s="28">
        <v>138</v>
      </c>
      <c r="C470" s="28">
        <v>7</v>
      </c>
      <c r="D470" s="17">
        <v>1847.56</v>
      </c>
      <c r="E470" s="28">
        <v>1</v>
      </c>
      <c r="F470" s="28">
        <v>3</v>
      </c>
      <c r="G470" s="28">
        <v>3</v>
      </c>
      <c r="H470" s="28">
        <v>133</v>
      </c>
      <c r="I470" s="27" t="s">
        <v>4967</v>
      </c>
    </row>
    <row r="471" spans="1:9" x14ac:dyDescent="0.3">
      <c r="A471" s="27" t="s">
        <v>4654</v>
      </c>
      <c r="B471" s="28">
        <v>3</v>
      </c>
      <c r="C471" s="28">
        <v>14</v>
      </c>
      <c r="D471" s="17">
        <v>4012.3700000000003</v>
      </c>
      <c r="E471" s="28">
        <v>5</v>
      </c>
      <c r="F471" s="28">
        <v>5</v>
      </c>
      <c r="G471" s="28">
        <v>5</v>
      </c>
      <c r="H471" s="28">
        <v>555</v>
      </c>
      <c r="I471" s="27" t="s">
        <v>4969</v>
      </c>
    </row>
    <row r="472" spans="1:9" x14ac:dyDescent="0.3">
      <c r="A472" s="27" t="s">
        <v>4670</v>
      </c>
      <c r="B472" s="28">
        <v>35</v>
      </c>
      <c r="C472" s="28">
        <v>6</v>
      </c>
      <c r="D472" s="17">
        <v>1121.83</v>
      </c>
      <c r="E472" s="28">
        <v>3</v>
      </c>
      <c r="F472" s="28">
        <v>3</v>
      </c>
      <c r="G472" s="28">
        <v>2</v>
      </c>
      <c r="H472" s="28">
        <v>332</v>
      </c>
      <c r="I472" s="27" t="s">
        <v>4972</v>
      </c>
    </row>
    <row r="473" spans="1:9" x14ac:dyDescent="0.3">
      <c r="A473" s="27" t="s">
        <v>4678</v>
      </c>
      <c r="B473" s="28">
        <v>21</v>
      </c>
      <c r="C473" s="28">
        <v>14</v>
      </c>
      <c r="D473" s="17">
        <v>3393.93</v>
      </c>
      <c r="E473" s="28">
        <v>3</v>
      </c>
      <c r="F473" s="28">
        <v>5</v>
      </c>
      <c r="G473" s="28">
        <v>5</v>
      </c>
      <c r="H473" s="28">
        <v>355</v>
      </c>
      <c r="I473" s="27" t="s">
        <v>4968</v>
      </c>
    </row>
    <row r="474" spans="1:9" x14ac:dyDescent="0.3">
      <c r="A474" s="27" t="s">
        <v>4694</v>
      </c>
      <c r="B474" s="28">
        <v>13</v>
      </c>
      <c r="C474" s="28">
        <v>4</v>
      </c>
      <c r="D474" s="17">
        <v>681.5</v>
      </c>
      <c r="E474" s="28">
        <v>4</v>
      </c>
      <c r="F474" s="28">
        <v>2</v>
      </c>
      <c r="G474" s="28">
        <v>1</v>
      </c>
      <c r="H474" s="28">
        <v>421</v>
      </c>
      <c r="I474" s="27" t="s">
        <v>4971</v>
      </c>
    </row>
    <row r="475" spans="1:9" x14ac:dyDescent="0.3">
      <c r="A475" s="27" t="s">
        <v>4700</v>
      </c>
      <c r="B475" s="28">
        <v>12</v>
      </c>
      <c r="C475" s="28">
        <v>5</v>
      </c>
      <c r="D475" s="17">
        <v>1593.6599999999999</v>
      </c>
      <c r="E475" s="28">
        <v>4</v>
      </c>
      <c r="F475" s="28">
        <v>2</v>
      </c>
      <c r="G475" s="28">
        <v>3</v>
      </c>
      <c r="H475" s="28">
        <v>423</v>
      </c>
      <c r="I475" s="27" t="s">
        <v>4971</v>
      </c>
    </row>
    <row r="476" spans="1:9" x14ac:dyDescent="0.3">
      <c r="A476" s="27" t="s">
        <v>4707</v>
      </c>
      <c r="B476" s="28">
        <v>237</v>
      </c>
      <c r="C476" s="28">
        <v>4</v>
      </c>
      <c r="D476" s="17">
        <v>975.62999999999988</v>
      </c>
      <c r="E476" s="28">
        <v>1</v>
      </c>
      <c r="F476" s="28">
        <v>2</v>
      </c>
      <c r="G476" s="28">
        <v>2</v>
      </c>
      <c r="H476" s="28">
        <v>122</v>
      </c>
      <c r="I476" s="27" t="s">
        <v>4970</v>
      </c>
    </row>
    <row r="477" spans="1:9" x14ac:dyDescent="0.3">
      <c r="A477" s="27" t="s">
        <v>4713</v>
      </c>
      <c r="B477" s="28">
        <v>8</v>
      </c>
      <c r="C477" s="28">
        <v>11</v>
      </c>
      <c r="D477" s="17">
        <v>3834.82</v>
      </c>
      <c r="E477" s="28">
        <v>4</v>
      </c>
      <c r="F477" s="28">
        <v>4</v>
      </c>
      <c r="G477" s="28">
        <v>5</v>
      </c>
      <c r="H477" s="28">
        <v>445</v>
      </c>
      <c r="I477" s="27" t="s">
        <v>4969</v>
      </c>
    </row>
    <row r="478" spans="1:9" x14ac:dyDescent="0.3">
      <c r="A478" s="27" t="s">
        <v>4726</v>
      </c>
      <c r="B478" s="28">
        <v>4</v>
      </c>
      <c r="C478" s="28">
        <v>6</v>
      </c>
      <c r="D478" s="17">
        <v>1685.9599999999998</v>
      </c>
      <c r="E478" s="28">
        <v>5</v>
      </c>
      <c r="F478" s="28">
        <v>3</v>
      </c>
      <c r="G478" s="28">
        <v>3</v>
      </c>
      <c r="H478" s="28">
        <v>533</v>
      </c>
      <c r="I478" s="27" t="s">
        <v>4968</v>
      </c>
    </row>
    <row r="479" spans="1:9" x14ac:dyDescent="0.3">
      <c r="A479" s="27" t="s">
        <v>4734</v>
      </c>
      <c r="B479" s="28">
        <v>6</v>
      </c>
      <c r="C479" s="28">
        <v>15</v>
      </c>
      <c r="D479" s="17">
        <v>3732.1099999999997</v>
      </c>
      <c r="E479" s="28">
        <v>5</v>
      </c>
      <c r="F479" s="28">
        <v>5</v>
      </c>
      <c r="G479" s="28">
        <v>5</v>
      </c>
      <c r="H479" s="28">
        <v>555</v>
      </c>
      <c r="I479" s="27" t="s">
        <v>4969</v>
      </c>
    </row>
    <row r="480" spans="1:9" x14ac:dyDescent="0.3">
      <c r="A480" s="27" t="s">
        <v>4751</v>
      </c>
      <c r="B480" s="28">
        <v>4</v>
      </c>
      <c r="C480" s="28">
        <v>15</v>
      </c>
      <c r="D480" s="17">
        <v>4081.47</v>
      </c>
      <c r="E480" s="28">
        <v>5</v>
      </c>
      <c r="F480" s="28">
        <v>5</v>
      </c>
      <c r="G480" s="28">
        <v>5</v>
      </c>
      <c r="H480" s="28">
        <v>555</v>
      </c>
      <c r="I480" s="27" t="s">
        <v>4969</v>
      </c>
    </row>
    <row r="481" spans="1:9" x14ac:dyDescent="0.3">
      <c r="A481" s="27" t="s">
        <v>4768</v>
      </c>
      <c r="B481" s="28">
        <v>38</v>
      </c>
      <c r="C481" s="28">
        <v>8</v>
      </c>
      <c r="D481" s="17">
        <v>1243.29</v>
      </c>
      <c r="E481" s="28">
        <v>3</v>
      </c>
      <c r="F481" s="28">
        <v>3</v>
      </c>
      <c r="G481" s="28">
        <v>2</v>
      </c>
      <c r="H481" s="28">
        <v>332</v>
      </c>
      <c r="I481" s="27" t="s">
        <v>4972</v>
      </c>
    </row>
    <row r="482" spans="1:9" x14ac:dyDescent="0.3">
      <c r="A482" s="27" t="s">
        <v>4778</v>
      </c>
      <c r="B482" s="28">
        <v>54</v>
      </c>
      <c r="C482" s="28">
        <v>1</v>
      </c>
      <c r="D482" s="17">
        <v>412.35</v>
      </c>
      <c r="E482" s="28">
        <v>2</v>
      </c>
      <c r="F482" s="28">
        <v>1</v>
      </c>
      <c r="G482" s="28">
        <v>1</v>
      </c>
      <c r="H482" s="28">
        <v>211</v>
      </c>
      <c r="I482" s="27" t="s">
        <v>4970</v>
      </c>
    </row>
    <row r="483" spans="1:9" x14ac:dyDescent="0.3">
      <c r="A483" s="27" t="s">
        <v>4781</v>
      </c>
      <c r="B483" s="28">
        <v>1</v>
      </c>
      <c r="C483" s="28">
        <v>8</v>
      </c>
      <c r="D483" s="17">
        <v>1980.04</v>
      </c>
      <c r="E483" s="28">
        <v>5</v>
      </c>
      <c r="F483" s="28">
        <v>3</v>
      </c>
      <c r="G483" s="28">
        <v>3</v>
      </c>
      <c r="H483" s="28">
        <v>533</v>
      </c>
      <c r="I483" s="27" t="s">
        <v>4968</v>
      </c>
    </row>
    <row r="484" spans="1:9" x14ac:dyDescent="0.3">
      <c r="A484" s="27" t="s">
        <v>4791</v>
      </c>
      <c r="B484" s="28">
        <v>164</v>
      </c>
      <c r="C484" s="28">
        <v>3</v>
      </c>
      <c r="D484" s="17">
        <v>614.58999999999992</v>
      </c>
      <c r="E484" s="28">
        <v>1</v>
      </c>
      <c r="F484" s="28">
        <v>1</v>
      </c>
      <c r="G484" s="28">
        <v>1</v>
      </c>
      <c r="H484" s="28">
        <v>111</v>
      </c>
      <c r="I484" s="27" t="s">
        <v>4970</v>
      </c>
    </row>
    <row r="485" spans="1:9" x14ac:dyDescent="0.3">
      <c r="A485" s="27" t="s">
        <v>4796</v>
      </c>
      <c r="B485" s="28">
        <v>4</v>
      </c>
      <c r="C485" s="28">
        <v>3</v>
      </c>
      <c r="D485" s="17">
        <v>1286.29</v>
      </c>
      <c r="E485" s="28">
        <v>5</v>
      </c>
      <c r="F485" s="28">
        <v>1</v>
      </c>
      <c r="G485" s="28">
        <v>2</v>
      </c>
      <c r="H485" s="28">
        <v>512</v>
      </c>
      <c r="I485" s="27" t="s">
        <v>4971</v>
      </c>
    </row>
    <row r="486" spans="1:9" x14ac:dyDescent="0.3">
      <c r="A486" s="27" t="s">
        <v>4801</v>
      </c>
      <c r="B486" s="28">
        <v>88</v>
      </c>
      <c r="C486" s="28">
        <v>10</v>
      </c>
      <c r="D486" s="17">
        <v>2969.5199999999995</v>
      </c>
      <c r="E486" s="28">
        <v>2</v>
      </c>
      <c r="F486" s="28">
        <v>4</v>
      </c>
      <c r="G486" s="28">
        <v>4</v>
      </c>
      <c r="H486" s="28">
        <v>244</v>
      </c>
      <c r="I486" s="27" t="s">
        <v>4967</v>
      </c>
    </row>
    <row r="487" spans="1:9" x14ac:dyDescent="0.3">
      <c r="A487" s="27" t="s">
        <v>4813</v>
      </c>
      <c r="B487" s="28">
        <v>13</v>
      </c>
      <c r="C487" s="28">
        <v>10</v>
      </c>
      <c r="D487" s="17">
        <v>2882.52</v>
      </c>
      <c r="E487" s="28">
        <v>4</v>
      </c>
      <c r="F487" s="28">
        <v>4</v>
      </c>
      <c r="G487" s="28">
        <v>4</v>
      </c>
      <c r="H487" s="28">
        <v>444</v>
      </c>
      <c r="I487" s="27" t="s">
        <v>4969</v>
      </c>
    </row>
    <row r="488" spans="1:9" x14ac:dyDescent="0.3">
      <c r="A488" s="27" t="s">
        <v>4825</v>
      </c>
      <c r="B488" s="28">
        <v>33</v>
      </c>
      <c r="C488" s="28">
        <v>9</v>
      </c>
      <c r="D488" s="17">
        <v>2318.0299999999997</v>
      </c>
      <c r="E488" s="28">
        <v>3</v>
      </c>
      <c r="F488" s="28">
        <v>4</v>
      </c>
      <c r="G488" s="28">
        <v>4</v>
      </c>
      <c r="H488" s="28">
        <v>344</v>
      </c>
      <c r="I488" s="27" t="s">
        <v>4968</v>
      </c>
    </row>
    <row r="489" spans="1:9" x14ac:dyDescent="0.3">
      <c r="A489" s="27" t="s">
        <v>4836</v>
      </c>
      <c r="B489" s="28">
        <v>214</v>
      </c>
      <c r="C489" s="28">
        <v>1</v>
      </c>
      <c r="D489" s="17">
        <v>358.97</v>
      </c>
      <c r="E489" s="28">
        <v>1</v>
      </c>
      <c r="F489" s="28">
        <v>1</v>
      </c>
      <c r="G489" s="28">
        <v>1</v>
      </c>
      <c r="H489" s="28">
        <v>111</v>
      </c>
      <c r="I489" s="27" t="s">
        <v>4970</v>
      </c>
    </row>
    <row r="490" spans="1:9" x14ac:dyDescent="0.3">
      <c r="A490" s="27" t="s">
        <v>4839</v>
      </c>
      <c r="B490" s="28">
        <v>34</v>
      </c>
      <c r="C490" s="28">
        <v>12</v>
      </c>
      <c r="D490" s="17">
        <v>2432.8999999999996</v>
      </c>
      <c r="E490" s="28">
        <v>3</v>
      </c>
      <c r="F490" s="28">
        <v>5</v>
      </c>
      <c r="G490" s="28">
        <v>4</v>
      </c>
      <c r="H490" s="28">
        <v>354</v>
      </c>
      <c r="I490" s="27" t="s">
        <v>4968</v>
      </c>
    </row>
    <row r="491" spans="1:9" x14ac:dyDescent="0.3">
      <c r="A491" s="27" t="s">
        <v>4853</v>
      </c>
      <c r="B491" s="28">
        <v>44</v>
      </c>
      <c r="C491" s="28">
        <v>11</v>
      </c>
      <c r="D491" s="17">
        <v>3134.36</v>
      </c>
      <c r="E491" s="28">
        <v>2</v>
      </c>
      <c r="F491" s="28">
        <v>4</v>
      </c>
      <c r="G491" s="28">
        <v>5</v>
      </c>
      <c r="H491" s="28">
        <v>245</v>
      </c>
      <c r="I491" s="27" t="s">
        <v>4967</v>
      </c>
    </row>
    <row r="492" spans="1:9" x14ac:dyDescent="0.3">
      <c r="A492" s="27" t="s">
        <v>4866</v>
      </c>
      <c r="B492" s="28">
        <v>53</v>
      </c>
      <c r="C492" s="28">
        <v>1</v>
      </c>
      <c r="D492" s="17">
        <v>406.46</v>
      </c>
      <c r="E492" s="28">
        <v>2</v>
      </c>
      <c r="F492" s="28">
        <v>1</v>
      </c>
      <c r="G492" s="28">
        <v>1</v>
      </c>
      <c r="H492" s="28">
        <v>211</v>
      </c>
      <c r="I492" s="27" t="s">
        <v>4970</v>
      </c>
    </row>
    <row r="493" spans="1:9" x14ac:dyDescent="0.3">
      <c r="A493" s="27" t="s">
        <v>4869</v>
      </c>
      <c r="B493" s="28">
        <v>2</v>
      </c>
      <c r="C493" s="28">
        <v>8</v>
      </c>
      <c r="D493" s="17">
        <v>1917.75</v>
      </c>
      <c r="E493" s="28">
        <v>5</v>
      </c>
      <c r="F493" s="28">
        <v>3</v>
      </c>
      <c r="G493" s="28">
        <v>3</v>
      </c>
      <c r="H493" s="28">
        <v>533</v>
      </c>
      <c r="I493" s="27" t="s">
        <v>4968</v>
      </c>
    </row>
    <row r="494" spans="1:9" x14ac:dyDescent="0.3">
      <c r="A494" s="27" t="s">
        <v>4879</v>
      </c>
      <c r="B494" s="28">
        <v>5</v>
      </c>
      <c r="C494" s="28">
        <v>6</v>
      </c>
      <c r="D494" s="17">
        <v>1468.0400000000002</v>
      </c>
      <c r="E494" s="28">
        <v>5</v>
      </c>
      <c r="F494" s="28">
        <v>3</v>
      </c>
      <c r="G494" s="28">
        <v>2</v>
      </c>
      <c r="H494" s="28">
        <v>532</v>
      </c>
      <c r="I494" s="27" t="s">
        <v>4973</v>
      </c>
    </row>
    <row r="495" spans="1:9" x14ac:dyDescent="0.3">
      <c r="A495" s="27" t="s">
        <v>4887</v>
      </c>
      <c r="B495" s="28">
        <v>48</v>
      </c>
      <c r="C495" s="28">
        <v>5</v>
      </c>
      <c r="D495" s="17">
        <v>1228.51</v>
      </c>
      <c r="E495" s="28">
        <v>2</v>
      </c>
      <c r="F495" s="28">
        <v>2</v>
      </c>
      <c r="G495" s="28">
        <v>2</v>
      </c>
      <c r="H495" s="28">
        <v>222</v>
      </c>
      <c r="I495" s="27" t="s">
        <v>4970</v>
      </c>
    </row>
    <row r="496" spans="1:9" x14ac:dyDescent="0.3">
      <c r="A496" s="27" t="s">
        <v>4894</v>
      </c>
      <c r="B496" s="28">
        <v>30</v>
      </c>
      <c r="C496" s="28">
        <v>4</v>
      </c>
      <c r="D496" s="17">
        <v>1189.1200000000001</v>
      </c>
      <c r="E496" s="28">
        <v>3</v>
      </c>
      <c r="F496" s="28">
        <v>2</v>
      </c>
      <c r="G496" s="28">
        <v>2</v>
      </c>
      <c r="H496" s="28">
        <v>322</v>
      </c>
      <c r="I496" s="27" t="s">
        <v>4972</v>
      </c>
    </row>
    <row r="497" spans="1:9" x14ac:dyDescent="0.3">
      <c r="A497" s="27" t="s">
        <v>4900</v>
      </c>
      <c r="B497" s="28">
        <v>48</v>
      </c>
      <c r="C497" s="28">
        <v>10</v>
      </c>
      <c r="D497" s="17">
        <v>2253.9</v>
      </c>
      <c r="E497" s="28">
        <v>2</v>
      </c>
      <c r="F497" s="28">
        <v>4</v>
      </c>
      <c r="G497" s="28">
        <v>3</v>
      </c>
      <c r="H497" s="28">
        <v>243</v>
      </c>
      <c r="I497" s="27" t="s">
        <v>4967</v>
      </c>
    </row>
    <row r="498" spans="1:9" x14ac:dyDescent="0.3">
      <c r="A498" s="27" t="s">
        <v>4912</v>
      </c>
      <c r="B498" s="28">
        <v>51</v>
      </c>
      <c r="C498" s="28">
        <v>12</v>
      </c>
      <c r="D498" s="17">
        <v>2317.7799999999997</v>
      </c>
      <c r="E498" s="28">
        <v>2</v>
      </c>
      <c r="F498" s="28">
        <v>5</v>
      </c>
      <c r="G498" s="28">
        <v>4</v>
      </c>
      <c r="H498" s="28">
        <v>254</v>
      </c>
      <c r="I498" s="27" t="s">
        <v>4967</v>
      </c>
    </row>
    <row r="499" spans="1:9" x14ac:dyDescent="0.3">
      <c r="A499" s="27" t="s">
        <v>4926</v>
      </c>
      <c r="B499" s="28">
        <v>83</v>
      </c>
      <c r="C499" s="28">
        <v>1</v>
      </c>
      <c r="D499" s="17">
        <v>269.06</v>
      </c>
      <c r="E499" s="28">
        <v>2</v>
      </c>
      <c r="F499" s="28">
        <v>1</v>
      </c>
      <c r="G499" s="28">
        <v>1</v>
      </c>
      <c r="H499" s="28">
        <v>211</v>
      </c>
      <c r="I499" s="27" t="s">
        <v>4970</v>
      </c>
    </row>
    <row r="500" spans="1:9" x14ac:dyDescent="0.3">
      <c r="A500" s="27" t="s">
        <v>4929</v>
      </c>
      <c r="B500" s="28">
        <v>19</v>
      </c>
      <c r="C500" s="28">
        <v>15</v>
      </c>
      <c r="D500" s="17">
        <v>3876.27</v>
      </c>
      <c r="E500" s="28">
        <v>4</v>
      </c>
      <c r="F500" s="28">
        <v>5</v>
      </c>
      <c r="G500" s="28">
        <v>5</v>
      </c>
      <c r="H500" s="28">
        <v>455</v>
      </c>
      <c r="I500" s="27" t="s">
        <v>4969</v>
      </c>
    </row>
    <row r="501" spans="1:9" x14ac:dyDescent="0.3">
      <c r="A501" s="27" t="s">
        <v>4946</v>
      </c>
      <c r="B501" s="28">
        <v>71</v>
      </c>
      <c r="C501" s="28">
        <v>5</v>
      </c>
      <c r="D501" s="17">
        <v>1166.9399999999998</v>
      </c>
      <c r="E501" s="28">
        <v>2</v>
      </c>
      <c r="F501" s="28">
        <v>2</v>
      </c>
      <c r="G501" s="28">
        <v>2</v>
      </c>
      <c r="H501" s="28">
        <v>222</v>
      </c>
      <c r="I501" s="27" t="s">
        <v>4970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D716C-907A-4640-B39C-75C595EAA54D}">
  <dimension ref="A1:H501"/>
  <sheetViews>
    <sheetView workbookViewId="0">
      <selection activeCell="C5" sqref="C5"/>
    </sheetView>
  </sheetViews>
  <sheetFormatPr defaultRowHeight="14.4" x14ac:dyDescent="0.3"/>
  <cols>
    <col min="1" max="1" width="13.77734375" customWidth="1"/>
    <col min="2" max="2" width="20.88671875" customWidth="1"/>
    <col min="3" max="3" width="19.6640625" style="1" customWidth="1"/>
    <col min="4" max="4" width="19.77734375" style="1" customWidth="1"/>
    <col min="5" max="5" width="24.44140625" style="2" customWidth="1"/>
    <col min="6" max="6" width="27.109375" customWidth="1"/>
    <col min="7" max="7" width="20" customWidth="1"/>
    <col min="8" max="8" width="22.44140625" customWidth="1"/>
  </cols>
  <sheetData>
    <row r="1" spans="1:8" x14ac:dyDescent="0.3">
      <c r="A1" s="13" t="s">
        <v>1</v>
      </c>
      <c r="B1" s="14" t="s">
        <v>4960</v>
      </c>
      <c r="C1" s="14" t="s">
        <v>4961</v>
      </c>
      <c r="D1" s="14" t="s">
        <v>4962</v>
      </c>
      <c r="E1" s="14" t="s">
        <v>4964</v>
      </c>
      <c r="F1" s="14" t="s">
        <v>4963</v>
      </c>
      <c r="G1" s="14" t="s">
        <v>4965</v>
      </c>
      <c r="H1" s="15" t="s">
        <v>4966</v>
      </c>
    </row>
    <row r="2" spans="1:8" x14ac:dyDescent="0.3">
      <c r="A2" s="16" t="s">
        <v>8</v>
      </c>
      <c r="B2" s="17">
        <v>168.26857142857142</v>
      </c>
      <c r="C2" s="18">
        <v>45540</v>
      </c>
      <c r="D2" s="18">
        <v>45279</v>
      </c>
      <c r="E2" s="19">
        <v>0.71457905544147848</v>
      </c>
      <c r="F2" s="19">
        <v>5.7633136094674553</v>
      </c>
      <c r="G2" s="17">
        <v>692.98772612003381</v>
      </c>
      <c r="H2" s="20">
        <v>207.89631783601013</v>
      </c>
    </row>
    <row r="3" spans="1:8" x14ac:dyDescent="0.3">
      <c r="A3" s="16" t="s">
        <v>21</v>
      </c>
      <c r="B3" s="17">
        <v>288.33333333333331</v>
      </c>
      <c r="C3" s="18">
        <v>45632</v>
      </c>
      <c r="D3" s="18">
        <v>44980</v>
      </c>
      <c r="E3" s="19">
        <v>1.78507871321013</v>
      </c>
      <c r="F3" s="19">
        <v>6.564325295791523</v>
      </c>
      <c r="G3" s="17">
        <v>3378.6431031900552</v>
      </c>
      <c r="H3" s="20">
        <v>1013.5929309570165</v>
      </c>
    </row>
    <row r="4" spans="1:8" x14ac:dyDescent="0.3">
      <c r="A4" s="16" t="s">
        <v>40</v>
      </c>
      <c r="B4" s="17">
        <v>259.70333333333332</v>
      </c>
      <c r="C4" s="18">
        <v>45651</v>
      </c>
      <c r="D4" s="18">
        <v>45566</v>
      </c>
      <c r="E4" s="19">
        <v>0.2327173169062286</v>
      </c>
      <c r="F4" s="19">
        <v>20.471742176553011</v>
      </c>
      <c r="G4" s="17">
        <v>1237.2601588042969</v>
      </c>
      <c r="H4" s="20">
        <v>371.17804764128908</v>
      </c>
    </row>
    <row r="5" spans="1:8" x14ac:dyDescent="0.3">
      <c r="A5" s="16" t="s">
        <v>57</v>
      </c>
      <c r="B5" s="17">
        <v>135.95000000000002</v>
      </c>
      <c r="C5" s="18">
        <v>45502</v>
      </c>
      <c r="D5" s="18">
        <v>44973</v>
      </c>
      <c r="E5" s="19">
        <v>1.4483230663928817</v>
      </c>
      <c r="F5" s="19">
        <v>1.0265238011593185</v>
      </c>
      <c r="G5" s="17">
        <v>202.12204461619535</v>
      </c>
      <c r="H5" s="20">
        <v>60.636613384858606</v>
      </c>
    </row>
    <row r="6" spans="1:8" x14ac:dyDescent="0.3">
      <c r="A6" s="16" t="s">
        <v>61</v>
      </c>
      <c r="B6" s="17">
        <v>227.18285714285713</v>
      </c>
      <c r="C6" s="18">
        <v>45639</v>
      </c>
      <c r="D6" s="18">
        <v>45409</v>
      </c>
      <c r="E6" s="19">
        <v>0.62970568104038327</v>
      </c>
      <c r="F6" s="19">
        <v>12.392608300514997</v>
      </c>
      <c r="G6" s="17">
        <v>1772.8659194183581</v>
      </c>
      <c r="H6" s="20">
        <v>531.85977582550743</v>
      </c>
    </row>
    <row r="7" spans="1:8" x14ac:dyDescent="0.3">
      <c r="A7" s="16" t="s">
        <v>77</v>
      </c>
      <c r="B7" s="17">
        <v>248.27454545454546</v>
      </c>
      <c r="C7" s="18">
        <v>45621</v>
      </c>
      <c r="D7" s="18">
        <v>45512</v>
      </c>
      <c r="E7" s="19">
        <v>0.29842573579739906</v>
      </c>
      <c r="F7" s="19">
        <v>13.777111015859408</v>
      </c>
      <c r="G7" s="17">
        <v>1020.7670124303472</v>
      </c>
      <c r="H7" s="20">
        <v>306.23010372910414</v>
      </c>
    </row>
    <row r="8" spans="1:8" x14ac:dyDescent="0.3">
      <c r="A8" s="16" t="s">
        <v>90</v>
      </c>
      <c r="B8" s="17">
        <v>339.8533333333333</v>
      </c>
      <c r="C8" s="18">
        <v>45642</v>
      </c>
      <c r="D8" s="18">
        <v>45057</v>
      </c>
      <c r="E8" s="19">
        <v>1.6016427104722792</v>
      </c>
      <c r="F8" s="19">
        <v>4.2823644357596482</v>
      </c>
      <c r="G8" s="17">
        <v>2330.992085979482</v>
      </c>
      <c r="H8" s="20">
        <v>699.29762579384453</v>
      </c>
    </row>
    <row r="9" spans="1:8" x14ac:dyDescent="0.3">
      <c r="A9" s="16" t="s">
        <v>101</v>
      </c>
      <c r="B9" s="17">
        <v>332.89250000000004</v>
      </c>
      <c r="C9" s="18">
        <v>45593</v>
      </c>
      <c r="D9" s="18">
        <v>45156</v>
      </c>
      <c r="E9" s="19">
        <v>1.1964407939767283</v>
      </c>
      <c r="F9" s="19">
        <v>2.3578777486382894</v>
      </c>
      <c r="G9" s="17">
        <v>939.11009078071436</v>
      </c>
      <c r="H9" s="20">
        <v>281.73302723421432</v>
      </c>
    </row>
    <row r="10" spans="1:8" x14ac:dyDescent="0.3">
      <c r="A10" s="16" t="s">
        <v>107</v>
      </c>
      <c r="B10" s="17">
        <v>300.99125000000004</v>
      </c>
      <c r="C10" s="18">
        <v>45648</v>
      </c>
      <c r="D10" s="18">
        <v>45371</v>
      </c>
      <c r="E10" s="19">
        <v>0.75838466803559201</v>
      </c>
      <c r="F10" s="19">
        <v>6.3573565406581451</v>
      </c>
      <c r="G10" s="17">
        <v>1451.1756540658146</v>
      </c>
      <c r="H10" s="20">
        <v>435.35269621974436</v>
      </c>
    </row>
    <row r="11" spans="1:8" x14ac:dyDescent="0.3">
      <c r="A11" s="16" t="s">
        <v>117</v>
      </c>
      <c r="B11" s="17">
        <v>304.73142857142864</v>
      </c>
      <c r="C11" s="18">
        <v>45642</v>
      </c>
      <c r="D11" s="18">
        <v>45483</v>
      </c>
      <c r="E11" s="19">
        <v>0.43531827515400412</v>
      </c>
      <c r="F11" s="19">
        <v>7.4840834248079036</v>
      </c>
      <c r="G11" s="17">
        <v>992.80228320526919</v>
      </c>
      <c r="H11" s="20">
        <v>297.84068496158073</v>
      </c>
    </row>
    <row r="12" spans="1:8" x14ac:dyDescent="0.3">
      <c r="A12" s="16" t="s">
        <v>126</v>
      </c>
      <c r="B12" s="17">
        <v>256.72538461538466</v>
      </c>
      <c r="C12" s="18">
        <v>45633</v>
      </c>
      <c r="D12" s="18">
        <v>45126</v>
      </c>
      <c r="E12" s="19">
        <v>1.3880903490759753</v>
      </c>
      <c r="F12" s="19">
        <v>6.8852637302882007</v>
      </c>
      <c r="G12" s="17">
        <v>2453.6190103317026</v>
      </c>
      <c r="H12" s="20">
        <v>736.08570309951074</v>
      </c>
    </row>
    <row r="13" spans="1:8" x14ac:dyDescent="0.3">
      <c r="A13" s="16" t="s">
        <v>141</v>
      </c>
      <c r="B13" s="17">
        <v>193.93199999999996</v>
      </c>
      <c r="C13" s="18">
        <v>45553</v>
      </c>
      <c r="D13" s="18">
        <v>45093</v>
      </c>
      <c r="E13" s="19">
        <v>1.2594113620807665</v>
      </c>
      <c r="F13" s="19">
        <v>5.6837191207936204</v>
      </c>
      <c r="G13" s="17">
        <v>1388.1924917331257</v>
      </c>
      <c r="H13" s="20">
        <v>416.4577475199377</v>
      </c>
    </row>
    <row r="14" spans="1:8" x14ac:dyDescent="0.3">
      <c r="A14" s="16" t="s">
        <v>153</v>
      </c>
      <c r="B14" s="17">
        <v>354.43</v>
      </c>
      <c r="C14" s="18">
        <v>45569</v>
      </c>
      <c r="D14" s="18">
        <v>45189</v>
      </c>
      <c r="E14" s="19">
        <v>1.0403832991101984</v>
      </c>
      <c r="F14" s="19">
        <v>1.9475672072872696</v>
      </c>
      <c r="G14" s="17">
        <v>718.15187736058658</v>
      </c>
      <c r="H14" s="20">
        <v>215.44556320817597</v>
      </c>
    </row>
    <row r="15" spans="1:8" x14ac:dyDescent="0.3">
      <c r="A15" s="16" t="s">
        <v>158</v>
      </c>
      <c r="B15" s="17">
        <v>254.84333333333328</v>
      </c>
      <c r="C15" s="18">
        <v>45628</v>
      </c>
      <c r="D15" s="18">
        <v>44972</v>
      </c>
      <c r="E15" s="19">
        <v>1.7960301163586585</v>
      </c>
      <c r="F15" s="19">
        <v>5.2264122820092407</v>
      </c>
      <c r="G15" s="17">
        <v>2392.1618363392449</v>
      </c>
      <c r="H15" s="20">
        <v>717.64855090177343</v>
      </c>
    </row>
    <row r="16" spans="1:8" x14ac:dyDescent="0.3">
      <c r="A16" s="16" t="s">
        <v>172</v>
      </c>
      <c r="B16" s="17">
        <v>347.01499999999999</v>
      </c>
      <c r="C16" s="18">
        <v>45644</v>
      </c>
      <c r="D16" s="18">
        <v>45555</v>
      </c>
      <c r="E16" s="19">
        <v>0.24366872005475701</v>
      </c>
      <c r="F16" s="19">
        <v>5.3787390704095719</v>
      </c>
      <c r="G16" s="17">
        <v>454.80843074091115</v>
      </c>
      <c r="H16" s="20">
        <v>136.44252922227335</v>
      </c>
    </row>
    <row r="17" spans="1:8" x14ac:dyDescent="0.3">
      <c r="A17" s="16" t="s">
        <v>178</v>
      </c>
      <c r="B17" s="17">
        <v>264.3890909090909</v>
      </c>
      <c r="C17" s="18">
        <v>45655</v>
      </c>
      <c r="D17" s="18">
        <v>45620</v>
      </c>
      <c r="E17" s="19">
        <v>9.5824777549623541E-2</v>
      </c>
      <c r="F17" s="19">
        <v>18.461803561171742</v>
      </c>
      <c r="G17" s="17">
        <v>467.73026995979319</v>
      </c>
      <c r="H17" s="20">
        <v>140.31908098793795</v>
      </c>
    </row>
    <row r="18" spans="1:8" x14ac:dyDescent="0.3">
      <c r="A18" s="16" t="s">
        <v>191</v>
      </c>
      <c r="B18" s="17">
        <v>248.08571428571432</v>
      </c>
      <c r="C18" s="18">
        <v>45634</v>
      </c>
      <c r="D18" s="18">
        <v>45106</v>
      </c>
      <c r="E18" s="19">
        <v>1.4455852156057496</v>
      </c>
      <c r="F18" s="19">
        <v>7.1957783641160944</v>
      </c>
      <c r="G18" s="17">
        <v>2580.6150923482851</v>
      </c>
      <c r="H18" s="20">
        <v>774.1845277044855</v>
      </c>
    </row>
    <row r="19" spans="1:8" x14ac:dyDescent="0.3">
      <c r="A19" s="16" t="s">
        <v>207</v>
      </c>
      <c r="B19" s="17">
        <v>358.58333333333331</v>
      </c>
      <c r="C19" s="18">
        <v>45647</v>
      </c>
      <c r="D19" s="18">
        <v>45426</v>
      </c>
      <c r="E19" s="19">
        <v>0.60506502395619444</v>
      </c>
      <c r="F19" s="19">
        <v>5.4295447506968095</v>
      </c>
      <c r="G19" s="17">
        <v>1178.0278724063176</v>
      </c>
      <c r="H19" s="20">
        <v>353.40836172189523</v>
      </c>
    </row>
    <row r="20" spans="1:8" x14ac:dyDescent="0.3">
      <c r="A20" s="16" t="s">
        <v>215</v>
      </c>
      <c r="B20" s="17">
        <v>233.32499999999999</v>
      </c>
      <c r="C20" s="18">
        <v>45629</v>
      </c>
      <c r="D20" s="18">
        <v>45545</v>
      </c>
      <c r="E20" s="19">
        <v>0.2299794661190965</v>
      </c>
      <c r="F20" s="19">
        <v>5.4796061884669482</v>
      </c>
      <c r="G20" s="17">
        <v>294.03544303797463</v>
      </c>
      <c r="H20" s="20">
        <v>88.210632911392381</v>
      </c>
    </row>
    <row r="21" spans="1:8" x14ac:dyDescent="0.3">
      <c r="A21" s="16" t="s">
        <v>221</v>
      </c>
      <c r="B21" s="17">
        <v>222.76999999999998</v>
      </c>
      <c r="C21" s="18">
        <v>45616</v>
      </c>
      <c r="D21" s="18">
        <v>45074</v>
      </c>
      <c r="E21" s="19">
        <v>1.483915126625599</v>
      </c>
      <c r="F21" s="19">
        <v>6.5526996722442643</v>
      </c>
      <c r="G21" s="17">
        <v>2166.1375470070725</v>
      </c>
      <c r="H21" s="20">
        <v>649.84126410212173</v>
      </c>
    </row>
    <row r="22" spans="1:8" x14ac:dyDescent="0.3">
      <c r="A22" s="16" t="s">
        <v>236</v>
      </c>
      <c r="B22" s="17">
        <v>348.9</v>
      </c>
      <c r="C22" s="18">
        <v>45638</v>
      </c>
      <c r="D22" s="18">
        <v>45307</v>
      </c>
      <c r="E22" s="19">
        <v>0.90622861054072557</v>
      </c>
      <c r="F22" s="19">
        <v>1.4222438549525431</v>
      </c>
      <c r="G22" s="17">
        <v>449.68955950352881</v>
      </c>
      <c r="H22" s="20">
        <v>134.90686785105865</v>
      </c>
    </row>
    <row r="23" spans="1:8" x14ac:dyDescent="0.3">
      <c r="A23" s="16" t="s">
        <v>240</v>
      </c>
      <c r="B23" s="17">
        <v>243.24142857142854</v>
      </c>
      <c r="C23" s="18">
        <v>45648</v>
      </c>
      <c r="D23" s="18">
        <v>45337</v>
      </c>
      <c r="E23" s="19">
        <v>0.85147159479808354</v>
      </c>
      <c r="F23" s="19">
        <v>10.359078247657635</v>
      </c>
      <c r="G23" s="17">
        <v>2145.5015041782726</v>
      </c>
      <c r="H23" s="20">
        <v>643.65045125348172</v>
      </c>
    </row>
    <row r="24" spans="1:8" x14ac:dyDescent="0.3">
      <c r="A24" s="16" t="s">
        <v>256</v>
      </c>
      <c r="B24" s="17">
        <v>262.31692307692316</v>
      </c>
      <c r="C24" s="18">
        <v>45489</v>
      </c>
      <c r="D24" s="18">
        <v>44960</v>
      </c>
      <c r="E24" s="19">
        <v>1.4483230663928817</v>
      </c>
      <c r="F24" s="19">
        <v>6.6724047075355699</v>
      </c>
      <c r="G24" s="17">
        <v>2534.977663797647</v>
      </c>
      <c r="H24" s="20">
        <v>760.49329913929409</v>
      </c>
    </row>
    <row r="25" spans="1:8" x14ac:dyDescent="0.3">
      <c r="A25" s="16" t="s">
        <v>271</v>
      </c>
      <c r="B25" s="17">
        <v>224.01699999999997</v>
      </c>
      <c r="C25" s="18">
        <v>45656</v>
      </c>
      <c r="D25" s="18">
        <v>45618</v>
      </c>
      <c r="E25" s="19">
        <v>0.10403832991101986</v>
      </c>
      <c r="F25" s="19">
        <v>16.555240793201133</v>
      </c>
      <c r="G25" s="17">
        <v>385.84231161473082</v>
      </c>
      <c r="H25" s="20">
        <v>115.75269348441924</v>
      </c>
    </row>
    <row r="26" spans="1:8" x14ac:dyDescent="0.3">
      <c r="A26" s="16" t="s">
        <v>283</v>
      </c>
      <c r="B26" s="17">
        <v>290.72750000000002</v>
      </c>
      <c r="C26" s="18">
        <v>45608</v>
      </c>
      <c r="D26" s="18">
        <v>45308</v>
      </c>
      <c r="E26" s="19">
        <v>0.82135523613963035</v>
      </c>
      <c r="F26" s="19">
        <v>3.0271950271950274</v>
      </c>
      <c r="G26" s="17">
        <v>722.86557886557898</v>
      </c>
      <c r="H26" s="20">
        <v>216.85967365967369</v>
      </c>
    </row>
    <row r="27" spans="1:8" x14ac:dyDescent="0.3">
      <c r="A27" s="16" t="s">
        <v>289</v>
      </c>
      <c r="B27" s="17">
        <v>208.87181818181818</v>
      </c>
      <c r="C27" s="18">
        <v>45642</v>
      </c>
      <c r="D27" s="18">
        <v>45624</v>
      </c>
      <c r="E27" s="19">
        <v>4.9281314168377825E-2</v>
      </c>
      <c r="F27" s="19">
        <v>20.026168224299067</v>
      </c>
      <c r="G27" s="17">
        <v>206.13891588785049</v>
      </c>
      <c r="H27" s="20">
        <v>61.84167476635514</v>
      </c>
    </row>
    <row r="28" spans="1:8" x14ac:dyDescent="0.3">
      <c r="A28" s="16" t="s">
        <v>302</v>
      </c>
      <c r="B28" s="17">
        <v>381.81</v>
      </c>
      <c r="C28" s="18">
        <v>45480</v>
      </c>
      <c r="D28" s="18">
        <v>45116</v>
      </c>
      <c r="E28" s="19">
        <v>0.99657768651608492</v>
      </c>
      <c r="F28" s="19">
        <v>2.0045735193231189</v>
      </c>
      <c r="G28" s="17">
        <v>762.74689229361991</v>
      </c>
      <c r="H28" s="20">
        <v>228.82406768808596</v>
      </c>
    </row>
    <row r="29" spans="1:8" x14ac:dyDescent="0.3">
      <c r="A29" s="16" t="s">
        <v>307</v>
      </c>
      <c r="B29" s="17">
        <v>281.27999999999997</v>
      </c>
      <c r="C29" s="18">
        <v>45463</v>
      </c>
      <c r="D29" s="18">
        <v>45384</v>
      </c>
      <c r="E29" s="19">
        <v>0.216290212183436</v>
      </c>
      <c r="F29" s="19">
        <v>4.1882465360726231</v>
      </c>
      <c r="G29" s="17">
        <v>254.80500716674629</v>
      </c>
      <c r="H29" s="20">
        <v>76.441502150023879</v>
      </c>
    </row>
    <row r="30" spans="1:8" x14ac:dyDescent="0.3">
      <c r="A30" s="16" t="s">
        <v>312</v>
      </c>
      <c r="B30" s="17">
        <v>347.62799999999999</v>
      </c>
      <c r="C30" s="18">
        <v>45655</v>
      </c>
      <c r="D30" s="18">
        <v>45626</v>
      </c>
      <c r="E30" s="19">
        <v>7.939767282683094E-2</v>
      </c>
      <c r="F30" s="19">
        <v>8.6296515062020074</v>
      </c>
      <c r="G30" s="17">
        <v>238.18575310100411</v>
      </c>
      <c r="H30" s="20">
        <v>71.455725930301227</v>
      </c>
    </row>
    <row r="31" spans="1:8" x14ac:dyDescent="0.3">
      <c r="A31" s="16" t="s">
        <v>319</v>
      </c>
      <c r="B31" s="17">
        <v>371.84399999999999</v>
      </c>
      <c r="C31" s="18">
        <v>45590</v>
      </c>
      <c r="D31" s="18">
        <v>45115</v>
      </c>
      <c r="E31" s="19">
        <v>1.3004791238877482</v>
      </c>
      <c r="F31" s="19">
        <v>2.7770385858201863</v>
      </c>
      <c r="G31" s="17">
        <v>1342.9074320471393</v>
      </c>
      <c r="H31" s="20">
        <v>402.87222961414176</v>
      </c>
    </row>
    <row r="32" spans="1:8" x14ac:dyDescent="0.3">
      <c r="A32" s="16" t="s">
        <v>326</v>
      </c>
      <c r="B32" s="17">
        <v>271.28727272727269</v>
      </c>
      <c r="C32" s="18">
        <v>45632</v>
      </c>
      <c r="D32" s="18">
        <v>45343</v>
      </c>
      <c r="E32" s="19">
        <v>0.79123887748117727</v>
      </c>
      <c r="F32" s="19">
        <v>8.518950437317784</v>
      </c>
      <c r="G32" s="17">
        <v>1828.6185846806254</v>
      </c>
      <c r="H32" s="20">
        <v>548.58557540418758</v>
      </c>
    </row>
    <row r="33" spans="1:8" x14ac:dyDescent="0.3">
      <c r="A33" s="16" t="s">
        <v>339</v>
      </c>
      <c r="B33" s="17">
        <v>231.25583333333336</v>
      </c>
      <c r="C33" s="18">
        <v>45649</v>
      </c>
      <c r="D33" s="18">
        <v>45346</v>
      </c>
      <c r="E33" s="19">
        <v>0.82956878850102667</v>
      </c>
      <c r="F33" s="19">
        <v>9.0254826254826241</v>
      </c>
      <c r="G33" s="17">
        <v>1731.4722471042469</v>
      </c>
      <c r="H33" s="20">
        <v>519.441674131274</v>
      </c>
    </row>
    <row r="34" spans="1:8" x14ac:dyDescent="0.3">
      <c r="A34" s="16" t="s">
        <v>353</v>
      </c>
      <c r="B34" s="17">
        <v>232.17833333333328</v>
      </c>
      <c r="C34" s="18">
        <v>45630</v>
      </c>
      <c r="D34" s="18">
        <v>45449</v>
      </c>
      <c r="E34" s="19">
        <v>0.49555099247091033</v>
      </c>
      <c r="F34" s="19">
        <v>12.05362667583362</v>
      </c>
      <c r="G34" s="17">
        <v>1386.8445238913712</v>
      </c>
      <c r="H34" s="20">
        <v>416.05335716741132</v>
      </c>
    </row>
    <row r="35" spans="1:8" x14ac:dyDescent="0.3">
      <c r="A35" s="16" t="s">
        <v>367</v>
      </c>
      <c r="B35" s="17">
        <v>288.99933333333331</v>
      </c>
      <c r="C35" s="18">
        <v>45587</v>
      </c>
      <c r="D35" s="18">
        <v>44990</v>
      </c>
      <c r="E35" s="19">
        <v>1.6344969199178645</v>
      </c>
      <c r="F35" s="19">
        <v>7.0274170274170276</v>
      </c>
      <c r="G35" s="17">
        <v>3319.5305820105818</v>
      </c>
      <c r="H35" s="20">
        <v>995.85917460317455</v>
      </c>
    </row>
    <row r="36" spans="1:8" x14ac:dyDescent="0.3">
      <c r="A36" s="16" t="s">
        <v>384</v>
      </c>
      <c r="B36" s="17">
        <v>183.20916666666668</v>
      </c>
      <c r="C36" s="18">
        <v>45633</v>
      </c>
      <c r="D36" s="18">
        <v>45156</v>
      </c>
      <c r="E36" s="19">
        <v>1.3059548254620124</v>
      </c>
      <c r="F36" s="19">
        <v>6.6446844798180784</v>
      </c>
      <c r="G36" s="17">
        <v>1589.8264468447983</v>
      </c>
      <c r="H36" s="20">
        <v>476.94793405343944</v>
      </c>
    </row>
    <row r="37" spans="1:8" x14ac:dyDescent="0.3">
      <c r="A37" s="16" t="s">
        <v>398</v>
      </c>
      <c r="B37" s="17">
        <v>238.46199999999999</v>
      </c>
      <c r="C37" s="18">
        <v>45648</v>
      </c>
      <c r="D37" s="18">
        <v>45201</v>
      </c>
      <c r="E37" s="19">
        <v>1.2238193018480492</v>
      </c>
      <c r="F37" s="19">
        <v>2.9005360333531867</v>
      </c>
      <c r="G37" s="17">
        <v>846.4761882072662</v>
      </c>
      <c r="H37" s="20">
        <v>253.94285646217986</v>
      </c>
    </row>
    <row r="38" spans="1:8" x14ac:dyDescent="0.3">
      <c r="A38" s="16" t="s">
        <v>405</v>
      </c>
      <c r="B38" s="17">
        <v>286.14</v>
      </c>
      <c r="C38" s="18">
        <v>45595</v>
      </c>
      <c r="D38" s="18">
        <v>45553</v>
      </c>
      <c r="E38" s="19">
        <v>0.11498973305954825</v>
      </c>
      <c r="F38" s="19">
        <v>6.5041736227045073</v>
      </c>
      <c r="G38" s="17">
        <v>214.00787979966609</v>
      </c>
      <c r="H38" s="20">
        <v>64.202363939899826</v>
      </c>
    </row>
    <row r="39" spans="1:8" x14ac:dyDescent="0.3">
      <c r="A39" s="16" t="s">
        <v>411</v>
      </c>
      <c r="B39" s="17">
        <v>304.59500000000003</v>
      </c>
      <c r="C39" s="18">
        <v>45580</v>
      </c>
      <c r="D39" s="18">
        <v>45466</v>
      </c>
      <c r="E39" s="19">
        <v>0.31211498973305957</v>
      </c>
      <c r="F39" s="19">
        <v>2.4627054361567637</v>
      </c>
      <c r="G39" s="17">
        <v>234.12611883691537</v>
      </c>
      <c r="H39" s="20">
        <v>70.237835651074604</v>
      </c>
    </row>
    <row r="40" spans="1:8" x14ac:dyDescent="0.3">
      <c r="A40" s="16" t="s">
        <v>415</v>
      </c>
      <c r="B40" s="17">
        <v>264.08</v>
      </c>
      <c r="C40" s="18">
        <v>45624</v>
      </c>
      <c r="D40" s="18">
        <v>45023</v>
      </c>
      <c r="E40" s="19">
        <v>1.6454483230663928</v>
      </c>
      <c r="F40" s="19">
        <v>5.1271335141170846</v>
      </c>
      <c r="G40" s="17">
        <v>2227.8932907959802</v>
      </c>
      <c r="H40" s="20">
        <v>668.36798723879406</v>
      </c>
    </row>
    <row r="41" spans="1:8" x14ac:dyDescent="0.3">
      <c r="A41" s="16" t="s">
        <v>428</v>
      </c>
      <c r="B41" s="17">
        <v>249.01400000000004</v>
      </c>
      <c r="C41" s="18">
        <v>45585</v>
      </c>
      <c r="D41" s="18">
        <v>45206</v>
      </c>
      <c r="E41" s="19">
        <v>1.0376454483230664</v>
      </c>
      <c r="F41" s="19">
        <v>3.251724905408413</v>
      </c>
      <c r="G41" s="17">
        <v>840.20748720231472</v>
      </c>
      <c r="H41" s="20">
        <v>252.0622461606944</v>
      </c>
    </row>
    <row r="42" spans="1:8" x14ac:dyDescent="0.3">
      <c r="A42" s="16" t="s">
        <v>435</v>
      </c>
      <c r="B42" s="17">
        <v>239.16</v>
      </c>
      <c r="C42" s="18">
        <v>45628</v>
      </c>
      <c r="D42" s="18">
        <v>45462</v>
      </c>
      <c r="E42" s="19">
        <v>0.45448323066392882</v>
      </c>
      <c r="F42" s="19">
        <v>10.476873431337397</v>
      </c>
      <c r="G42" s="17">
        <v>1138.7754750806741</v>
      </c>
      <c r="H42" s="20">
        <v>341.63264252420225</v>
      </c>
    </row>
    <row r="43" spans="1:8" x14ac:dyDescent="0.3">
      <c r="A43" s="16" t="s">
        <v>447</v>
      </c>
      <c r="B43" s="17">
        <v>238.98</v>
      </c>
      <c r="C43" s="18">
        <v>44941</v>
      </c>
      <c r="D43" s="18">
        <v>44941</v>
      </c>
      <c r="E43" s="19">
        <v>0</v>
      </c>
      <c r="F43" s="19">
        <v>2</v>
      </c>
      <c r="G43" s="17">
        <v>0</v>
      </c>
      <c r="H43" s="20">
        <v>0</v>
      </c>
    </row>
    <row r="44" spans="1:8" x14ac:dyDescent="0.3">
      <c r="A44" s="16" t="s">
        <v>450</v>
      </c>
      <c r="B44" s="17">
        <v>217.82499999999999</v>
      </c>
      <c r="C44" s="18">
        <v>45652</v>
      </c>
      <c r="D44" s="18">
        <v>45518</v>
      </c>
      <c r="E44" s="19">
        <v>0.36687200547570159</v>
      </c>
      <c r="F44" s="19">
        <v>4.6142913541255428</v>
      </c>
      <c r="G44" s="17">
        <v>368.74599289380177</v>
      </c>
      <c r="H44" s="20">
        <v>110.62379786814053</v>
      </c>
    </row>
    <row r="45" spans="1:8" x14ac:dyDescent="0.3">
      <c r="A45" s="16" t="s">
        <v>456</v>
      </c>
      <c r="B45" s="17">
        <v>262.8654545454545</v>
      </c>
      <c r="C45" s="18">
        <v>45652</v>
      </c>
      <c r="D45" s="18">
        <v>45571</v>
      </c>
      <c r="E45" s="19">
        <v>0.22176591375770022</v>
      </c>
      <c r="F45" s="19">
        <v>15.240398293029873</v>
      </c>
      <c r="G45" s="17">
        <v>888.4328876244665</v>
      </c>
      <c r="H45" s="20">
        <v>266.52986628733993</v>
      </c>
    </row>
    <row r="46" spans="1:8" x14ac:dyDescent="0.3">
      <c r="A46" s="16" t="s">
        <v>469</v>
      </c>
      <c r="B46" s="17">
        <v>259.97111111111116</v>
      </c>
      <c r="C46" s="18">
        <v>45622</v>
      </c>
      <c r="D46" s="18">
        <v>45341</v>
      </c>
      <c r="E46" s="19">
        <v>0.76933607118412051</v>
      </c>
      <c r="F46" s="19">
        <v>7.0903208411970882</v>
      </c>
      <c r="G46" s="17">
        <v>1418.1007063898628</v>
      </c>
      <c r="H46" s="20">
        <v>425.43021191695885</v>
      </c>
    </row>
    <row r="47" spans="1:8" x14ac:dyDescent="0.3">
      <c r="A47" s="16" t="s">
        <v>480</v>
      </c>
      <c r="B47" s="17">
        <v>326.43846153846152</v>
      </c>
      <c r="C47" s="18">
        <v>45633</v>
      </c>
      <c r="D47" s="18">
        <v>45369</v>
      </c>
      <c r="E47" s="19">
        <v>0.7227926078028748</v>
      </c>
      <c r="F47" s="19">
        <v>10.631402183039462</v>
      </c>
      <c r="G47" s="17">
        <v>2508.4507136859779</v>
      </c>
      <c r="H47" s="20">
        <v>752.53521410579333</v>
      </c>
    </row>
    <row r="48" spans="1:8" x14ac:dyDescent="0.3">
      <c r="A48" s="16" t="s">
        <v>495</v>
      </c>
      <c r="B48" s="17">
        <v>265.79500000000002</v>
      </c>
      <c r="C48" s="18">
        <v>45650</v>
      </c>
      <c r="D48" s="18">
        <v>45445</v>
      </c>
      <c r="E48" s="19">
        <v>0.5612594113620808</v>
      </c>
      <c r="F48" s="19">
        <v>5.6536601096420505</v>
      </c>
      <c r="G48" s="17">
        <v>843.41270557884548</v>
      </c>
      <c r="H48" s="20">
        <v>253.02381167365363</v>
      </c>
    </row>
    <row r="49" spans="1:8" x14ac:dyDescent="0.3">
      <c r="A49" s="16" t="s">
        <v>503</v>
      </c>
      <c r="B49" s="17">
        <v>260.76583333333332</v>
      </c>
      <c r="C49" s="18">
        <v>45652</v>
      </c>
      <c r="D49" s="18">
        <v>45623</v>
      </c>
      <c r="E49" s="19">
        <v>7.939767282683094E-2</v>
      </c>
      <c r="F49" s="19">
        <v>20.711163614884818</v>
      </c>
      <c r="G49" s="17">
        <v>428.80808033077369</v>
      </c>
      <c r="H49" s="20">
        <v>128.6424240992321</v>
      </c>
    </row>
    <row r="50" spans="1:8" x14ac:dyDescent="0.3">
      <c r="A50" s="16" t="s">
        <v>517</v>
      </c>
      <c r="B50" s="17">
        <v>224.25333333333333</v>
      </c>
      <c r="C50" s="18">
        <v>45641</v>
      </c>
      <c r="D50" s="18">
        <v>45446</v>
      </c>
      <c r="E50" s="19">
        <v>0.53388090349075978</v>
      </c>
      <c r="F50" s="19">
        <v>11.606752730883812</v>
      </c>
      <c r="G50" s="17">
        <v>1389.6135054617675</v>
      </c>
      <c r="H50" s="20">
        <v>416.88405163853025</v>
      </c>
    </row>
    <row r="51" spans="1:8" x14ac:dyDescent="0.3">
      <c r="A51" s="16" t="s">
        <v>531</v>
      </c>
      <c r="B51" s="17">
        <v>252.67777777777778</v>
      </c>
      <c r="C51" s="18">
        <v>45631</v>
      </c>
      <c r="D51" s="18">
        <v>45531</v>
      </c>
      <c r="E51" s="19">
        <v>0.27378507871321012</v>
      </c>
      <c r="F51" s="19">
        <v>11.631136665192393</v>
      </c>
      <c r="G51" s="17">
        <v>804.63511720477675</v>
      </c>
      <c r="H51" s="20">
        <v>241.39053516143301</v>
      </c>
    </row>
    <row r="52" spans="1:8" x14ac:dyDescent="0.3">
      <c r="A52" s="16" t="s">
        <v>542</v>
      </c>
      <c r="B52" s="17">
        <v>189.18916666666667</v>
      </c>
      <c r="C52" s="18">
        <v>45651</v>
      </c>
      <c r="D52" s="18">
        <v>45366</v>
      </c>
      <c r="E52" s="19">
        <v>0.78028747433264889</v>
      </c>
      <c r="F52" s="19">
        <v>9.3728949478748991</v>
      </c>
      <c r="G52" s="17">
        <v>1383.6449077786688</v>
      </c>
      <c r="H52" s="20">
        <v>415.09347233360063</v>
      </c>
    </row>
    <row r="53" spans="1:8" x14ac:dyDescent="0.3">
      <c r="A53" s="16" t="s">
        <v>556</v>
      </c>
      <c r="B53" s="17">
        <v>260.28416666666664</v>
      </c>
      <c r="C53" s="18">
        <v>45656</v>
      </c>
      <c r="D53" s="18">
        <v>45470</v>
      </c>
      <c r="E53" s="19">
        <v>0.50924024640657084</v>
      </c>
      <c r="F53" s="19">
        <v>11.890132248219736</v>
      </c>
      <c r="G53" s="17">
        <v>1576.0034181078331</v>
      </c>
      <c r="H53" s="20">
        <v>472.80102543234989</v>
      </c>
    </row>
    <row r="54" spans="1:8" x14ac:dyDescent="0.3">
      <c r="A54" s="16" t="s">
        <v>570</v>
      </c>
      <c r="B54" s="17">
        <v>245.27799999999999</v>
      </c>
      <c r="C54" s="18">
        <v>45652</v>
      </c>
      <c r="D54" s="18">
        <v>45614</v>
      </c>
      <c r="E54" s="19">
        <v>0.10403832991101986</v>
      </c>
      <c r="F54" s="19">
        <v>24.832861189801697</v>
      </c>
      <c r="G54" s="17">
        <v>633.69273654390929</v>
      </c>
      <c r="H54" s="20">
        <v>190.10782096317277</v>
      </c>
    </row>
    <row r="55" spans="1:8" x14ac:dyDescent="0.3">
      <c r="A55" s="16" t="s">
        <v>587</v>
      </c>
      <c r="B55" s="17">
        <v>276.58399999999995</v>
      </c>
      <c r="C55" s="18">
        <v>45651</v>
      </c>
      <c r="D55" s="18">
        <v>45592</v>
      </c>
      <c r="E55" s="19">
        <v>0.16153319644079397</v>
      </c>
      <c r="F55" s="19">
        <v>7.558199689601655</v>
      </c>
      <c r="G55" s="17">
        <v>337.68144852560778</v>
      </c>
      <c r="H55" s="20">
        <v>101.30443455768233</v>
      </c>
    </row>
    <row r="56" spans="1:8" x14ac:dyDescent="0.3">
      <c r="A56" s="16" t="s">
        <v>594</v>
      </c>
      <c r="B56" s="17">
        <v>297.05571428571432</v>
      </c>
      <c r="C56" s="18">
        <v>45655</v>
      </c>
      <c r="D56" s="18">
        <v>45320</v>
      </c>
      <c r="E56" s="19">
        <v>0.91718001368925395</v>
      </c>
      <c r="F56" s="19">
        <v>9.8787732431779762</v>
      </c>
      <c r="G56" s="17">
        <v>2691.5069789905824</v>
      </c>
      <c r="H56" s="20">
        <v>807.45209369717475</v>
      </c>
    </row>
    <row r="57" spans="1:8" x14ac:dyDescent="0.3">
      <c r="A57" s="16" t="s">
        <v>610</v>
      </c>
      <c r="B57" s="17">
        <v>243.57999999999998</v>
      </c>
      <c r="C57" s="18">
        <v>45357</v>
      </c>
      <c r="D57" s="18">
        <v>45032</v>
      </c>
      <c r="E57" s="19">
        <v>0.88980150581793294</v>
      </c>
      <c r="F57" s="19">
        <v>2.8781088401871462</v>
      </c>
      <c r="G57" s="17">
        <v>623.79512435360743</v>
      </c>
      <c r="H57" s="20">
        <v>187.13853730608221</v>
      </c>
    </row>
    <row r="58" spans="1:8" x14ac:dyDescent="0.3">
      <c r="A58" s="16" t="s">
        <v>616</v>
      </c>
      <c r="B58" s="17">
        <v>225.49416666666664</v>
      </c>
      <c r="C58" s="18">
        <v>45651</v>
      </c>
      <c r="D58" s="18">
        <v>45025</v>
      </c>
      <c r="E58" s="19">
        <v>1.7138945927446954</v>
      </c>
      <c r="F58" s="19">
        <v>5.4203122584634409</v>
      </c>
      <c r="G58" s="17">
        <v>2094.805602102334</v>
      </c>
      <c r="H58" s="20">
        <v>628.44168063070015</v>
      </c>
    </row>
    <row r="59" spans="1:8" x14ac:dyDescent="0.3">
      <c r="A59" s="16" t="s">
        <v>630</v>
      </c>
      <c r="B59" s="17">
        <v>346.70249999999999</v>
      </c>
      <c r="C59" s="18">
        <v>45412</v>
      </c>
      <c r="D59" s="18">
        <v>45306</v>
      </c>
      <c r="E59" s="19">
        <v>0.29021218343600275</v>
      </c>
      <c r="F59" s="19">
        <v>5.0619315721091382</v>
      </c>
      <c r="G59" s="17">
        <v>509.3178345604158</v>
      </c>
      <c r="H59" s="20">
        <v>152.79535036812473</v>
      </c>
    </row>
    <row r="60" spans="1:8" x14ac:dyDescent="0.3">
      <c r="A60" s="16" t="s">
        <v>636</v>
      </c>
      <c r="B60" s="17">
        <v>261.51142857142861</v>
      </c>
      <c r="C60" s="18">
        <v>45652</v>
      </c>
      <c r="D60" s="18">
        <v>45347</v>
      </c>
      <c r="E60" s="19">
        <v>0.83504449007529091</v>
      </c>
      <c r="F60" s="19">
        <v>5.2432709561650857</v>
      </c>
      <c r="G60" s="17">
        <v>1144.9923609330942</v>
      </c>
      <c r="H60" s="20">
        <v>343.49770827992825</v>
      </c>
    </row>
    <row r="61" spans="1:8" x14ac:dyDescent="0.3">
      <c r="A61" s="16" t="s">
        <v>645</v>
      </c>
      <c r="B61" s="17">
        <v>293.44499999999999</v>
      </c>
      <c r="C61" s="18">
        <v>45596</v>
      </c>
      <c r="D61" s="18">
        <v>45268</v>
      </c>
      <c r="E61" s="19">
        <v>0.89801505817932925</v>
      </c>
      <c r="F61" s="19">
        <v>7.1529987760097908</v>
      </c>
      <c r="G61" s="17">
        <v>1884.9441370869031</v>
      </c>
      <c r="H61" s="20">
        <v>565.48324112607088</v>
      </c>
    </row>
    <row r="62" spans="1:8" x14ac:dyDescent="0.3">
      <c r="A62" s="16" t="s">
        <v>657</v>
      </c>
      <c r="B62" s="17">
        <v>343.24666666666667</v>
      </c>
      <c r="C62" s="18">
        <v>45604</v>
      </c>
      <c r="D62" s="18">
        <v>45447</v>
      </c>
      <c r="E62" s="19">
        <v>0.42984257357973993</v>
      </c>
      <c r="F62" s="19">
        <v>3.2263525947736471</v>
      </c>
      <c r="G62" s="17">
        <v>476.02261317629734</v>
      </c>
      <c r="H62" s="20">
        <v>142.80678395288919</v>
      </c>
    </row>
    <row r="63" spans="1:8" x14ac:dyDescent="0.3">
      <c r="A63" s="16" t="s">
        <v>662</v>
      </c>
      <c r="B63" s="17">
        <v>237.42571428571432</v>
      </c>
      <c r="C63" s="18">
        <v>45648</v>
      </c>
      <c r="D63" s="18">
        <v>45042</v>
      </c>
      <c r="E63" s="19">
        <v>1.6591375770020533</v>
      </c>
      <c r="F63" s="19">
        <v>3.2420351878269136</v>
      </c>
      <c r="G63" s="17">
        <v>1277.1087398953875</v>
      </c>
      <c r="H63" s="20">
        <v>383.13262196861626</v>
      </c>
    </row>
    <row r="64" spans="1:8" x14ac:dyDescent="0.3">
      <c r="A64" s="16" t="s">
        <v>671</v>
      </c>
      <c r="B64" s="17">
        <v>283.47571428571433</v>
      </c>
      <c r="C64" s="18">
        <v>45641</v>
      </c>
      <c r="D64" s="18">
        <v>45457</v>
      </c>
      <c r="E64" s="19">
        <v>0.50376454483230659</v>
      </c>
      <c r="F64" s="19">
        <v>6.9737470167064437</v>
      </c>
      <c r="G64" s="17">
        <v>995.8860415956359</v>
      </c>
      <c r="H64" s="20">
        <v>298.76581247869075</v>
      </c>
    </row>
    <row r="65" spans="1:8" x14ac:dyDescent="0.3">
      <c r="A65" s="16" t="s">
        <v>680</v>
      </c>
      <c r="B65" s="17">
        <v>256.61500000000001</v>
      </c>
      <c r="C65" s="18">
        <v>45651</v>
      </c>
      <c r="D65" s="18">
        <v>45403</v>
      </c>
      <c r="E65" s="19">
        <v>0.67898699520876116</v>
      </c>
      <c r="F65" s="19">
        <v>6.7854862119013051</v>
      </c>
      <c r="G65" s="17">
        <v>1182.291227866473</v>
      </c>
      <c r="H65" s="20">
        <v>354.6873683599419</v>
      </c>
    </row>
    <row r="66" spans="1:8" x14ac:dyDescent="0.3">
      <c r="A66" s="16" t="s">
        <v>690</v>
      </c>
      <c r="B66" s="17">
        <v>184.97</v>
      </c>
      <c r="C66" s="18">
        <v>45614</v>
      </c>
      <c r="D66" s="18">
        <v>45257</v>
      </c>
      <c r="E66" s="19">
        <v>0.97741273100616022</v>
      </c>
      <c r="F66" s="19">
        <v>4.0611535788742179</v>
      </c>
      <c r="G66" s="17">
        <v>734.22421125781796</v>
      </c>
      <c r="H66" s="20">
        <v>220.26726337734539</v>
      </c>
    </row>
    <row r="67" spans="1:8" x14ac:dyDescent="0.3">
      <c r="A67" s="16" t="s">
        <v>698</v>
      </c>
      <c r="B67" s="17">
        <v>281.11818181818177</v>
      </c>
      <c r="C67" s="18">
        <v>45633</v>
      </c>
      <c r="D67" s="18">
        <v>45517</v>
      </c>
      <c r="E67" s="19">
        <v>0.31759069130732376</v>
      </c>
      <c r="F67" s="19">
        <v>13.454164922561741</v>
      </c>
      <c r="G67" s="17">
        <v>1201.1948095437419</v>
      </c>
      <c r="H67" s="20">
        <v>360.35844286312255</v>
      </c>
    </row>
    <row r="68" spans="1:8" x14ac:dyDescent="0.3">
      <c r="A68" s="16" t="s">
        <v>711</v>
      </c>
      <c r="B68" s="17">
        <v>252.38333333333335</v>
      </c>
      <c r="C68" s="18">
        <v>45577</v>
      </c>
      <c r="D68" s="18">
        <v>45166</v>
      </c>
      <c r="E68" s="19">
        <v>1.1252566735112937</v>
      </c>
      <c r="F68" s="19">
        <v>1.8458622867972205</v>
      </c>
      <c r="G68" s="17">
        <v>524.2175615919142</v>
      </c>
      <c r="H68" s="20">
        <v>157.26526847757427</v>
      </c>
    </row>
    <row r="69" spans="1:8" x14ac:dyDescent="0.3">
      <c r="A69" s="16" t="s">
        <v>716</v>
      </c>
      <c r="B69" s="17">
        <v>354.31333333333333</v>
      </c>
      <c r="C69" s="18">
        <v>45551</v>
      </c>
      <c r="D69" s="18">
        <v>45482</v>
      </c>
      <c r="E69" s="19">
        <v>0.18891170431211499</v>
      </c>
      <c r="F69" s="19">
        <v>4.3546944858420265</v>
      </c>
      <c r="G69" s="17">
        <v>291.47684053651267</v>
      </c>
      <c r="H69" s="20">
        <v>87.443052160953798</v>
      </c>
    </row>
    <row r="70" spans="1:8" x14ac:dyDescent="0.3">
      <c r="A70" s="16" t="s">
        <v>721</v>
      </c>
      <c r="B70" s="17">
        <v>252.68714285714287</v>
      </c>
      <c r="C70" s="18">
        <v>45555</v>
      </c>
      <c r="D70" s="18">
        <v>45254</v>
      </c>
      <c r="E70" s="19">
        <v>0.82409308692676253</v>
      </c>
      <c r="F70" s="19">
        <v>5.2866373739984489</v>
      </c>
      <c r="G70" s="17">
        <v>1100.8773533212718</v>
      </c>
      <c r="H70" s="20">
        <v>330.26320599638154</v>
      </c>
    </row>
    <row r="71" spans="1:8" x14ac:dyDescent="0.3">
      <c r="A71" s="16" t="s">
        <v>730</v>
      </c>
      <c r="B71" s="17">
        <v>241.46571428571428</v>
      </c>
      <c r="C71" s="18">
        <v>45593</v>
      </c>
      <c r="D71" s="18">
        <v>45377</v>
      </c>
      <c r="E71" s="19">
        <v>0.59137577002053388</v>
      </c>
      <c r="F71" s="19">
        <v>6.4139228598306683</v>
      </c>
      <c r="G71" s="17">
        <v>915.88876763875828</v>
      </c>
      <c r="H71" s="20">
        <v>274.76663029162745</v>
      </c>
    </row>
    <row r="72" spans="1:8" x14ac:dyDescent="0.3">
      <c r="A72" s="16" t="s">
        <v>739</v>
      </c>
      <c r="B72" s="17">
        <v>265.25769230769231</v>
      </c>
      <c r="C72" s="18">
        <v>45648</v>
      </c>
      <c r="D72" s="18">
        <v>45215</v>
      </c>
      <c r="E72" s="19">
        <v>1.1854893908281998</v>
      </c>
      <c r="F72" s="19">
        <v>7.7128934010152284</v>
      </c>
      <c r="G72" s="17">
        <v>2425.3978477157361</v>
      </c>
      <c r="H72" s="20">
        <v>727.61935431472079</v>
      </c>
    </row>
    <row r="73" spans="1:8" x14ac:dyDescent="0.3">
      <c r="A73" s="16" t="s">
        <v>754</v>
      </c>
      <c r="B73" s="17">
        <v>332.17333333333335</v>
      </c>
      <c r="C73" s="18">
        <v>45650</v>
      </c>
      <c r="D73" s="18">
        <v>45437</v>
      </c>
      <c r="E73" s="19">
        <v>0.58316221765913756</v>
      </c>
      <c r="F73" s="19">
        <v>2.7696682464454976</v>
      </c>
      <c r="G73" s="17">
        <v>536.51503317535548</v>
      </c>
      <c r="H73" s="20">
        <v>160.95450995260663</v>
      </c>
    </row>
    <row r="74" spans="1:8" x14ac:dyDescent="0.3">
      <c r="A74" s="16" t="s">
        <v>759</v>
      </c>
      <c r="B74" s="17">
        <v>202.34</v>
      </c>
      <c r="C74" s="18">
        <v>45598</v>
      </c>
      <c r="D74" s="18">
        <v>45488</v>
      </c>
      <c r="E74" s="19">
        <v>0.30116358658453113</v>
      </c>
      <c r="F74" s="19">
        <v>2.4963690730457069</v>
      </c>
      <c r="G74" s="17">
        <v>152.12234087996583</v>
      </c>
      <c r="H74" s="20">
        <v>45.636702263989747</v>
      </c>
    </row>
    <row r="75" spans="1:8" x14ac:dyDescent="0.3">
      <c r="A75" s="16" t="s">
        <v>763</v>
      </c>
      <c r="B75" s="17">
        <v>281.09499999999997</v>
      </c>
      <c r="C75" s="18">
        <v>45654</v>
      </c>
      <c r="D75" s="18">
        <v>45519</v>
      </c>
      <c r="E75" s="19">
        <v>0.36960985626283366</v>
      </c>
      <c r="F75" s="19">
        <v>11.499409681227863</v>
      </c>
      <c r="G75" s="17">
        <v>1194.7367178276268</v>
      </c>
      <c r="H75" s="20">
        <v>358.42101534828799</v>
      </c>
    </row>
    <row r="76" spans="1:8" x14ac:dyDescent="0.3">
      <c r="A76" s="16" t="s">
        <v>775</v>
      </c>
      <c r="B76" s="17">
        <v>280.03785714285715</v>
      </c>
      <c r="C76" s="18">
        <v>45645</v>
      </c>
      <c r="D76" s="18">
        <v>45328</v>
      </c>
      <c r="E76" s="19">
        <v>0.86789869952087606</v>
      </c>
      <c r="F76" s="19">
        <v>10.234676007005254</v>
      </c>
      <c r="G76" s="17">
        <v>2487.4816312234175</v>
      </c>
      <c r="H76" s="20">
        <v>746.24448936702527</v>
      </c>
    </row>
    <row r="77" spans="1:8" x14ac:dyDescent="0.3">
      <c r="A77" s="16" t="s">
        <v>791</v>
      </c>
      <c r="B77" s="17">
        <v>256.5545454545454</v>
      </c>
      <c r="C77" s="18">
        <v>45644</v>
      </c>
      <c r="D77" s="18">
        <v>45565</v>
      </c>
      <c r="E77" s="19">
        <v>0.216290212183436</v>
      </c>
      <c r="F77" s="19">
        <v>15.356903965599617</v>
      </c>
      <c r="G77" s="17">
        <v>852.1582417582415</v>
      </c>
      <c r="H77" s="20">
        <v>255.64747252747244</v>
      </c>
    </row>
    <row r="78" spans="1:8" x14ac:dyDescent="0.3">
      <c r="A78" s="16" t="s">
        <v>804</v>
      </c>
      <c r="B78" s="17">
        <v>206.09125</v>
      </c>
      <c r="C78" s="18">
        <v>45610</v>
      </c>
      <c r="D78" s="18">
        <v>45400</v>
      </c>
      <c r="E78" s="19">
        <v>0.57494866529774125</v>
      </c>
      <c r="F78" s="19">
        <v>7.4422158548233037</v>
      </c>
      <c r="G78" s="17">
        <v>881.84221585482317</v>
      </c>
      <c r="H78" s="20">
        <v>264.55266475644692</v>
      </c>
    </row>
    <row r="79" spans="1:8" x14ac:dyDescent="0.3">
      <c r="A79" s="16" t="s">
        <v>814</v>
      </c>
      <c r="B79" s="17">
        <v>315.98666666666668</v>
      </c>
      <c r="C79" s="18">
        <v>45637</v>
      </c>
      <c r="D79" s="18">
        <v>45373</v>
      </c>
      <c r="E79" s="19">
        <v>0.7227926078028748</v>
      </c>
      <c r="F79" s="19">
        <v>9.8136020151133501</v>
      </c>
      <c r="G79" s="17">
        <v>2241.3563056255252</v>
      </c>
      <c r="H79" s="20">
        <v>672.40689168765755</v>
      </c>
    </row>
    <row r="80" spans="1:8" x14ac:dyDescent="0.3">
      <c r="A80" s="16" t="s">
        <v>828</v>
      </c>
      <c r="B80" s="17">
        <v>217.48999999999998</v>
      </c>
      <c r="C80" s="18">
        <v>45647</v>
      </c>
      <c r="D80" s="18">
        <v>45197</v>
      </c>
      <c r="E80" s="19">
        <v>1.2320328542094456</v>
      </c>
      <c r="F80" s="19">
        <v>5.196206283343213</v>
      </c>
      <c r="G80" s="17">
        <v>1392.3485477178424</v>
      </c>
      <c r="H80" s="20">
        <v>417.70456431535268</v>
      </c>
    </row>
    <row r="81" spans="1:8" x14ac:dyDescent="0.3">
      <c r="A81" s="16" t="s">
        <v>839</v>
      </c>
      <c r="B81" s="17">
        <v>286.82124999999996</v>
      </c>
      <c r="C81" s="18">
        <v>45589</v>
      </c>
      <c r="D81" s="18">
        <v>45473</v>
      </c>
      <c r="E81" s="19">
        <v>0.31759069130732376</v>
      </c>
      <c r="F81" s="19">
        <v>9.7848472164085383</v>
      </c>
      <c r="G81" s="17">
        <v>891.31894516534101</v>
      </c>
      <c r="H81" s="20">
        <v>267.39568354960227</v>
      </c>
    </row>
    <row r="82" spans="1:8" x14ac:dyDescent="0.3">
      <c r="A82" s="16" t="s">
        <v>849</v>
      </c>
      <c r="B82" s="17">
        <v>303.09125</v>
      </c>
      <c r="C82" s="18">
        <v>45627</v>
      </c>
      <c r="D82" s="18">
        <v>45140</v>
      </c>
      <c r="E82" s="19">
        <v>1.3333333333333333</v>
      </c>
      <c r="F82" s="19">
        <v>4.3636363636363642</v>
      </c>
      <c r="G82" s="17">
        <v>1763.44</v>
      </c>
      <c r="H82" s="20">
        <v>529.03200000000004</v>
      </c>
    </row>
    <row r="83" spans="1:8" x14ac:dyDescent="0.3">
      <c r="A83" s="16" t="s">
        <v>859</v>
      </c>
      <c r="B83" s="17">
        <v>193.905</v>
      </c>
      <c r="C83" s="18">
        <v>45652</v>
      </c>
      <c r="D83" s="18">
        <v>45288</v>
      </c>
      <c r="E83" s="19">
        <v>0.99657768651608492</v>
      </c>
      <c r="F83" s="19">
        <v>6.6819117310770633</v>
      </c>
      <c r="G83" s="17">
        <v>1291.2219528927508</v>
      </c>
      <c r="H83" s="20">
        <v>387.36658586782522</v>
      </c>
    </row>
    <row r="84" spans="1:8" x14ac:dyDescent="0.3">
      <c r="A84" s="16" t="s">
        <v>871</v>
      </c>
      <c r="B84" s="17">
        <v>221.66200000000003</v>
      </c>
      <c r="C84" s="18">
        <v>45516</v>
      </c>
      <c r="D84" s="18">
        <v>45102</v>
      </c>
      <c r="E84" s="19">
        <v>1.1334702258726899</v>
      </c>
      <c r="F84" s="19">
        <v>3.0609679446888749</v>
      </c>
      <c r="G84" s="17">
        <v>769.05986172218741</v>
      </c>
      <c r="H84" s="20">
        <v>230.71795851665621</v>
      </c>
    </row>
    <row r="85" spans="1:8" x14ac:dyDescent="0.3">
      <c r="A85" s="16" t="s">
        <v>878</v>
      </c>
      <c r="B85" s="17">
        <v>225.04875000000001</v>
      </c>
      <c r="C85" s="18">
        <v>45654</v>
      </c>
      <c r="D85" s="18">
        <v>45030</v>
      </c>
      <c r="E85" s="19">
        <v>1.7084188911704312</v>
      </c>
      <c r="F85" s="19">
        <v>3.6225011622501162</v>
      </c>
      <c r="G85" s="17">
        <v>1392.7703207810321</v>
      </c>
      <c r="H85" s="20">
        <v>417.8310962343096</v>
      </c>
    </row>
    <row r="86" spans="1:8" x14ac:dyDescent="0.3">
      <c r="A86" s="16" t="s">
        <v>888</v>
      </c>
      <c r="B86" s="17">
        <v>266.43916666666661</v>
      </c>
      <c r="C86" s="18">
        <v>45600</v>
      </c>
      <c r="D86" s="18">
        <v>45191</v>
      </c>
      <c r="E86" s="19">
        <v>1.1197809719370295</v>
      </c>
      <c r="F86" s="19">
        <v>7.4084090428903444</v>
      </c>
      <c r="G86" s="17">
        <v>2210.3248341432491</v>
      </c>
      <c r="H86" s="20">
        <v>663.09745024297467</v>
      </c>
    </row>
    <row r="87" spans="1:8" x14ac:dyDescent="0.3">
      <c r="A87" s="16" t="s">
        <v>902</v>
      </c>
      <c r="B87" s="17">
        <v>282.83374999999995</v>
      </c>
      <c r="C87" s="18">
        <v>45624</v>
      </c>
      <c r="D87" s="18">
        <v>45518</v>
      </c>
      <c r="E87" s="19">
        <v>0.29021218343600275</v>
      </c>
      <c r="F87" s="19">
        <v>10.123863144218276</v>
      </c>
      <c r="G87" s="17">
        <v>830.98491121697703</v>
      </c>
      <c r="H87" s="20">
        <v>249.2954733650931</v>
      </c>
    </row>
    <row r="88" spans="1:8" x14ac:dyDescent="0.3">
      <c r="A88" s="16" t="s">
        <v>912</v>
      </c>
      <c r="B88" s="17">
        <v>310.51785714285717</v>
      </c>
      <c r="C88" s="18">
        <v>45619</v>
      </c>
      <c r="D88" s="18">
        <v>45145</v>
      </c>
      <c r="E88" s="19">
        <v>1.2977412731006159</v>
      </c>
      <c r="F88" s="19">
        <v>7.7875499714448893</v>
      </c>
      <c r="G88" s="17">
        <v>3138.1633352370077</v>
      </c>
      <c r="H88" s="20">
        <v>941.44900057110226</v>
      </c>
    </row>
    <row r="89" spans="1:8" x14ac:dyDescent="0.3">
      <c r="A89" s="16" t="s">
        <v>928</v>
      </c>
      <c r="B89" s="17">
        <v>264.32071428571436</v>
      </c>
      <c r="C89" s="18">
        <v>45653</v>
      </c>
      <c r="D89" s="18">
        <v>45091</v>
      </c>
      <c r="E89" s="19">
        <v>1.538672142368241</v>
      </c>
      <c r="F89" s="19">
        <v>6.8672150411280848</v>
      </c>
      <c r="G89" s="17">
        <v>2792.9164075877129</v>
      </c>
      <c r="H89" s="20">
        <v>837.8749222763139</v>
      </c>
    </row>
    <row r="90" spans="1:8" x14ac:dyDescent="0.3">
      <c r="A90" s="16" t="s">
        <v>944</v>
      </c>
      <c r="B90" s="17">
        <v>263.113</v>
      </c>
      <c r="C90" s="18">
        <v>45619</v>
      </c>
      <c r="D90" s="18">
        <v>45219</v>
      </c>
      <c r="E90" s="19">
        <v>1.0951403148528405</v>
      </c>
      <c r="F90" s="19">
        <v>6.2690409783308301</v>
      </c>
      <c r="G90" s="17">
        <v>1806.3969105342198</v>
      </c>
      <c r="H90" s="20">
        <v>541.91907316026595</v>
      </c>
    </row>
    <row r="91" spans="1:8" x14ac:dyDescent="0.3">
      <c r="A91" s="16" t="s">
        <v>956</v>
      </c>
      <c r="B91" s="17">
        <v>281.10384615384612</v>
      </c>
      <c r="C91" s="18">
        <v>45618</v>
      </c>
      <c r="D91" s="18">
        <v>45174</v>
      </c>
      <c r="E91" s="19">
        <v>1.215605749486653</v>
      </c>
      <c r="F91" s="19">
        <v>7.5774985038898865</v>
      </c>
      <c r="G91" s="17">
        <v>2589.3180131657691</v>
      </c>
      <c r="H91" s="20">
        <v>776.79540394973071</v>
      </c>
    </row>
    <row r="92" spans="1:8" x14ac:dyDescent="0.3">
      <c r="A92" s="16" t="s">
        <v>971</v>
      </c>
      <c r="B92" s="17">
        <v>279.90777777777777</v>
      </c>
      <c r="C92" s="18">
        <v>45637</v>
      </c>
      <c r="D92" s="18">
        <v>45289</v>
      </c>
      <c r="E92" s="19">
        <v>0.95277207392197127</v>
      </c>
      <c r="F92" s="19">
        <v>6.1950530035335696</v>
      </c>
      <c r="G92" s="17">
        <v>1652.1482402826857</v>
      </c>
      <c r="H92" s="20">
        <v>495.64447208480567</v>
      </c>
    </row>
    <row r="93" spans="1:8" x14ac:dyDescent="0.3">
      <c r="A93" s="16" t="s">
        <v>982</v>
      </c>
      <c r="B93" s="17">
        <v>274.33166666666665</v>
      </c>
      <c r="C93" s="18">
        <v>45617</v>
      </c>
      <c r="D93" s="18">
        <v>45294</v>
      </c>
      <c r="E93" s="19">
        <v>0.88432580424366869</v>
      </c>
      <c r="F93" s="19">
        <v>8.6684796044499386</v>
      </c>
      <c r="G93" s="17">
        <v>2102.9607713226205</v>
      </c>
      <c r="H93" s="20">
        <v>630.88823139678618</v>
      </c>
    </row>
    <row r="94" spans="1:8" x14ac:dyDescent="0.3">
      <c r="A94" s="16" t="s">
        <v>996</v>
      </c>
      <c r="B94" s="17">
        <v>255.86545454545455</v>
      </c>
      <c r="C94" s="18">
        <v>45555</v>
      </c>
      <c r="D94" s="18">
        <v>45194</v>
      </c>
      <c r="E94" s="19">
        <v>0.9883641341546886</v>
      </c>
      <c r="F94" s="19">
        <v>7.3906645205794437</v>
      </c>
      <c r="G94" s="17">
        <v>1869.0121315244887</v>
      </c>
      <c r="H94" s="20">
        <v>560.70363945734664</v>
      </c>
    </row>
    <row r="95" spans="1:8" x14ac:dyDescent="0.3">
      <c r="A95" s="16" t="s">
        <v>1009</v>
      </c>
      <c r="B95" s="17">
        <v>483.54</v>
      </c>
      <c r="C95" s="18">
        <v>45307</v>
      </c>
      <c r="D95" s="18">
        <v>45307</v>
      </c>
      <c r="E95" s="19">
        <v>0</v>
      </c>
      <c r="F95" s="19">
        <v>2</v>
      </c>
      <c r="G95" s="17">
        <v>0</v>
      </c>
      <c r="H95" s="20">
        <v>0</v>
      </c>
    </row>
    <row r="96" spans="1:8" x14ac:dyDescent="0.3">
      <c r="A96" s="16" t="s">
        <v>1012</v>
      </c>
      <c r="B96" s="17">
        <v>499.86</v>
      </c>
      <c r="C96" s="18">
        <v>45303</v>
      </c>
      <c r="D96" s="18">
        <v>45303</v>
      </c>
      <c r="E96" s="19">
        <v>0</v>
      </c>
      <c r="F96" s="19">
        <v>2</v>
      </c>
      <c r="G96" s="17">
        <v>0</v>
      </c>
      <c r="H96" s="20">
        <v>0</v>
      </c>
    </row>
    <row r="97" spans="1:8" x14ac:dyDescent="0.3">
      <c r="A97" s="16" t="s">
        <v>1015</v>
      </c>
      <c r="B97" s="17">
        <v>342.03</v>
      </c>
      <c r="C97" s="18">
        <v>45640</v>
      </c>
      <c r="D97" s="18">
        <v>45505</v>
      </c>
      <c r="E97" s="19">
        <v>0.36960985626283366</v>
      </c>
      <c r="F97" s="19">
        <v>2.2998819362455727</v>
      </c>
      <c r="G97" s="17">
        <v>290.74569067296341</v>
      </c>
      <c r="H97" s="20">
        <v>87.223707201889013</v>
      </c>
    </row>
    <row r="98" spans="1:8" x14ac:dyDescent="0.3">
      <c r="A98" s="16" t="s">
        <v>1019</v>
      </c>
      <c r="B98" s="17">
        <v>213.36399999999998</v>
      </c>
      <c r="C98" s="18">
        <v>45594</v>
      </c>
      <c r="D98" s="18">
        <v>45127</v>
      </c>
      <c r="E98" s="19">
        <v>1.2785763175906912</v>
      </c>
      <c r="F98" s="19">
        <v>2.8112372522609199</v>
      </c>
      <c r="G98" s="17">
        <v>766.9115874543005</v>
      </c>
      <c r="H98" s="20">
        <v>230.07347623629013</v>
      </c>
    </row>
    <row r="99" spans="1:8" x14ac:dyDescent="0.3">
      <c r="A99" s="16" t="s">
        <v>1026</v>
      </c>
      <c r="B99" s="17">
        <v>233.53166666666667</v>
      </c>
      <c r="C99" s="18">
        <v>45597</v>
      </c>
      <c r="D99" s="18">
        <v>45180</v>
      </c>
      <c r="E99" s="19">
        <v>1.1416837782340863</v>
      </c>
      <c r="F99" s="19">
        <v>3.6547842401500938</v>
      </c>
      <c r="G99" s="17">
        <v>974.43607254534083</v>
      </c>
      <c r="H99" s="20">
        <v>292.33082176360222</v>
      </c>
    </row>
    <row r="100" spans="1:8" x14ac:dyDescent="0.3">
      <c r="A100" s="16" t="s">
        <v>1034</v>
      </c>
      <c r="B100" s="17">
        <v>348.495</v>
      </c>
      <c r="C100" s="18">
        <v>45584</v>
      </c>
      <c r="D100" s="18">
        <v>45312</v>
      </c>
      <c r="E100" s="19">
        <v>0.74469541409993156</v>
      </c>
      <c r="F100" s="19">
        <v>3.2136376134176521</v>
      </c>
      <c r="G100" s="17">
        <v>834.0116799560077</v>
      </c>
      <c r="H100" s="20">
        <v>250.2035039868023</v>
      </c>
    </row>
    <row r="101" spans="1:8" x14ac:dyDescent="0.3">
      <c r="A101" s="16" t="s">
        <v>1040</v>
      </c>
      <c r="B101" s="17">
        <v>233.24666666666664</v>
      </c>
      <c r="C101" s="18">
        <v>45571</v>
      </c>
      <c r="D101" s="18">
        <v>45308</v>
      </c>
      <c r="E101" s="19">
        <v>0.72005475701574262</v>
      </c>
      <c r="F101" s="19">
        <v>4.9178120617110794</v>
      </c>
      <c r="G101" s="17">
        <v>825.94836465638127</v>
      </c>
      <c r="H101" s="20">
        <v>247.78450939691436</v>
      </c>
    </row>
    <row r="102" spans="1:8" x14ac:dyDescent="0.3">
      <c r="A102" s="16" t="s">
        <v>1048</v>
      </c>
      <c r="B102" s="17">
        <v>222.61</v>
      </c>
      <c r="C102" s="18">
        <v>45627</v>
      </c>
      <c r="D102" s="18">
        <v>45474</v>
      </c>
      <c r="E102" s="19">
        <v>0.41889117043121149</v>
      </c>
      <c r="F102" s="19">
        <v>8.7061452513966486</v>
      </c>
      <c r="G102" s="17">
        <v>811.84250279329626</v>
      </c>
      <c r="H102" s="20">
        <v>243.55275083798887</v>
      </c>
    </row>
    <row r="103" spans="1:8" x14ac:dyDescent="0.3">
      <c r="A103" s="16" t="s">
        <v>1058</v>
      </c>
      <c r="B103" s="17">
        <v>271.7</v>
      </c>
      <c r="C103" s="18">
        <v>45448</v>
      </c>
      <c r="D103" s="18">
        <v>45166</v>
      </c>
      <c r="E103" s="19">
        <v>0.77207392197125257</v>
      </c>
      <c r="F103" s="19">
        <v>1.5722356739305894</v>
      </c>
      <c r="G103" s="17">
        <v>329.81178369652946</v>
      </c>
      <c r="H103" s="20">
        <v>98.943535108958841</v>
      </c>
    </row>
    <row r="104" spans="1:8" x14ac:dyDescent="0.3">
      <c r="A104" s="16" t="s">
        <v>1062</v>
      </c>
      <c r="B104" s="17">
        <v>186.98285714285717</v>
      </c>
      <c r="C104" s="18">
        <v>45593</v>
      </c>
      <c r="D104" s="18">
        <v>45083</v>
      </c>
      <c r="E104" s="19">
        <v>1.3963039014373717</v>
      </c>
      <c r="F104" s="19">
        <v>7.3827828911748776</v>
      </c>
      <c r="G104" s="17">
        <v>1927.5330806713591</v>
      </c>
      <c r="H104" s="20">
        <v>578.25992420140767</v>
      </c>
    </row>
    <row r="105" spans="1:8" x14ac:dyDescent="0.3">
      <c r="A105" s="16" t="s">
        <v>1078</v>
      </c>
      <c r="B105" s="17">
        <v>382.92888888888888</v>
      </c>
      <c r="C105" s="18">
        <v>45654</v>
      </c>
      <c r="D105" s="18">
        <v>45320</v>
      </c>
      <c r="E105" s="19">
        <v>0.91444216290212188</v>
      </c>
      <c r="F105" s="19">
        <v>6.3629324945560128</v>
      </c>
      <c r="G105" s="17">
        <v>2228.0846648923298</v>
      </c>
      <c r="H105" s="20">
        <v>668.42539946769887</v>
      </c>
    </row>
    <row r="106" spans="1:8" x14ac:dyDescent="0.3">
      <c r="A106" s="16" t="s">
        <v>1089</v>
      </c>
      <c r="B106" s="17">
        <v>202.68083333333334</v>
      </c>
      <c r="C106" s="18">
        <v>45637</v>
      </c>
      <c r="D106" s="18">
        <v>45107</v>
      </c>
      <c r="E106" s="19">
        <v>1.4510609171800137</v>
      </c>
      <c r="F106" s="19">
        <v>6.1504999122960884</v>
      </c>
      <c r="G106" s="17">
        <v>1808.8757761796178</v>
      </c>
      <c r="H106" s="20">
        <v>542.66273285388536</v>
      </c>
    </row>
    <row r="107" spans="1:8" x14ac:dyDescent="0.3">
      <c r="A107" s="16" t="s">
        <v>1103</v>
      </c>
      <c r="B107" s="17">
        <v>150.83000000000001</v>
      </c>
      <c r="C107" s="18">
        <v>45292</v>
      </c>
      <c r="D107" s="18">
        <v>45292</v>
      </c>
      <c r="E107" s="19">
        <v>0</v>
      </c>
      <c r="F107" s="19">
        <v>2</v>
      </c>
      <c r="G107" s="17">
        <v>0</v>
      </c>
      <c r="H107" s="20">
        <v>0</v>
      </c>
    </row>
    <row r="108" spans="1:8" x14ac:dyDescent="0.3">
      <c r="A108" s="16" t="s">
        <v>1106</v>
      </c>
      <c r="B108" s="17">
        <v>301.16777777777781</v>
      </c>
      <c r="C108" s="18">
        <v>45638</v>
      </c>
      <c r="D108" s="18">
        <v>45592</v>
      </c>
      <c r="E108" s="19">
        <v>0.12594113620807665</v>
      </c>
      <c r="F108" s="19">
        <v>14.378348824494259</v>
      </c>
      <c r="G108" s="17">
        <v>545.36231820667035</v>
      </c>
      <c r="H108" s="20">
        <v>163.60869546200109</v>
      </c>
    </row>
    <row r="109" spans="1:8" x14ac:dyDescent="0.3">
      <c r="A109" s="16" t="s">
        <v>1117</v>
      </c>
      <c r="B109" s="17">
        <v>290.19300000000004</v>
      </c>
      <c r="C109" s="18">
        <v>45566</v>
      </c>
      <c r="D109" s="18">
        <v>44961</v>
      </c>
      <c r="E109" s="19">
        <v>1.6563997262149213</v>
      </c>
      <c r="F109" s="19">
        <v>4.6373591493413739</v>
      </c>
      <c r="G109" s="17">
        <v>2229.0654181875893</v>
      </c>
      <c r="H109" s="20">
        <v>668.71962545627673</v>
      </c>
    </row>
    <row r="110" spans="1:8" x14ac:dyDescent="0.3">
      <c r="A110" s="16" t="s">
        <v>1129</v>
      </c>
      <c r="B110" s="17">
        <v>324.38750000000005</v>
      </c>
      <c r="C110" s="18">
        <v>45633</v>
      </c>
      <c r="D110" s="18">
        <v>45115</v>
      </c>
      <c r="E110" s="19">
        <v>1.4182067077344285</v>
      </c>
      <c r="F110" s="19">
        <v>2.0852809991079395</v>
      </c>
      <c r="G110" s="17">
        <v>959.33045495093688</v>
      </c>
      <c r="H110" s="20">
        <v>287.79913648528105</v>
      </c>
    </row>
    <row r="111" spans="1:8" x14ac:dyDescent="0.3">
      <c r="A111" s="16" t="s">
        <v>1135</v>
      </c>
      <c r="B111" s="17">
        <v>311.77200000000005</v>
      </c>
      <c r="C111" s="18">
        <v>45656</v>
      </c>
      <c r="D111" s="18">
        <v>45612</v>
      </c>
      <c r="E111" s="19">
        <v>0.12046543463381246</v>
      </c>
      <c r="F111" s="19">
        <v>16.116933259790404</v>
      </c>
      <c r="G111" s="17">
        <v>605.3157418643134</v>
      </c>
      <c r="H111" s="20">
        <v>181.59472255929401</v>
      </c>
    </row>
    <row r="112" spans="1:8" x14ac:dyDescent="0.3">
      <c r="A112" s="16" t="s">
        <v>1147</v>
      </c>
      <c r="B112" s="17">
        <v>254.67785714285711</v>
      </c>
      <c r="C112" s="18">
        <v>45649</v>
      </c>
      <c r="D112" s="18">
        <v>45079</v>
      </c>
      <c r="E112" s="19">
        <v>1.5605749486652978</v>
      </c>
      <c r="F112" s="19">
        <v>6.7942202291978075</v>
      </c>
      <c r="G112" s="17">
        <v>2700.3212755356249</v>
      </c>
      <c r="H112" s="20">
        <v>810.09638266068748</v>
      </c>
    </row>
    <row r="113" spans="1:8" x14ac:dyDescent="0.3">
      <c r="A113" s="16" t="s">
        <v>1163</v>
      </c>
      <c r="B113" s="17">
        <v>286.89</v>
      </c>
      <c r="C113" s="18">
        <v>45524</v>
      </c>
      <c r="D113" s="18">
        <v>45524</v>
      </c>
      <c r="E113" s="19">
        <v>0</v>
      </c>
      <c r="F113" s="19">
        <v>2</v>
      </c>
      <c r="G113" s="17">
        <v>0</v>
      </c>
      <c r="H113" s="20">
        <v>0</v>
      </c>
    </row>
    <row r="114" spans="1:8" x14ac:dyDescent="0.3">
      <c r="A114" s="16" t="s">
        <v>1166</v>
      </c>
      <c r="B114" s="17">
        <v>191.59666666666666</v>
      </c>
      <c r="C114" s="18">
        <v>45655</v>
      </c>
      <c r="D114" s="18">
        <v>45592</v>
      </c>
      <c r="E114" s="19">
        <v>0.17248459958932238</v>
      </c>
      <c r="F114" s="19">
        <v>8.9221374045801518</v>
      </c>
      <c r="G114" s="17">
        <v>294.85410687022897</v>
      </c>
      <c r="H114" s="20">
        <v>88.45623206106869</v>
      </c>
    </row>
    <row r="115" spans="1:8" x14ac:dyDescent="0.3">
      <c r="A115" s="16" t="s">
        <v>1174</v>
      </c>
      <c r="B115" s="17">
        <v>229.73500000000001</v>
      </c>
      <c r="C115" s="18">
        <v>45553</v>
      </c>
      <c r="D115" s="18">
        <v>45469</v>
      </c>
      <c r="E115" s="19">
        <v>0.2299794661190965</v>
      </c>
      <c r="F115" s="19">
        <v>8.2194092827004219</v>
      </c>
      <c r="G115" s="17">
        <v>434.26700421940933</v>
      </c>
      <c r="H115" s="20">
        <v>130.28010126582279</v>
      </c>
    </row>
    <row r="116" spans="1:8" x14ac:dyDescent="0.3">
      <c r="A116" s="16" t="s">
        <v>1182</v>
      </c>
      <c r="B116" s="17">
        <v>459.94</v>
      </c>
      <c r="C116" s="18">
        <v>45595</v>
      </c>
      <c r="D116" s="18">
        <v>45595</v>
      </c>
      <c r="E116" s="19">
        <v>0</v>
      </c>
      <c r="F116" s="19">
        <v>2</v>
      </c>
      <c r="G116" s="17">
        <v>0</v>
      </c>
      <c r="H116" s="20">
        <v>0</v>
      </c>
    </row>
    <row r="117" spans="1:8" x14ac:dyDescent="0.3">
      <c r="A117" s="16" t="s">
        <v>1185</v>
      </c>
      <c r="B117" s="17">
        <v>180.17699999999996</v>
      </c>
      <c r="C117" s="18">
        <v>45568</v>
      </c>
      <c r="D117" s="18">
        <v>45396</v>
      </c>
      <c r="E117" s="19">
        <v>0.47091033538672145</v>
      </c>
      <c r="F117" s="19">
        <v>10.299612266478674</v>
      </c>
      <c r="G117" s="17">
        <v>873.89338033133572</v>
      </c>
      <c r="H117" s="20">
        <v>262.16801409940069</v>
      </c>
    </row>
    <row r="118" spans="1:8" x14ac:dyDescent="0.3">
      <c r="A118" s="16" t="s">
        <v>1197</v>
      </c>
      <c r="B118" s="17">
        <v>219.51363636363638</v>
      </c>
      <c r="C118" s="18">
        <v>45610</v>
      </c>
      <c r="D118" s="18">
        <v>45380</v>
      </c>
      <c r="E118" s="19">
        <v>0.62970568104038327</v>
      </c>
      <c r="F118" s="19">
        <v>9.737049378976069</v>
      </c>
      <c r="G118" s="17">
        <v>1345.9424416843381</v>
      </c>
      <c r="H118" s="20">
        <v>403.7827325053014</v>
      </c>
    </row>
    <row r="119" spans="1:8" x14ac:dyDescent="0.3">
      <c r="A119" s="16" t="s">
        <v>1210</v>
      </c>
      <c r="B119" s="17">
        <v>276.76363636363635</v>
      </c>
      <c r="C119" s="18">
        <v>45630</v>
      </c>
      <c r="D119" s="18">
        <v>45436</v>
      </c>
      <c r="E119" s="19">
        <v>0.53114305270362761</v>
      </c>
      <c r="F119" s="19">
        <v>10.667772983737139</v>
      </c>
      <c r="G119" s="17">
        <v>1568.174178559575</v>
      </c>
      <c r="H119" s="20">
        <v>470.4522535678725</v>
      </c>
    </row>
    <row r="120" spans="1:8" x14ac:dyDescent="0.3">
      <c r="A120" s="16" t="s">
        <v>1223</v>
      </c>
      <c r="B120" s="17">
        <v>367.2</v>
      </c>
      <c r="C120" s="18">
        <v>45598</v>
      </c>
      <c r="D120" s="18">
        <v>45598</v>
      </c>
      <c r="E120" s="19">
        <v>0</v>
      </c>
      <c r="F120" s="19">
        <v>2</v>
      </c>
      <c r="G120" s="17">
        <v>0</v>
      </c>
      <c r="H120" s="20">
        <v>0</v>
      </c>
    </row>
    <row r="121" spans="1:8" x14ac:dyDescent="0.3">
      <c r="A121" s="16" t="s">
        <v>1226</v>
      </c>
      <c r="B121" s="17">
        <v>35.43</v>
      </c>
      <c r="C121" s="18">
        <v>45460</v>
      </c>
      <c r="D121" s="18">
        <v>45460</v>
      </c>
      <c r="E121" s="19">
        <v>0</v>
      </c>
      <c r="F121" s="19">
        <v>2</v>
      </c>
      <c r="G121" s="17">
        <v>0</v>
      </c>
      <c r="H121" s="20">
        <v>0</v>
      </c>
    </row>
    <row r="122" spans="1:8" x14ac:dyDescent="0.3">
      <c r="A122" s="16" t="s">
        <v>1229</v>
      </c>
      <c r="B122" s="17">
        <v>362.20166666666665</v>
      </c>
      <c r="C122" s="18">
        <v>45654</v>
      </c>
      <c r="D122" s="18">
        <v>45408</v>
      </c>
      <c r="E122" s="19">
        <v>0.67351129363449691</v>
      </c>
      <c r="F122" s="19">
        <v>5.1128608923884515</v>
      </c>
      <c r="G122" s="17">
        <v>1247.2666316710411</v>
      </c>
      <c r="H122" s="20">
        <v>374.17998950131232</v>
      </c>
    </row>
    <row r="123" spans="1:8" x14ac:dyDescent="0.3">
      <c r="A123" s="16" t="s">
        <v>1237</v>
      </c>
      <c r="B123" s="17">
        <v>280.64888888888891</v>
      </c>
      <c r="C123" s="18">
        <v>45607</v>
      </c>
      <c r="D123" s="18">
        <v>45461</v>
      </c>
      <c r="E123" s="19">
        <v>0.39972621492128679</v>
      </c>
      <c r="F123" s="19">
        <v>10.00304298212248</v>
      </c>
      <c r="G123" s="17">
        <v>1122.1685507797642</v>
      </c>
      <c r="H123" s="20">
        <v>336.65056523392929</v>
      </c>
    </row>
    <row r="124" spans="1:8" x14ac:dyDescent="0.3">
      <c r="A124" s="16" t="s">
        <v>1248</v>
      </c>
      <c r="B124" s="17">
        <v>235.43714285714287</v>
      </c>
      <c r="C124" s="18">
        <v>45514</v>
      </c>
      <c r="D124" s="18">
        <v>45131</v>
      </c>
      <c r="E124" s="19">
        <v>1.0485968514715949</v>
      </c>
      <c r="F124" s="19">
        <v>9.0404419889502758</v>
      </c>
      <c r="G124" s="17">
        <v>2231.8920839779007</v>
      </c>
      <c r="H124" s="20">
        <v>669.56762519337019</v>
      </c>
    </row>
    <row r="125" spans="1:8" x14ac:dyDescent="0.3">
      <c r="A125" s="16" t="s">
        <v>1264</v>
      </c>
      <c r="B125" s="17">
        <v>244.78500000000003</v>
      </c>
      <c r="C125" s="18">
        <v>45573</v>
      </c>
      <c r="D125" s="18">
        <v>45356</v>
      </c>
      <c r="E125" s="19">
        <v>0.59411362080766594</v>
      </c>
      <c r="F125" s="19">
        <v>1.827963715983735</v>
      </c>
      <c r="G125" s="17">
        <v>265.84095089146081</v>
      </c>
      <c r="H125" s="20">
        <v>79.752285267438239</v>
      </c>
    </row>
    <row r="126" spans="1:8" x14ac:dyDescent="0.3">
      <c r="A126" s="16" t="s">
        <v>1268</v>
      </c>
      <c r="B126" s="17">
        <v>151.38142857142859</v>
      </c>
      <c r="C126" s="18">
        <v>45641</v>
      </c>
      <c r="D126" s="18">
        <v>45373</v>
      </c>
      <c r="E126" s="19">
        <v>0.73374401095140318</v>
      </c>
      <c r="F126" s="19">
        <v>5.6737864077669906</v>
      </c>
      <c r="G126" s="17">
        <v>630.21705409153969</v>
      </c>
      <c r="H126" s="20">
        <v>189.06511622746191</v>
      </c>
    </row>
    <row r="127" spans="1:8" x14ac:dyDescent="0.3">
      <c r="A127" s="16" t="s">
        <v>1277</v>
      </c>
      <c r="B127" s="17">
        <v>230.05</v>
      </c>
      <c r="C127" s="18">
        <v>45186</v>
      </c>
      <c r="D127" s="18">
        <v>45186</v>
      </c>
      <c r="E127" s="19">
        <v>0</v>
      </c>
      <c r="F127" s="19">
        <v>2</v>
      </c>
      <c r="G127" s="17">
        <v>0</v>
      </c>
      <c r="H127" s="20">
        <v>0</v>
      </c>
    </row>
    <row r="128" spans="1:8" x14ac:dyDescent="0.3">
      <c r="A128" s="16" t="s">
        <v>1280</v>
      </c>
      <c r="B128" s="17">
        <v>219.83181818181814</v>
      </c>
      <c r="C128" s="18">
        <v>45575</v>
      </c>
      <c r="D128" s="18">
        <v>45008</v>
      </c>
      <c r="E128" s="19">
        <v>1.5523613963039014</v>
      </c>
      <c r="F128" s="19">
        <v>5.359679839919961</v>
      </c>
      <c r="G128" s="17">
        <v>1829.0359179589796</v>
      </c>
      <c r="H128" s="20">
        <v>548.71077538769384</v>
      </c>
    </row>
    <row r="129" spans="1:8" x14ac:dyDescent="0.3">
      <c r="A129" s="16" t="s">
        <v>1293</v>
      </c>
      <c r="B129" s="17">
        <v>196.95</v>
      </c>
      <c r="C129" s="18">
        <v>45500</v>
      </c>
      <c r="D129" s="18">
        <v>45173</v>
      </c>
      <c r="E129" s="19">
        <v>0.89527720739219707</v>
      </c>
      <c r="F129" s="19">
        <v>2.8668138337012512</v>
      </c>
      <c r="G129" s="17">
        <v>505.49050772626936</v>
      </c>
      <c r="H129" s="20">
        <v>151.6471523178808</v>
      </c>
    </row>
    <row r="130" spans="1:8" x14ac:dyDescent="0.3">
      <c r="A130" s="16" t="s">
        <v>1299</v>
      </c>
      <c r="B130" s="17">
        <v>298.10857142857139</v>
      </c>
      <c r="C130" s="18">
        <v>45596</v>
      </c>
      <c r="D130" s="18">
        <v>45315</v>
      </c>
      <c r="E130" s="19">
        <v>0.76933607118412051</v>
      </c>
      <c r="F130" s="19">
        <v>5.5146939875977354</v>
      </c>
      <c r="G130" s="17">
        <v>1264.7712267457534</v>
      </c>
      <c r="H130" s="20">
        <v>379.43136802372601</v>
      </c>
    </row>
    <row r="131" spans="1:8" x14ac:dyDescent="0.3">
      <c r="A131" s="16" t="s">
        <v>1308</v>
      </c>
      <c r="B131" s="17">
        <v>256.79166666666669</v>
      </c>
      <c r="C131" s="18">
        <v>45609</v>
      </c>
      <c r="D131" s="18">
        <v>44950</v>
      </c>
      <c r="E131" s="19">
        <v>1.8042436687200547</v>
      </c>
      <c r="F131" s="19">
        <v>2.6038912817466211</v>
      </c>
      <c r="G131" s="17">
        <v>1206.4212089707412</v>
      </c>
      <c r="H131" s="20">
        <v>361.92636269122232</v>
      </c>
    </row>
    <row r="132" spans="1:8" x14ac:dyDescent="0.3">
      <c r="A132" s="16" t="s">
        <v>1316</v>
      </c>
      <c r="B132" s="17">
        <v>64.819999999999993</v>
      </c>
      <c r="C132" s="18">
        <v>45051</v>
      </c>
      <c r="D132" s="18">
        <v>45051</v>
      </c>
      <c r="E132" s="19">
        <v>0</v>
      </c>
      <c r="F132" s="19">
        <v>2</v>
      </c>
      <c r="G132" s="17">
        <v>0</v>
      </c>
      <c r="H132" s="20">
        <v>0</v>
      </c>
    </row>
    <row r="133" spans="1:8" x14ac:dyDescent="0.3">
      <c r="A133" s="16" t="s">
        <v>1319</v>
      </c>
      <c r="B133" s="17">
        <v>442.03</v>
      </c>
      <c r="C133" s="18">
        <v>45656</v>
      </c>
      <c r="D133" s="18">
        <v>45656</v>
      </c>
      <c r="E133" s="19">
        <v>0</v>
      </c>
      <c r="F133" s="19">
        <v>2</v>
      </c>
      <c r="G133" s="17">
        <v>0</v>
      </c>
      <c r="H133" s="20">
        <v>0</v>
      </c>
    </row>
    <row r="134" spans="1:8" x14ac:dyDescent="0.3">
      <c r="A134" s="16" t="s">
        <v>1322</v>
      </c>
      <c r="B134" s="17">
        <v>218.8475</v>
      </c>
      <c r="C134" s="18">
        <v>45315</v>
      </c>
      <c r="D134" s="18">
        <v>45093</v>
      </c>
      <c r="E134" s="19">
        <v>0.6078028747433265</v>
      </c>
      <c r="F134" s="19">
        <v>3.6107506950880439</v>
      </c>
      <c r="G134" s="17">
        <v>480.28811862835948</v>
      </c>
      <c r="H134" s="20">
        <v>144.08643558850784</v>
      </c>
    </row>
    <row r="135" spans="1:8" x14ac:dyDescent="0.3">
      <c r="A135" s="16" t="s">
        <v>1328</v>
      </c>
      <c r="B135" s="17">
        <v>337.10285714285709</v>
      </c>
      <c r="C135" s="18">
        <v>45652</v>
      </c>
      <c r="D135" s="18">
        <v>45274</v>
      </c>
      <c r="E135" s="19">
        <v>1.0349075975359343</v>
      </c>
      <c r="F135" s="19">
        <v>4.5605351170568564</v>
      </c>
      <c r="G135" s="17">
        <v>1591.0352909698995</v>
      </c>
      <c r="H135" s="20">
        <v>477.31058729096981</v>
      </c>
    </row>
    <row r="136" spans="1:8" x14ac:dyDescent="0.3">
      <c r="A136" s="16" t="s">
        <v>1337</v>
      </c>
      <c r="B136" s="17">
        <v>232.07714285714286</v>
      </c>
      <c r="C136" s="18">
        <v>45609</v>
      </c>
      <c r="D136" s="18">
        <v>45348</v>
      </c>
      <c r="E136" s="19">
        <v>0.71457905544147848</v>
      </c>
      <c r="F136" s="19">
        <v>11.526627218934911</v>
      </c>
      <c r="G136" s="17">
        <v>1911.5466441251058</v>
      </c>
      <c r="H136" s="20">
        <v>573.46399323753167</v>
      </c>
    </row>
    <row r="137" spans="1:8" x14ac:dyDescent="0.3">
      <c r="A137" s="16" t="s">
        <v>1353</v>
      </c>
      <c r="B137" s="17">
        <v>306.52250000000004</v>
      </c>
      <c r="C137" s="18">
        <v>45650</v>
      </c>
      <c r="D137" s="18">
        <v>45362</v>
      </c>
      <c r="E137" s="19">
        <v>0.7885010266940452</v>
      </c>
      <c r="F137" s="19">
        <v>6.2087649402390435</v>
      </c>
      <c r="G137" s="17">
        <v>1500.6169243027889</v>
      </c>
      <c r="H137" s="20">
        <v>450.18507729083666</v>
      </c>
    </row>
    <row r="138" spans="1:8" x14ac:dyDescent="0.3">
      <c r="A138" s="16" t="s">
        <v>1363</v>
      </c>
      <c r="B138" s="17">
        <v>268.62333333333339</v>
      </c>
      <c r="C138" s="18">
        <v>45539</v>
      </c>
      <c r="D138" s="18">
        <v>45196</v>
      </c>
      <c r="E138" s="19">
        <v>0.93908281998631071</v>
      </c>
      <c r="F138" s="19">
        <v>2.0846611177170034</v>
      </c>
      <c r="G138" s="17">
        <v>525.87569084423308</v>
      </c>
      <c r="H138" s="20">
        <v>157.76270725326992</v>
      </c>
    </row>
    <row r="139" spans="1:8" x14ac:dyDescent="0.3">
      <c r="A139" s="16" t="s">
        <v>1368</v>
      </c>
      <c r="B139" s="17">
        <v>335.16</v>
      </c>
      <c r="C139" s="18">
        <v>45513</v>
      </c>
      <c r="D139" s="18">
        <v>45271</v>
      </c>
      <c r="E139" s="19">
        <v>0.66255989048596853</v>
      </c>
      <c r="F139" s="19">
        <v>1.720341477774507</v>
      </c>
      <c r="G139" s="17">
        <v>382.02517515454815</v>
      </c>
      <c r="H139" s="20">
        <v>114.60755254636445</v>
      </c>
    </row>
    <row r="140" spans="1:8" x14ac:dyDescent="0.3">
      <c r="A140" s="16" t="s">
        <v>1372</v>
      </c>
      <c r="B140" s="17">
        <v>193.98</v>
      </c>
      <c r="C140" s="18">
        <v>45024</v>
      </c>
      <c r="D140" s="18">
        <v>45024</v>
      </c>
      <c r="E140" s="19">
        <v>0</v>
      </c>
      <c r="F140" s="19">
        <v>2</v>
      </c>
      <c r="G140" s="17">
        <v>0</v>
      </c>
      <c r="H140" s="20">
        <v>0</v>
      </c>
    </row>
    <row r="141" spans="1:8" x14ac:dyDescent="0.3">
      <c r="A141" s="16" t="s">
        <v>1375</v>
      </c>
      <c r="B141" s="17">
        <v>298.6273333333333</v>
      </c>
      <c r="C141" s="18">
        <v>45615</v>
      </c>
      <c r="D141" s="18">
        <v>45098</v>
      </c>
      <c r="E141" s="19">
        <v>1.4154688569472964</v>
      </c>
      <c r="F141" s="19">
        <v>7.8309808826156866</v>
      </c>
      <c r="G141" s="17">
        <v>3310.1375308200818</v>
      </c>
      <c r="H141" s="20">
        <v>993.04125924602454</v>
      </c>
    </row>
    <row r="142" spans="1:8" x14ac:dyDescent="0.3">
      <c r="A142" s="16" t="s">
        <v>1392</v>
      </c>
      <c r="B142" s="17">
        <v>248.10076923076926</v>
      </c>
      <c r="C142" s="18">
        <v>45652</v>
      </c>
      <c r="D142" s="18">
        <v>45243</v>
      </c>
      <c r="E142" s="19">
        <v>1.1197809719370295</v>
      </c>
      <c r="F142" s="19">
        <v>8.0257764631312067</v>
      </c>
      <c r="G142" s="17">
        <v>2229.7093429114734</v>
      </c>
      <c r="H142" s="20">
        <v>668.91280287344205</v>
      </c>
    </row>
    <row r="143" spans="1:8" x14ac:dyDescent="0.3">
      <c r="A143" s="16" t="s">
        <v>1407</v>
      </c>
      <c r="B143" s="17">
        <v>256.33249999999998</v>
      </c>
      <c r="C143" s="18">
        <v>45625</v>
      </c>
      <c r="D143" s="18">
        <v>45041</v>
      </c>
      <c r="E143" s="19">
        <v>1.5989048596851472</v>
      </c>
      <c r="F143" s="19">
        <v>3.811511495189956</v>
      </c>
      <c r="G143" s="17">
        <v>1562.1528648296103</v>
      </c>
      <c r="H143" s="20">
        <v>468.64585944888307</v>
      </c>
    </row>
    <row r="144" spans="1:8" x14ac:dyDescent="0.3">
      <c r="A144" s="16" t="s">
        <v>1417</v>
      </c>
      <c r="B144" s="17">
        <v>426.1</v>
      </c>
      <c r="C144" s="18">
        <v>45355</v>
      </c>
      <c r="D144" s="18">
        <v>45355</v>
      </c>
      <c r="E144" s="19">
        <v>0</v>
      </c>
      <c r="F144" s="19">
        <v>2</v>
      </c>
      <c r="G144" s="17">
        <v>0</v>
      </c>
      <c r="H144" s="20">
        <v>0</v>
      </c>
    </row>
    <row r="145" spans="1:8" x14ac:dyDescent="0.3">
      <c r="A145" s="16" t="s">
        <v>1420</v>
      </c>
      <c r="B145" s="17">
        <v>263.33714285714285</v>
      </c>
      <c r="C145" s="18">
        <v>45590</v>
      </c>
      <c r="D145" s="18">
        <v>45133</v>
      </c>
      <c r="E145" s="19">
        <v>1.2511978097193703</v>
      </c>
      <c r="F145" s="19">
        <v>7.9945280437756496</v>
      </c>
      <c r="G145" s="17">
        <v>2634.0919132304089</v>
      </c>
      <c r="H145" s="20">
        <v>790.22757396912266</v>
      </c>
    </row>
    <row r="146" spans="1:8" x14ac:dyDescent="0.3">
      <c r="A146" s="16" t="s">
        <v>1436</v>
      </c>
      <c r="B146" s="17">
        <v>243.52571428571432</v>
      </c>
      <c r="C146" s="18">
        <v>45597</v>
      </c>
      <c r="D146" s="18">
        <v>45426</v>
      </c>
      <c r="E146" s="19">
        <v>0.46817248459958932</v>
      </c>
      <c r="F146" s="19">
        <v>7.2301166489925768</v>
      </c>
      <c r="G146" s="17">
        <v>824.32033934252388</v>
      </c>
      <c r="H146" s="20">
        <v>247.29610180275716</v>
      </c>
    </row>
    <row r="147" spans="1:8" x14ac:dyDescent="0.3">
      <c r="A147" s="16" t="s">
        <v>1445</v>
      </c>
      <c r="B147" s="17">
        <v>182.96545454545455</v>
      </c>
      <c r="C147" s="18">
        <v>45656</v>
      </c>
      <c r="D147" s="18">
        <v>45484</v>
      </c>
      <c r="E147" s="19">
        <v>0.47091033538672145</v>
      </c>
      <c r="F147" s="19">
        <v>11.329573493126542</v>
      </c>
      <c r="G147" s="17">
        <v>976.15971801198464</v>
      </c>
      <c r="H147" s="20">
        <v>292.84791540359538</v>
      </c>
    </row>
    <row r="148" spans="1:8" x14ac:dyDescent="0.3">
      <c r="A148" s="16" t="s">
        <v>1458</v>
      </c>
      <c r="B148" s="17">
        <v>268.20499999999998</v>
      </c>
      <c r="C148" s="18">
        <v>45438</v>
      </c>
      <c r="D148" s="18">
        <v>45202</v>
      </c>
      <c r="E148" s="19">
        <v>0.6461327857631759</v>
      </c>
      <c r="F148" s="19">
        <v>3.4899970140340395</v>
      </c>
      <c r="G148" s="17">
        <v>604.80267542550007</v>
      </c>
      <c r="H148" s="20">
        <v>181.44080262765002</v>
      </c>
    </row>
    <row r="149" spans="1:8" x14ac:dyDescent="0.3">
      <c r="A149" s="16" t="s">
        <v>1464</v>
      </c>
      <c r="B149" s="17">
        <v>270.66750000000002</v>
      </c>
      <c r="C149" s="18">
        <v>45156</v>
      </c>
      <c r="D149" s="18">
        <v>45003</v>
      </c>
      <c r="E149" s="19">
        <v>0.41889117043121149</v>
      </c>
      <c r="F149" s="19">
        <v>4.3530726256983243</v>
      </c>
      <c r="G149" s="17">
        <v>493.55235754189948</v>
      </c>
      <c r="H149" s="20">
        <v>148.06570726256984</v>
      </c>
    </row>
    <row r="150" spans="1:8" x14ac:dyDescent="0.3">
      <c r="A150" s="16" t="s">
        <v>1470</v>
      </c>
      <c r="B150" s="17">
        <v>257.26000000000005</v>
      </c>
      <c r="C150" s="18">
        <v>45637</v>
      </c>
      <c r="D150" s="18">
        <v>45206</v>
      </c>
      <c r="E150" s="19">
        <v>1.1800136892539357</v>
      </c>
      <c r="F150" s="19">
        <v>8.3332654308413119</v>
      </c>
      <c r="G150" s="17">
        <v>2529.7320676308823</v>
      </c>
      <c r="H150" s="20">
        <v>758.91962028926469</v>
      </c>
    </row>
    <row r="151" spans="1:8" x14ac:dyDescent="0.3">
      <c r="A151" s="16" t="s">
        <v>1486</v>
      </c>
      <c r="B151" s="17">
        <v>310.69384615384621</v>
      </c>
      <c r="C151" s="18">
        <v>45652</v>
      </c>
      <c r="D151" s="18">
        <v>45445</v>
      </c>
      <c r="E151" s="19">
        <v>0.56673511293634493</v>
      </c>
      <c r="F151" s="19">
        <v>12.186717998075073</v>
      </c>
      <c r="G151" s="17">
        <v>2145.8508565928782</v>
      </c>
      <c r="H151" s="20">
        <v>643.7552569778635</v>
      </c>
    </row>
    <row r="152" spans="1:8" x14ac:dyDescent="0.3">
      <c r="A152" s="16" t="s">
        <v>1501</v>
      </c>
      <c r="B152" s="17">
        <v>260.03833333333336</v>
      </c>
      <c r="C152" s="18">
        <v>45531</v>
      </c>
      <c r="D152" s="18">
        <v>45204</v>
      </c>
      <c r="E152" s="19">
        <v>0.89527720739219707</v>
      </c>
      <c r="F152" s="19">
        <v>4.3002207505518761</v>
      </c>
      <c r="G152" s="17">
        <v>1001.1188815305372</v>
      </c>
      <c r="H152" s="20">
        <v>300.33566445916114</v>
      </c>
    </row>
    <row r="153" spans="1:8" x14ac:dyDescent="0.3">
      <c r="A153" s="16" t="s">
        <v>1509</v>
      </c>
      <c r="B153" s="17">
        <v>247.40230769230769</v>
      </c>
      <c r="C153" s="18">
        <v>45586</v>
      </c>
      <c r="D153" s="18">
        <v>45091</v>
      </c>
      <c r="E153" s="19">
        <v>1.3552361396303902</v>
      </c>
      <c r="F153" s="19">
        <v>7.0071942446043165</v>
      </c>
      <c r="G153" s="17">
        <v>2349.4319867183176</v>
      </c>
      <c r="H153" s="20">
        <v>704.82959601549521</v>
      </c>
    </row>
    <row r="154" spans="1:8" x14ac:dyDescent="0.3">
      <c r="A154" s="16" t="s">
        <v>1524</v>
      </c>
      <c r="B154" s="17">
        <v>267.06374999999997</v>
      </c>
      <c r="C154" s="18">
        <v>45641</v>
      </c>
      <c r="D154" s="18">
        <v>45258</v>
      </c>
      <c r="E154" s="19">
        <v>1.0485968514715949</v>
      </c>
      <c r="F154" s="19">
        <v>5.1659668508287293</v>
      </c>
      <c r="G154" s="17">
        <v>1446.6887602209943</v>
      </c>
      <c r="H154" s="20">
        <v>434.00662806629828</v>
      </c>
    </row>
    <row r="155" spans="1:8" x14ac:dyDescent="0.3">
      <c r="A155" s="16" t="s">
        <v>1534</v>
      </c>
      <c r="B155" s="17">
        <v>308.27249999999998</v>
      </c>
      <c r="C155" s="18">
        <v>45651</v>
      </c>
      <c r="D155" s="18">
        <v>45582</v>
      </c>
      <c r="E155" s="19">
        <v>0.18891170431211499</v>
      </c>
      <c r="F155" s="19">
        <v>5.8062593144560353</v>
      </c>
      <c r="G155" s="17">
        <v>338.13496274217579</v>
      </c>
      <c r="H155" s="20">
        <v>101.44048882265274</v>
      </c>
    </row>
    <row r="156" spans="1:8" x14ac:dyDescent="0.3">
      <c r="A156" s="16" t="s">
        <v>1540</v>
      </c>
      <c r="B156" s="17">
        <v>186.81499999999997</v>
      </c>
      <c r="C156" s="18">
        <v>45645</v>
      </c>
      <c r="D156" s="18">
        <v>45160</v>
      </c>
      <c r="E156" s="19">
        <v>1.3278576317590691</v>
      </c>
      <c r="F156" s="19">
        <v>6.5650627223366413</v>
      </c>
      <c r="G156" s="17">
        <v>1628.55390376334</v>
      </c>
      <c r="H156" s="20">
        <v>488.56617112900199</v>
      </c>
    </row>
    <row r="157" spans="1:8" x14ac:dyDescent="0.3">
      <c r="A157" s="16" t="s">
        <v>1554</v>
      </c>
      <c r="B157" s="17">
        <v>254.01399999999998</v>
      </c>
      <c r="C157" s="18">
        <v>45566</v>
      </c>
      <c r="D157" s="18">
        <v>45264</v>
      </c>
      <c r="E157" s="19">
        <v>0.8268309377138946</v>
      </c>
      <c r="F157" s="19">
        <v>3.768377611555326</v>
      </c>
      <c r="G157" s="17">
        <v>791.45966468919255</v>
      </c>
      <c r="H157" s="20">
        <v>237.43789940675777</v>
      </c>
    </row>
    <row r="158" spans="1:8" x14ac:dyDescent="0.3">
      <c r="A158" s="16" t="s">
        <v>1561</v>
      </c>
      <c r="B158" s="17">
        <v>191.56</v>
      </c>
      <c r="C158" s="18">
        <v>45650</v>
      </c>
      <c r="D158" s="18">
        <v>45541</v>
      </c>
      <c r="E158" s="19">
        <v>0.29842573579739906</v>
      </c>
      <c r="F158" s="19">
        <v>8.7672524646378047</v>
      </c>
      <c r="G158" s="17">
        <v>501.19255893699102</v>
      </c>
      <c r="H158" s="20">
        <v>150.3577676810973</v>
      </c>
    </row>
    <row r="159" spans="1:8" x14ac:dyDescent="0.3">
      <c r="A159" s="16" t="s">
        <v>1570</v>
      </c>
      <c r="B159" s="17">
        <v>72.599999999999994</v>
      </c>
      <c r="C159" s="18">
        <v>45654</v>
      </c>
      <c r="D159" s="18">
        <v>45538</v>
      </c>
      <c r="E159" s="19">
        <v>0.31759069130732376</v>
      </c>
      <c r="F159" s="19">
        <v>2.4462118041021346</v>
      </c>
      <c r="G159" s="17">
        <v>56.402511511092499</v>
      </c>
      <c r="H159" s="20">
        <v>16.920753453327748</v>
      </c>
    </row>
    <row r="160" spans="1:8" x14ac:dyDescent="0.3">
      <c r="A160" s="16" t="s">
        <v>1574</v>
      </c>
      <c r="B160" s="17">
        <v>262.01727272727277</v>
      </c>
      <c r="C160" s="18">
        <v>45639</v>
      </c>
      <c r="D160" s="18">
        <v>45196</v>
      </c>
      <c r="E160" s="19">
        <v>1.2128678986995209</v>
      </c>
      <c r="F160" s="19">
        <v>6.4219780219780214</v>
      </c>
      <c r="G160" s="17">
        <v>2040.8554165834166</v>
      </c>
      <c r="H160" s="20">
        <v>612.25662497502492</v>
      </c>
    </row>
    <row r="161" spans="1:8" x14ac:dyDescent="0.3">
      <c r="A161" s="16" t="s">
        <v>1587</v>
      </c>
      <c r="B161" s="17">
        <v>235.00333333333333</v>
      </c>
      <c r="C161" s="18">
        <v>45566</v>
      </c>
      <c r="D161" s="18">
        <v>45123</v>
      </c>
      <c r="E161" s="19">
        <v>1.2128678986995209</v>
      </c>
      <c r="F161" s="19">
        <v>3.5028971028971028</v>
      </c>
      <c r="G161" s="17">
        <v>998.4237522477523</v>
      </c>
      <c r="H161" s="20">
        <v>299.5271256743257</v>
      </c>
    </row>
    <row r="162" spans="1:8" x14ac:dyDescent="0.3">
      <c r="A162" s="16" t="s">
        <v>1595</v>
      </c>
      <c r="B162" s="17">
        <v>259.01333333333332</v>
      </c>
      <c r="C162" s="18">
        <v>45636</v>
      </c>
      <c r="D162" s="18">
        <v>45247</v>
      </c>
      <c r="E162" s="19">
        <v>1.0650239561943875</v>
      </c>
      <c r="F162" s="19">
        <v>7.6676142575989497</v>
      </c>
      <c r="G162" s="17">
        <v>2115.1528362125518</v>
      </c>
      <c r="H162" s="20">
        <v>634.54585086376551</v>
      </c>
    </row>
    <row r="163" spans="1:8" x14ac:dyDescent="0.3">
      <c r="A163" s="16" t="s">
        <v>1609</v>
      </c>
      <c r="B163" s="17">
        <v>219.31571428571428</v>
      </c>
      <c r="C163" s="18">
        <v>45617</v>
      </c>
      <c r="D163" s="18">
        <v>45129</v>
      </c>
      <c r="E163" s="19">
        <v>1.3360711841204653</v>
      </c>
      <c r="F163" s="19">
        <v>3.8124883504193852</v>
      </c>
      <c r="G163" s="17">
        <v>1117.1406971109038</v>
      </c>
      <c r="H163" s="20">
        <v>335.14220913327114</v>
      </c>
    </row>
    <row r="164" spans="1:8" x14ac:dyDescent="0.3">
      <c r="A164" s="16" t="s">
        <v>1618</v>
      </c>
      <c r="B164" s="17">
        <v>228.56</v>
      </c>
      <c r="C164" s="18">
        <v>45649</v>
      </c>
      <c r="D164" s="18">
        <v>45421</v>
      </c>
      <c r="E164" s="19">
        <v>0.62422997946611913</v>
      </c>
      <c r="F164" s="19">
        <v>8.8949771689497723</v>
      </c>
      <c r="G164" s="17">
        <v>1269.0820091324204</v>
      </c>
      <c r="H164" s="20">
        <v>380.72460273972609</v>
      </c>
    </row>
    <row r="165" spans="1:8" x14ac:dyDescent="0.3">
      <c r="A165" s="16" t="s">
        <v>1630</v>
      </c>
      <c r="B165" s="17">
        <v>241.25857142857143</v>
      </c>
      <c r="C165" s="18">
        <v>45652</v>
      </c>
      <c r="D165" s="18">
        <v>45619</v>
      </c>
      <c r="E165" s="19">
        <v>9.034907597535935E-2</v>
      </c>
      <c r="F165" s="19">
        <v>11.857391304347827</v>
      </c>
      <c r="G165" s="17">
        <v>258.46135652173916</v>
      </c>
      <c r="H165" s="20">
        <v>77.53840695652174</v>
      </c>
    </row>
    <row r="166" spans="1:8" x14ac:dyDescent="0.3">
      <c r="A166" s="16" t="s">
        <v>1639</v>
      </c>
      <c r="B166" s="17">
        <v>293.245</v>
      </c>
      <c r="C166" s="18">
        <v>45581</v>
      </c>
      <c r="D166" s="18">
        <v>45063</v>
      </c>
      <c r="E166" s="19">
        <v>1.4182067077344285</v>
      </c>
      <c r="F166" s="19">
        <v>7.2984834968777879</v>
      </c>
      <c r="G166" s="17">
        <v>3035.3081034790366</v>
      </c>
      <c r="H166" s="20">
        <v>910.59243104371092</v>
      </c>
    </row>
    <row r="167" spans="1:8" x14ac:dyDescent="0.3">
      <c r="A167" s="16" t="s">
        <v>1655</v>
      </c>
      <c r="B167" s="17">
        <v>230.32933333333332</v>
      </c>
      <c r="C167" s="18">
        <v>45630</v>
      </c>
      <c r="D167" s="18">
        <v>45404</v>
      </c>
      <c r="E167" s="19">
        <v>0.61875427789185489</v>
      </c>
      <c r="F167" s="19">
        <v>13.407769960232487</v>
      </c>
      <c r="G167" s="17">
        <v>1910.8386417864788</v>
      </c>
      <c r="H167" s="20">
        <v>573.25159253594359</v>
      </c>
    </row>
    <row r="168" spans="1:8" x14ac:dyDescent="0.3">
      <c r="A168" s="16" t="s">
        <v>1672</v>
      </c>
      <c r="B168" s="17">
        <v>178.83833333333334</v>
      </c>
      <c r="C168" s="18">
        <v>45590</v>
      </c>
      <c r="D168" s="18">
        <v>45487</v>
      </c>
      <c r="E168" s="19">
        <v>0.28199863107460643</v>
      </c>
      <c r="F168" s="19">
        <v>15.345295404814005</v>
      </c>
      <c r="G168" s="17">
        <v>773.89647264770247</v>
      </c>
      <c r="H168" s="20">
        <v>232.16894179431074</v>
      </c>
    </row>
    <row r="169" spans="1:8" x14ac:dyDescent="0.3">
      <c r="A169" s="16" t="s">
        <v>1686</v>
      </c>
      <c r="B169" s="17">
        <v>151.78874999999999</v>
      </c>
      <c r="C169" s="18">
        <v>45640</v>
      </c>
      <c r="D169" s="18">
        <v>45278</v>
      </c>
      <c r="E169" s="19">
        <v>0.99110198494182067</v>
      </c>
      <c r="F169" s="19">
        <v>5.3651595134266703</v>
      </c>
      <c r="G169" s="17">
        <v>807.12457195317882</v>
      </c>
      <c r="H169" s="20">
        <v>242.13737158595364</v>
      </c>
    </row>
    <row r="170" spans="1:8" x14ac:dyDescent="0.3">
      <c r="A170" s="16" t="s">
        <v>1696</v>
      </c>
      <c r="B170" s="17">
        <v>234.90833333333333</v>
      </c>
      <c r="C170" s="18">
        <v>45639</v>
      </c>
      <c r="D170" s="18">
        <v>45256</v>
      </c>
      <c r="E170" s="19">
        <v>1.0485968514715949</v>
      </c>
      <c r="F170" s="19">
        <v>3.874475138121547</v>
      </c>
      <c r="G170" s="17">
        <v>954.37675138121551</v>
      </c>
      <c r="H170" s="20">
        <v>286.31302541436463</v>
      </c>
    </row>
    <row r="171" spans="1:8" x14ac:dyDescent="0.3">
      <c r="A171" s="16" t="s">
        <v>1704</v>
      </c>
      <c r="B171" s="17">
        <v>352.375</v>
      </c>
      <c r="C171" s="18">
        <v>45637</v>
      </c>
      <c r="D171" s="18">
        <v>45619</v>
      </c>
      <c r="E171" s="19">
        <v>4.9281314168377825E-2</v>
      </c>
      <c r="F171" s="19">
        <v>7.2822429906542059</v>
      </c>
      <c r="G171" s="17">
        <v>126.45981308411217</v>
      </c>
      <c r="H171" s="20">
        <v>37.937943925233647</v>
      </c>
    </row>
    <row r="172" spans="1:8" x14ac:dyDescent="0.3">
      <c r="A172" s="16" t="s">
        <v>1710</v>
      </c>
      <c r="B172" s="17">
        <v>92.454999999999984</v>
      </c>
      <c r="C172" s="18">
        <v>45493</v>
      </c>
      <c r="D172" s="18">
        <v>45070</v>
      </c>
      <c r="E172" s="19">
        <v>1.1581108829568789</v>
      </c>
      <c r="F172" s="19">
        <v>2.4123839009287926</v>
      </c>
      <c r="G172" s="17">
        <v>258.30152321981421</v>
      </c>
      <c r="H172" s="20">
        <v>77.490456965944261</v>
      </c>
    </row>
    <row r="173" spans="1:8" x14ac:dyDescent="0.3">
      <c r="A173" s="16" t="s">
        <v>1716</v>
      </c>
      <c r="B173" s="17">
        <v>274.39266666666668</v>
      </c>
      <c r="C173" s="18">
        <v>45637</v>
      </c>
      <c r="D173" s="18">
        <v>45114</v>
      </c>
      <c r="E173" s="19">
        <v>1.431895961670089</v>
      </c>
      <c r="F173" s="19">
        <v>7.7643932683790959</v>
      </c>
      <c r="G173" s="17">
        <v>3050.6437130203722</v>
      </c>
      <c r="H173" s="20">
        <v>915.19311390611165</v>
      </c>
    </row>
    <row r="174" spans="1:8" x14ac:dyDescent="0.3">
      <c r="A174" s="16" t="s">
        <v>1733</v>
      </c>
      <c r="B174" s="17">
        <v>309.93153846153848</v>
      </c>
      <c r="C174" s="18">
        <v>45639</v>
      </c>
      <c r="D174" s="18">
        <v>45478</v>
      </c>
      <c r="E174" s="19">
        <v>0.44079397672826831</v>
      </c>
      <c r="F174" s="19">
        <v>13.818115678428521</v>
      </c>
      <c r="G174" s="17">
        <v>1887.7750745725721</v>
      </c>
      <c r="H174" s="20">
        <v>566.33252237177157</v>
      </c>
    </row>
    <row r="175" spans="1:8" x14ac:dyDescent="0.3">
      <c r="A175" s="16" t="s">
        <v>1748</v>
      </c>
      <c r="B175" s="17">
        <v>387.50400000000002</v>
      </c>
      <c r="C175" s="18">
        <v>45554</v>
      </c>
      <c r="D175" s="18">
        <v>45252</v>
      </c>
      <c r="E175" s="19">
        <v>0.8268309377138946</v>
      </c>
      <c r="F175" s="19">
        <v>3.768377611555326</v>
      </c>
      <c r="G175" s="17">
        <v>1207.3893010059323</v>
      </c>
      <c r="H175" s="20">
        <v>362.21679030177967</v>
      </c>
    </row>
    <row r="176" spans="1:8" x14ac:dyDescent="0.3">
      <c r="A176" s="16" t="s">
        <v>1755</v>
      </c>
      <c r="B176" s="17">
        <v>177.81</v>
      </c>
      <c r="C176" s="18">
        <v>45628</v>
      </c>
      <c r="D176" s="18">
        <v>45454</v>
      </c>
      <c r="E176" s="19">
        <v>0.47638603696098564</v>
      </c>
      <c r="F176" s="19">
        <v>2.0483701366982126</v>
      </c>
      <c r="G176" s="17">
        <v>173.50965299684546</v>
      </c>
      <c r="H176" s="20">
        <v>52.052895899053638</v>
      </c>
    </row>
    <row r="177" spans="1:8" x14ac:dyDescent="0.3">
      <c r="A177" s="16" t="s">
        <v>1759</v>
      </c>
      <c r="B177" s="17">
        <v>240.40857142857138</v>
      </c>
      <c r="C177" s="18">
        <v>45639</v>
      </c>
      <c r="D177" s="18">
        <v>45249</v>
      </c>
      <c r="E177" s="19">
        <v>1.0677618069815196</v>
      </c>
      <c r="F177" s="19">
        <v>8.9299279633267847</v>
      </c>
      <c r="G177" s="17">
        <v>2292.3043876882771</v>
      </c>
      <c r="H177" s="20">
        <v>687.69131630648315</v>
      </c>
    </row>
    <row r="178" spans="1:8" x14ac:dyDescent="0.3">
      <c r="A178" s="16" t="s">
        <v>1775</v>
      </c>
      <c r="B178" s="17">
        <v>256.06749999999994</v>
      </c>
      <c r="C178" s="18">
        <v>45561</v>
      </c>
      <c r="D178" s="18">
        <v>45150</v>
      </c>
      <c r="E178" s="19">
        <v>1.1252566735112937</v>
      </c>
      <c r="F178" s="19">
        <v>7.3834491471888821</v>
      </c>
      <c r="G178" s="17">
        <v>2127.4793177511051</v>
      </c>
      <c r="H178" s="20">
        <v>638.24379532533146</v>
      </c>
    </row>
    <row r="179" spans="1:8" x14ac:dyDescent="0.3">
      <c r="A179" s="16" t="s">
        <v>1789</v>
      </c>
      <c r="B179" s="17">
        <v>149.70999999999998</v>
      </c>
      <c r="C179" s="18">
        <v>45422</v>
      </c>
      <c r="D179" s="18">
        <v>45194</v>
      </c>
      <c r="E179" s="19">
        <v>0.62422997946611913</v>
      </c>
      <c r="F179" s="19">
        <v>1.7789954337899545</v>
      </c>
      <c r="G179" s="17">
        <v>166.25329680365294</v>
      </c>
      <c r="H179" s="20">
        <v>49.875989041095885</v>
      </c>
    </row>
    <row r="180" spans="1:8" x14ac:dyDescent="0.3">
      <c r="A180" s="16" t="s">
        <v>1793</v>
      </c>
      <c r="B180" s="17">
        <v>243.42999999999998</v>
      </c>
      <c r="C180" s="18">
        <v>45584</v>
      </c>
      <c r="D180" s="18">
        <v>45228</v>
      </c>
      <c r="E180" s="19">
        <v>0.97467488021902804</v>
      </c>
      <c r="F180" s="19">
        <v>4.0686934323508934</v>
      </c>
      <c r="G180" s="17">
        <v>965.35897888141096</v>
      </c>
      <c r="H180" s="20">
        <v>289.60769366442327</v>
      </c>
    </row>
    <row r="181" spans="1:8" x14ac:dyDescent="0.3">
      <c r="A181" s="16" t="s">
        <v>1801</v>
      </c>
      <c r="B181" s="17">
        <v>202.16750000000002</v>
      </c>
      <c r="C181" s="18">
        <v>45654</v>
      </c>
      <c r="D181" s="18">
        <v>45432</v>
      </c>
      <c r="E181" s="19">
        <v>0.6078028747433265</v>
      </c>
      <c r="F181" s="19">
        <v>10.832252085264132</v>
      </c>
      <c r="G181" s="17">
        <v>1331.0453382761816</v>
      </c>
      <c r="H181" s="20">
        <v>399.31360148285449</v>
      </c>
    </row>
    <row r="182" spans="1:8" x14ac:dyDescent="0.3">
      <c r="A182" s="16" t="s">
        <v>1815</v>
      </c>
      <c r="B182" s="17">
        <v>271.91222222222223</v>
      </c>
      <c r="C182" s="18">
        <v>45646</v>
      </c>
      <c r="D182" s="18">
        <v>45262</v>
      </c>
      <c r="E182" s="19">
        <v>1.0513347022587269</v>
      </c>
      <c r="F182" s="19">
        <v>5.8014559894109858</v>
      </c>
      <c r="G182" s="17">
        <v>1658.4666048974191</v>
      </c>
      <c r="H182" s="20">
        <v>497.53998146922572</v>
      </c>
    </row>
    <row r="183" spans="1:8" x14ac:dyDescent="0.3">
      <c r="A183" s="16" t="s">
        <v>1826</v>
      </c>
      <c r="B183" s="17">
        <v>209.64499999999998</v>
      </c>
      <c r="C183" s="18">
        <v>45469</v>
      </c>
      <c r="D183" s="18">
        <v>45214</v>
      </c>
      <c r="E183" s="19">
        <v>0.69815195071868585</v>
      </c>
      <c r="F183" s="19">
        <v>3.338474721508141</v>
      </c>
      <c r="G183" s="17">
        <v>488.63273350471297</v>
      </c>
      <c r="H183" s="20">
        <v>146.58982005141388</v>
      </c>
    </row>
    <row r="184" spans="1:8" x14ac:dyDescent="0.3">
      <c r="A184" s="16" t="s">
        <v>1832</v>
      </c>
      <c r="B184" s="17">
        <v>401.995</v>
      </c>
      <c r="C184" s="18">
        <v>45598</v>
      </c>
      <c r="D184" s="18">
        <v>45435</v>
      </c>
      <c r="E184" s="19">
        <v>0.4462696783025325</v>
      </c>
      <c r="F184" s="19">
        <v>2.1135623869801083</v>
      </c>
      <c r="G184" s="17">
        <v>379.16924412296561</v>
      </c>
      <c r="H184" s="20">
        <v>113.75077323688969</v>
      </c>
    </row>
    <row r="185" spans="1:8" x14ac:dyDescent="0.3">
      <c r="A185" s="16" t="s">
        <v>1836</v>
      </c>
      <c r="B185" s="17">
        <v>288.14733333333334</v>
      </c>
      <c r="C185" s="18">
        <v>45632</v>
      </c>
      <c r="D185" s="18">
        <v>45216</v>
      </c>
      <c r="E185" s="19">
        <v>1.1389459274469542</v>
      </c>
      <c r="F185" s="19">
        <v>9.1522238463144703</v>
      </c>
      <c r="G185" s="17">
        <v>3003.6155523073708</v>
      </c>
      <c r="H185" s="20">
        <v>901.08466569221116</v>
      </c>
    </row>
    <row r="186" spans="1:8" x14ac:dyDescent="0.3">
      <c r="A186" s="16" t="s">
        <v>1853</v>
      </c>
      <c r="B186" s="17">
        <v>166.84090909090907</v>
      </c>
      <c r="C186" s="18">
        <v>45615</v>
      </c>
      <c r="D186" s="18">
        <v>45044</v>
      </c>
      <c r="E186" s="19">
        <v>1.5633127994524298</v>
      </c>
      <c r="F186" s="19">
        <v>5.3312323768452483</v>
      </c>
      <c r="G186" s="17">
        <v>1390.5161718361253</v>
      </c>
      <c r="H186" s="20">
        <v>417.15485155083758</v>
      </c>
    </row>
    <row r="187" spans="1:8" x14ac:dyDescent="0.3">
      <c r="A187" s="16" t="s">
        <v>1866</v>
      </c>
      <c r="B187" s="17">
        <v>134.27000000000001</v>
      </c>
      <c r="C187" s="18">
        <v>45520</v>
      </c>
      <c r="D187" s="18">
        <v>45520</v>
      </c>
      <c r="E187" s="19">
        <v>0</v>
      </c>
      <c r="F187" s="19">
        <v>2</v>
      </c>
      <c r="G187" s="17">
        <v>0</v>
      </c>
      <c r="H187" s="20">
        <v>0</v>
      </c>
    </row>
    <row r="188" spans="1:8" x14ac:dyDescent="0.3">
      <c r="A188" s="16" t="s">
        <v>1869</v>
      </c>
      <c r="B188" s="17">
        <v>243.31</v>
      </c>
      <c r="C188" s="18">
        <v>45631</v>
      </c>
      <c r="D188" s="18">
        <v>45237</v>
      </c>
      <c r="E188" s="19">
        <v>1.0787132101300478</v>
      </c>
      <c r="F188" s="19">
        <v>5.7008454368090185</v>
      </c>
      <c r="G188" s="17">
        <v>1496.253648384999</v>
      </c>
      <c r="H188" s="20">
        <v>448.87609451549969</v>
      </c>
    </row>
    <row r="189" spans="1:8" x14ac:dyDescent="0.3">
      <c r="A189" s="16" t="s">
        <v>1880</v>
      </c>
      <c r="B189" s="17">
        <v>192.85444444444448</v>
      </c>
      <c r="C189" s="18">
        <v>45633</v>
      </c>
      <c r="D189" s="18">
        <v>45157</v>
      </c>
      <c r="E189" s="19">
        <v>1.3032169746748803</v>
      </c>
      <c r="F189" s="19">
        <v>4.9910799013095462</v>
      </c>
      <c r="G189" s="17">
        <v>1254.4140292275576</v>
      </c>
      <c r="H189" s="20">
        <v>376.32420876826728</v>
      </c>
    </row>
    <row r="190" spans="1:8" x14ac:dyDescent="0.3">
      <c r="A190" s="16" t="s">
        <v>1891</v>
      </c>
      <c r="B190" s="17">
        <v>184.24875</v>
      </c>
      <c r="C190" s="18">
        <v>45643</v>
      </c>
      <c r="D190" s="18">
        <v>44987</v>
      </c>
      <c r="E190" s="19">
        <v>1.7960301163586585</v>
      </c>
      <c r="F190" s="19">
        <v>3.4842748546728273</v>
      </c>
      <c r="G190" s="17">
        <v>1153.00335668505</v>
      </c>
      <c r="H190" s="20">
        <v>345.901007005515</v>
      </c>
    </row>
    <row r="191" spans="1:8" x14ac:dyDescent="0.3">
      <c r="A191" s="16" t="s">
        <v>1901</v>
      </c>
      <c r="B191" s="17">
        <v>294.07000000000005</v>
      </c>
      <c r="C191" s="18">
        <v>45507</v>
      </c>
      <c r="D191" s="18">
        <v>45232</v>
      </c>
      <c r="E191" s="19">
        <v>0.75290896646132788</v>
      </c>
      <c r="F191" s="19">
        <v>1.5962851679868886</v>
      </c>
      <c r="G191" s="17">
        <v>353.43021032504782</v>
      </c>
      <c r="H191" s="20">
        <v>106.02906309751434</v>
      </c>
    </row>
    <row r="192" spans="1:8" x14ac:dyDescent="0.3">
      <c r="A192" s="16" t="s">
        <v>1905</v>
      </c>
      <c r="B192" s="17">
        <v>317.27625</v>
      </c>
      <c r="C192" s="18">
        <v>45624</v>
      </c>
      <c r="D192" s="18">
        <v>45272</v>
      </c>
      <c r="E192" s="19">
        <v>0.96372347707049966</v>
      </c>
      <c r="F192" s="19">
        <v>5.4655132101940609</v>
      </c>
      <c r="G192" s="17">
        <v>1671.1712321720831</v>
      </c>
      <c r="H192" s="20">
        <v>501.35136965162491</v>
      </c>
    </row>
    <row r="193" spans="1:8" x14ac:dyDescent="0.3">
      <c r="A193" s="16" t="s">
        <v>1915</v>
      </c>
      <c r="B193" s="17">
        <v>272.84071428571434</v>
      </c>
      <c r="C193" s="18">
        <v>45652</v>
      </c>
      <c r="D193" s="18">
        <v>45223</v>
      </c>
      <c r="E193" s="19">
        <v>1.1745379876796715</v>
      </c>
      <c r="F193" s="19">
        <v>8.3605150214592268</v>
      </c>
      <c r="G193" s="17">
        <v>2679.2255548743105</v>
      </c>
      <c r="H193" s="20">
        <v>803.76766646229316</v>
      </c>
    </row>
    <row r="194" spans="1:8" x14ac:dyDescent="0.3">
      <c r="A194" s="16" t="s">
        <v>1931</v>
      </c>
      <c r="B194" s="17">
        <v>285.47800000000001</v>
      </c>
      <c r="C194" s="18">
        <v>45482</v>
      </c>
      <c r="D194" s="18">
        <v>45117</v>
      </c>
      <c r="E194" s="19">
        <v>0.99931553730321698</v>
      </c>
      <c r="F194" s="19">
        <v>3.3348550559233052</v>
      </c>
      <c r="G194" s="17">
        <v>951.37612417256332</v>
      </c>
      <c r="H194" s="20">
        <v>285.41283725176896</v>
      </c>
    </row>
    <row r="195" spans="1:8" x14ac:dyDescent="0.3">
      <c r="A195" s="16" t="s">
        <v>1938</v>
      </c>
      <c r="B195" s="17">
        <v>133.84571428571428</v>
      </c>
      <c r="C195" s="18">
        <v>45586</v>
      </c>
      <c r="D195" s="18">
        <v>45037</v>
      </c>
      <c r="E195" s="19">
        <v>1.5030800821355237</v>
      </c>
      <c r="F195" s="19">
        <v>3.4946181445412603</v>
      </c>
      <c r="G195" s="17">
        <v>703.05016914402859</v>
      </c>
      <c r="H195" s="20">
        <v>210.91505074320858</v>
      </c>
    </row>
    <row r="196" spans="1:8" x14ac:dyDescent="0.3">
      <c r="A196" s="16" t="s">
        <v>1947</v>
      </c>
      <c r="B196" s="17">
        <v>210.52000000000004</v>
      </c>
      <c r="C196" s="18">
        <v>45646</v>
      </c>
      <c r="D196" s="18">
        <v>45535</v>
      </c>
      <c r="E196" s="19">
        <v>0.30390143737166325</v>
      </c>
      <c r="F196" s="19">
        <v>9.951468710089399</v>
      </c>
      <c r="G196" s="17">
        <v>636.66840357598994</v>
      </c>
      <c r="H196" s="20">
        <v>191.00052107279697</v>
      </c>
    </row>
    <row r="197" spans="1:8" x14ac:dyDescent="0.3">
      <c r="A197" s="16" t="s">
        <v>1957</v>
      </c>
      <c r="B197" s="17">
        <v>301.96500000000003</v>
      </c>
      <c r="C197" s="18">
        <v>45577</v>
      </c>
      <c r="D197" s="18">
        <v>45381</v>
      </c>
      <c r="E197" s="19">
        <v>0.53661875427789185</v>
      </c>
      <c r="F197" s="19">
        <v>5.7880488610102336</v>
      </c>
      <c r="G197" s="17">
        <v>937.89591284252219</v>
      </c>
      <c r="H197" s="20">
        <v>281.36877385275665</v>
      </c>
    </row>
    <row r="198" spans="1:8" x14ac:dyDescent="0.3">
      <c r="A198" s="16" t="s">
        <v>1965</v>
      </c>
      <c r="B198" s="17">
        <v>130.33500000000001</v>
      </c>
      <c r="C198" s="18">
        <v>45500</v>
      </c>
      <c r="D198" s="18">
        <v>45046</v>
      </c>
      <c r="E198" s="19">
        <v>1.2429842573579739</v>
      </c>
      <c r="F198" s="19">
        <v>1.147457294325545</v>
      </c>
      <c r="G198" s="17">
        <v>185.89307677204008</v>
      </c>
      <c r="H198" s="20">
        <v>55.767923031612021</v>
      </c>
    </row>
    <row r="199" spans="1:8" x14ac:dyDescent="0.3">
      <c r="A199" s="16" t="s">
        <v>1969</v>
      </c>
      <c r="B199" s="17">
        <v>270.39727272727271</v>
      </c>
      <c r="C199" s="18">
        <v>45648</v>
      </c>
      <c r="D199" s="18">
        <v>45397</v>
      </c>
      <c r="E199" s="19">
        <v>0.68720054757015747</v>
      </c>
      <c r="F199" s="19">
        <v>9.2654943787835116</v>
      </c>
      <c r="G199" s="17">
        <v>1721.6877947535313</v>
      </c>
      <c r="H199" s="20">
        <v>516.50633842605941</v>
      </c>
    </row>
    <row r="200" spans="1:8" x14ac:dyDescent="0.3">
      <c r="A200" s="16" t="s">
        <v>1982</v>
      </c>
      <c r="B200" s="17">
        <v>224.37666666666667</v>
      </c>
      <c r="C200" s="18">
        <v>45596</v>
      </c>
      <c r="D200" s="18">
        <v>45210</v>
      </c>
      <c r="E200" s="19">
        <v>1.0568104038329911</v>
      </c>
      <c r="F200" s="19">
        <v>3.8540338535941965</v>
      </c>
      <c r="G200" s="17">
        <v>913.88236535502301</v>
      </c>
      <c r="H200" s="20">
        <v>274.1647096065069</v>
      </c>
    </row>
    <row r="201" spans="1:8" x14ac:dyDescent="0.3">
      <c r="A201" s="16" t="s">
        <v>1990</v>
      </c>
      <c r="B201" s="17">
        <v>48.15</v>
      </c>
      <c r="C201" s="18">
        <v>45348</v>
      </c>
      <c r="D201" s="18">
        <v>45348</v>
      </c>
      <c r="E201" s="19">
        <v>0</v>
      </c>
      <c r="F201" s="19">
        <v>2</v>
      </c>
      <c r="G201" s="17">
        <v>0</v>
      </c>
      <c r="H201" s="20">
        <v>0</v>
      </c>
    </row>
    <row r="202" spans="1:8" x14ac:dyDescent="0.3">
      <c r="A202" s="16" t="s">
        <v>1993</v>
      </c>
      <c r="B202" s="17">
        <v>191.85818181818183</v>
      </c>
      <c r="C202" s="18">
        <v>45637</v>
      </c>
      <c r="D202" s="18">
        <v>45109</v>
      </c>
      <c r="E202" s="19">
        <v>1.4455852156057496</v>
      </c>
      <c r="F202" s="19">
        <v>5.6538258575197888</v>
      </c>
      <c r="G202" s="17">
        <v>1568.0736253298157</v>
      </c>
      <c r="H202" s="20">
        <v>470.4220875989447</v>
      </c>
    </row>
    <row r="203" spans="1:8" x14ac:dyDescent="0.3">
      <c r="A203" s="16" t="s">
        <v>2006</v>
      </c>
      <c r="B203" s="17">
        <v>224.64266666666666</v>
      </c>
      <c r="C203" s="18">
        <v>45646</v>
      </c>
      <c r="D203" s="18">
        <v>45593</v>
      </c>
      <c r="E203" s="19">
        <v>0.14510609171800137</v>
      </c>
      <c r="F203" s="19">
        <v>23.251989389920425</v>
      </c>
      <c r="G203" s="17">
        <v>757.94554907161796</v>
      </c>
      <c r="H203" s="20">
        <v>227.38366472148539</v>
      </c>
    </row>
    <row r="204" spans="1:8" x14ac:dyDescent="0.3">
      <c r="A204" s="16" t="s">
        <v>2023</v>
      </c>
      <c r="B204" s="17">
        <v>132.57714285714286</v>
      </c>
      <c r="C204" s="18">
        <v>45655</v>
      </c>
      <c r="D204" s="18">
        <v>45616</v>
      </c>
      <c r="E204" s="19">
        <v>0.10677618069815195</v>
      </c>
      <c r="F204" s="19">
        <v>11.536379018612521</v>
      </c>
      <c r="G204" s="17">
        <v>163.30991539763116</v>
      </c>
      <c r="H204" s="20">
        <v>48.992974619289349</v>
      </c>
    </row>
    <row r="205" spans="1:8" x14ac:dyDescent="0.3">
      <c r="A205" s="16" t="s">
        <v>2032</v>
      </c>
      <c r="B205" s="17">
        <v>303.10399999999998</v>
      </c>
      <c r="C205" s="18">
        <v>45471</v>
      </c>
      <c r="D205" s="18">
        <v>45332</v>
      </c>
      <c r="E205" s="19">
        <v>0.3805612594113621</v>
      </c>
      <c r="F205" s="19">
        <v>5.678196657598134</v>
      </c>
      <c r="G205" s="17">
        <v>654.97794014768749</v>
      </c>
      <c r="H205" s="20">
        <v>196.49338204430623</v>
      </c>
    </row>
    <row r="206" spans="1:8" x14ac:dyDescent="0.3">
      <c r="A206" s="16" t="s">
        <v>2039</v>
      </c>
      <c r="B206" s="17">
        <v>354.88749999999999</v>
      </c>
      <c r="C206" s="18">
        <v>45536</v>
      </c>
      <c r="D206" s="18">
        <v>45336</v>
      </c>
      <c r="E206" s="19">
        <v>0.54757015742642023</v>
      </c>
      <c r="F206" s="19">
        <v>3.818360013067625</v>
      </c>
      <c r="G206" s="17">
        <v>742.0058804312315</v>
      </c>
      <c r="H206" s="20">
        <v>222.60176412936946</v>
      </c>
    </row>
    <row r="207" spans="1:8" x14ac:dyDescent="0.3">
      <c r="A207" s="16" t="s">
        <v>2045</v>
      </c>
      <c r="B207" s="17">
        <v>103.27</v>
      </c>
      <c r="C207" s="18">
        <v>45470</v>
      </c>
      <c r="D207" s="18">
        <v>45470</v>
      </c>
      <c r="E207" s="19">
        <v>0</v>
      </c>
      <c r="F207" s="19">
        <v>2</v>
      </c>
      <c r="G207" s="17">
        <v>0</v>
      </c>
      <c r="H207" s="20">
        <v>0</v>
      </c>
    </row>
    <row r="208" spans="1:8" x14ac:dyDescent="0.3">
      <c r="A208" s="16" t="s">
        <v>2048</v>
      </c>
      <c r="B208" s="17">
        <v>382.96999999999997</v>
      </c>
      <c r="C208" s="18">
        <v>45472</v>
      </c>
      <c r="D208" s="18">
        <v>45403</v>
      </c>
      <c r="E208" s="19">
        <v>0.18891170431211499</v>
      </c>
      <c r="F208" s="19">
        <v>4.3546944858420265</v>
      </c>
      <c r="G208" s="17">
        <v>315.05132637853944</v>
      </c>
      <c r="H208" s="20">
        <v>94.515397913561827</v>
      </c>
    </row>
    <row r="209" spans="1:8" x14ac:dyDescent="0.3">
      <c r="A209" s="16" t="s">
        <v>2053</v>
      </c>
      <c r="B209" s="17">
        <v>195.76624999999999</v>
      </c>
      <c r="C209" s="18">
        <v>45599</v>
      </c>
      <c r="D209" s="18">
        <v>45448</v>
      </c>
      <c r="E209" s="19">
        <v>0.4134154688569473</v>
      </c>
      <c r="F209" s="19">
        <v>8.7583364556013485</v>
      </c>
      <c r="G209" s="17">
        <v>708.83665792431611</v>
      </c>
      <c r="H209" s="20">
        <v>212.65099737729483</v>
      </c>
    </row>
    <row r="210" spans="1:8" x14ac:dyDescent="0.3">
      <c r="A210" s="16" t="s">
        <v>2063</v>
      </c>
      <c r="B210" s="17">
        <v>284.13428571428574</v>
      </c>
      <c r="C210" s="18">
        <v>45656</v>
      </c>
      <c r="D210" s="18">
        <v>45084</v>
      </c>
      <c r="E210" s="19">
        <v>1.5660506502395619</v>
      </c>
      <c r="F210" s="19">
        <v>6.7762133510021538</v>
      </c>
      <c r="G210" s="17">
        <v>3015.2027298326989</v>
      </c>
      <c r="H210" s="20">
        <v>904.56081894980969</v>
      </c>
    </row>
    <row r="211" spans="1:8" x14ac:dyDescent="0.3">
      <c r="A211" s="16" t="s">
        <v>2079</v>
      </c>
      <c r="B211" s="17">
        <v>258.61533333333335</v>
      </c>
      <c r="C211" s="18">
        <v>45570</v>
      </c>
      <c r="D211" s="18">
        <v>45242</v>
      </c>
      <c r="E211" s="19">
        <v>0.89801505817932925</v>
      </c>
      <c r="F211" s="19">
        <v>10.729498164014688</v>
      </c>
      <c r="G211" s="17">
        <v>2491.823627906977</v>
      </c>
      <c r="H211" s="20">
        <v>747.54708837209307</v>
      </c>
    </row>
    <row r="212" spans="1:8" x14ac:dyDescent="0.3">
      <c r="A212" s="16" t="s">
        <v>2096</v>
      </c>
      <c r="B212" s="17">
        <v>265.0474999999999</v>
      </c>
      <c r="C212" s="18">
        <v>45653</v>
      </c>
      <c r="D212" s="18">
        <v>45388</v>
      </c>
      <c r="E212" s="19">
        <v>0.72553045859000687</v>
      </c>
      <c r="F212" s="19">
        <v>9.7916783021502365</v>
      </c>
      <c r="G212" s="17">
        <v>1882.9400726054166</v>
      </c>
      <c r="H212" s="20">
        <v>564.88202178162499</v>
      </c>
    </row>
    <row r="213" spans="1:8" x14ac:dyDescent="0.3">
      <c r="A213" s="16" t="s">
        <v>2110</v>
      </c>
      <c r="B213" s="17">
        <v>101.22499999999999</v>
      </c>
      <c r="C213" s="18">
        <v>45499</v>
      </c>
      <c r="D213" s="18">
        <v>45326</v>
      </c>
      <c r="E213" s="19">
        <v>0.47364818617385351</v>
      </c>
      <c r="F213" s="19">
        <v>2.0541300527240773</v>
      </c>
      <c r="G213" s="17">
        <v>98.485342706502621</v>
      </c>
      <c r="H213" s="20">
        <v>29.545602811950786</v>
      </c>
    </row>
    <row r="214" spans="1:8" x14ac:dyDescent="0.3">
      <c r="A214" s="16" t="s">
        <v>2114</v>
      </c>
      <c r="B214" s="17">
        <v>217.43333333333337</v>
      </c>
      <c r="C214" s="18">
        <v>45598</v>
      </c>
      <c r="D214" s="18">
        <v>45336</v>
      </c>
      <c r="E214" s="19">
        <v>0.71731690622861055</v>
      </c>
      <c r="F214" s="19">
        <v>9.8577452909755401</v>
      </c>
      <c r="G214" s="17">
        <v>1537.4987911161093</v>
      </c>
      <c r="H214" s="20">
        <v>461.24963733483276</v>
      </c>
    </row>
    <row r="215" spans="1:8" x14ac:dyDescent="0.3">
      <c r="A215" s="16" t="s">
        <v>2128</v>
      </c>
      <c r="B215" s="17">
        <v>191.33250000000001</v>
      </c>
      <c r="C215" s="18">
        <v>45621</v>
      </c>
      <c r="D215" s="18">
        <v>45428</v>
      </c>
      <c r="E215" s="19">
        <v>0.52840520191649554</v>
      </c>
      <c r="F215" s="19">
        <v>7.7790349417637268</v>
      </c>
      <c r="G215" s="17">
        <v>786.46889850249579</v>
      </c>
      <c r="H215" s="20">
        <v>235.94066955074874</v>
      </c>
    </row>
    <row r="216" spans="1:8" x14ac:dyDescent="0.3">
      <c r="A216" s="16" t="s">
        <v>2138</v>
      </c>
      <c r="B216" s="17">
        <v>316.86692307692311</v>
      </c>
      <c r="C216" s="18">
        <v>45616</v>
      </c>
      <c r="D216" s="18">
        <v>45394</v>
      </c>
      <c r="E216" s="19">
        <v>0.6078028747433265</v>
      </c>
      <c r="F216" s="19">
        <v>11.734939759036143</v>
      </c>
      <c r="G216" s="17">
        <v>2260.0628730305839</v>
      </c>
      <c r="H216" s="20">
        <v>678.01886190917514</v>
      </c>
    </row>
    <row r="217" spans="1:8" x14ac:dyDescent="0.3">
      <c r="A217" s="16" t="s">
        <v>2153</v>
      </c>
      <c r="B217" s="17">
        <v>224.75857142857143</v>
      </c>
      <c r="C217" s="18">
        <v>45442</v>
      </c>
      <c r="D217" s="18">
        <v>45045</v>
      </c>
      <c r="E217" s="19">
        <v>1.0869267624914443</v>
      </c>
      <c r="F217" s="19">
        <v>4.4110416217381925</v>
      </c>
      <c r="G217" s="17">
        <v>1077.6002932930774</v>
      </c>
      <c r="H217" s="20">
        <v>323.2800879879232</v>
      </c>
    </row>
    <row r="218" spans="1:8" x14ac:dyDescent="0.3">
      <c r="A218" s="16" t="s">
        <v>2162</v>
      </c>
      <c r="B218" s="17">
        <v>246.87199999999999</v>
      </c>
      <c r="C218" s="18">
        <v>45648</v>
      </c>
      <c r="D218" s="18">
        <v>45564</v>
      </c>
      <c r="E218" s="19">
        <v>0.2299794661190965</v>
      </c>
      <c r="F218" s="19">
        <v>13.699015471167371</v>
      </c>
      <c r="G218" s="17">
        <v>777.76832630098454</v>
      </c>
      <c r="H218" s="20">
        <v>233.33049789029536</v>
      </c>
    </row>
    <row r="219" spans="1:8" x14ac:dyDescent="0.3">
      <c r="A219" s="16" t="s">
        <v>2174</v>
      </c>
      <c r="B219" s="17">
        <v>288.935</v>
      </c>
      <c r="C219" s="18">
        <v>45614</v>
      </c>
      <c r="D219" s="18">
        <v>45600</v>
      </c>
      <c r="E219" s="19">
        <v>3.8329911019849415E-2</v>
      </c>
      <c r="F219" s="19">
        <v>7.4303877940241581</v>
      </c>
      <c r="G219" s="17">
        <v>82.290451366815006</v>
      </c>
      <c r="H219" s="20">
        <v>24.687135410044501</v>
      </c>
    </row>
    <row r="220" spans="1:8" x14ac:dyDescent="0.3">
      <c r="A220" s="16" t="s">
        <v>2180</v>
      </c>
      <c r="B220" s="17">
        <v>290.42999999999995</v>
      </c>
      <c r="C220" s="18">
        <v>45467</v>
      </c>
      <c r="D220" s="18">
        <v>45193</v>
      </c>
      <c r="E220" s="19">
        <v>0.75017111567419581</v>
      </c>
      <c r="F220" s="19">
        <v>3.1995620038324661</v>
      </c>
      <c r="G220" s="17">
        <v>697.09560361346826</v>
      </c>
      <c r="H220" s="20">
        <v>209.12868108404047</v>
      </c>
    </row>
    <row r="221" spans="1:8" x14ac:dyDescent="0.3">
      <c r="A221" s="16" t="s">
        <v>2186</v>
      </c>
      <c r="B221" s="17">
        <v>191.791</v>
      </c>
      <c r="C221" s="18">
        <v>45584</v>
      </c>
      <c r="D221" s="18">
        <v>45176</v>
      </c>
      <c r="E221" s="19">
        <v>1.1170431211498972</v>
      </c>
      <c r="F221" s="19">
        <v>6.1841269841269844</v>
      </c>
      <c r="G221" s="17">
        <v>1324.8800507936508</v>
      </c>
      <c r="H221" s="20">
        <v>397.46401523809521</v>
      </c>
    </row>
    <row r="222" spans="1:8" x14ac:dyDescent="0.3">
      <c r="A222" s="16" t="s">
        <v>2198</v>
      </c>
      <c r="B222" s="17">
        <v>257.79750000000001</v>
      </c>
      <c r="C222" s="18">
        <v>45464</v>
      </c>
      <c r="D222" s="18">
        <v>45166</v>
      </c>
      <c r="E222" s="19">
        <v>0.81587953456536622</v>
      </c>
      <c r="F222" s="19">
        <v>3.0397919375812745</v>
      </c>
      <c r="G222" s="17">
        <v>639.36461898569587</v>
      </c>
      <c r="H222" s="20">
        <v>191.80938569570876</v>
      </c>
    </row>
    <row r="223" spans="1:8" x14ac:dyDescent="0.3">
      <c r="A223" s="16" t="s">
        <v>2204</v>
      </c>
      <c r="B223" s="17">
        <v>267.60538461538459</v>
      </c>
      <c r="C223" s="18">
        <v>45656</v>
      </c>
      <c r="D223" s="18">
        <v>45589</v>
      </c>
      <c r="E223" s="19">
        <v>0.1834360027378508</v>
      </c>
      <c r="F223" s="19">
        <v>19.021532298447671</v>
      </c>
      <c r="G223" s="17">
        <v>933.7377666499749</v>
      </c>
      <c r="H223" s="20">
        <v>280.12132999499244</v>
      </c>
    </row>
    <row r="224" spans="1:8" x14ac:dyDescent="0.3">
      <c r="A224" s="16" t="s">
        <v>2219</v>
      </c>
      <c r="B224" s="17">
        <v>217.3</v>
      </c>
      <c r="C224" s="18">
        <v>45442</v>
      </c>
      <c r="D224" s="18">
        <v>45433</v>
      </c>
      <c r="E224" s="19">
        <v>2.4640657084188913E-2</v>
      </c>
      <c r="F224" s="19">
        <v>3.8121330724070446</v>
      </c>
      <c r="G224" s="17">
        <v>20.411741682974561</v>
      </c>
      <c r="H224" s="20">
        <v>6.1235225048923683</v>
      </c>
    </row>
    <row r="225" spans="1:8" x14ac:dyDescent="0.3">
      <c r="A225" s="16" t="s">
        <v>2223</v>
      </c>
      <c r="B225" s="17">
        <v>286.25916666666666</v>
      </c>
      <c r="C225" s="18">
        <v>45640</v>
      </c>
      <c r="D225" s="18">
        <v>44931</v>
      </c>
      <c r="E225" s="19">
        <v>1.9411362080766599</v>
      </c>
      <c r="F225" s="19">
        <v>4.9157437263423516</v>
      </c>
      <c r="G225" s="17">
        <v>2731.521648675171</v>
      </c>
      <c r="H225" s="20">
        <v>819.45649460255129</v>
      </c>
    </row>
    <row r="226" spans="1:8" x14ac:dyDescent="0.3">
      <c r="A226" s="16" t="s">
        <v>2237</v>
      </c>
      <c r="B226" s="17">
        <v>267.44416666666672</v>
      </c>
      <c r="C226" s="18">
        <v>45656</v>
      </c>
      <c r="D226" s="18">
        <v>45450</v>
      </c>
      <c r="E226" s="19">
        <v>0.56399726214921286</v>
      </c>
      <c r="F226" s="19">
        <v>11.278224509488581</v>
      </c>
      <c r="G226" s="17">
        <v>1701.1823222901257</v>
      </c>
      <c r="H226" s="20">
        <v>510.35469668703769</v>
      </c>
    </row>
    <row r="227" spans="1:8" x14ac:dyDescent="0.3">
      <c r="A227" s="16" t="s">
        <v>2251</v>
      </c>
      <c r="B227" s="17">
        <v>227.58666666666667</v>
      </c>
      <c r="C227" s="18">
        <v>45655</v>
      </c>
      <c r="D227" s="18">
        <v>45559</v>
      </c>
      <c r="E227" s="19">
        <v>0.26283367556468173</v>
      </c>
      <c r="F227" s="19">
        <v>7.8654104979811574</v>
      </c>
      <c r="G227" s="17">
        <v>470.48872139973082</v>
      </c>
      <c r="H227" s="20">
        <v>141.14661641991924</v>
      </c>
    </row>
    <row r="228" spans="1:8" x14ac:dyDescent="0.3">
      <c r="A228" s="16" t="s">
        <v>2259</v>
      </c>
      <c r="B228" s="17">
        <v>347.67333333333335</v>
      </c>
      <c r="C228" s="18">
        <v>45605</v>
      </c>
      <c r="D228" s="18">
        <v>45359</v>
      </c>
      <c r="E228" s="19">
        <v>0.67351129363449691</v>
      </c>
      <c r="F228" s="19">
        <v>2.5564304461942258</v>
      </c>
      <c r="G228" s="17">
        <v>598.61865266841642</v>
      </c>
      <c r="H228" s="20">
        <v>179.58559580052491</v>
      </c>
    </row>
    <row r="229" spans="1:8" x14ac:dyDescent="0.3">
      <c r="A229" s="16" t="s">
        <v>2264</v>
      </c>
      <c r="B229" s="17">
        <v>123.88</v>
      </c>
      <c r="C229" s="18">
        <v>45439</v>
      </c>
      <c r="D229" s="18">
        <v>45439</v>
      </c>
      <c r="E229" s="19">
        <v>0</v>
      </c>
      <c r="F229" s="19">
        <v>2</v>
      </c>
      <c r="G229" s="17">
        <v>0</v>
      </c>
      <c r="H229" s="20">
        <v>0</v>
      </c>
    </row>
    <row r="230" spans="1:8" x14ac:dyDescent="0.3">
      <c r="A230" s="16" t="s">
        <v>2267</v>
      </c>
      <c r="B230" s="17">
        <v>174.155</v>
      </c>
      <c r="C230" s="18">
        <v>45512</v>
      </c>
      <c r="D230" s="18">
        <v>45218</v>
      </c>
      <c r="E230" s="19">
        <v>0.80492813141683783</v>
      </c>
      <c r="F230" s="19">
        <v>1.5326514555468136</v>
      </c>
      <c r="G230" s="17">
        <v>214.85054287962237</v>
      </c>
      <c r="H230" s="20">
        <v>64.455162863886713</v>
      </c>
    </row>
    <row r="231" spans="1:8" x14ac:dyDescent="0.3">
      <c r="A231" s="16" t="s">
        <v>2271</v>
      </c>
      <c r="B231" s="17">
        <v>337.1033333333333</v>
      </c>
      <c r="C231" s="18">
        <v>45588</v>
      </c>
      <c r="D231" s="18">
        <v>45503</v>
      </c>
      <c r="E231" s="19">
        <v>0.2327173169062286</v>
      </c>
      <c r="F231" s="19">
        <v>4.0943484353106019</v>
      </c>
      <c r="G231" s="17">
        <v>321.20074731433903</v>
      </c>
      <c r="H231" s="20">
        <v>96.360224194301708</v>
      </c>
    </row>
    <row r="232" spans="1:8" x14ac:dyDescent="0.3">
      <c r="A232" s="16" t="s">
        <v>2276</v>
      </c>
      <c r="B232" s="17">
        <v>244.49200000000005</v>
      </c>
      <c r="C232" s="18">
        <v>45656</v>
      </c>
      <c r="D232" s="18">
        <v>45294</v>
      </c>
      <c r="E232" s="19">
        <v>0.99110198494182067</v>
      </c>
      <c r="F232" s="19">
        <v>6.7064493917833374</v>
      </c>
      <c r="G232" s="17">
        <v>1625.0833876520546</v>
      </c>
      <c r="H232" s="20">
        <v>487.52501629561635</v>
      </c>
    </row>
    <row r="233" spans="1:8" x14ac:dyDescent="0.3">
      <c r="A233" s="16" t="s">
        <v>2288</v>
      </c>
      <c r="B233" s="17">
        <v>225.80624999999998</v>
      </c>
      <c r="C233" s="18">
        <v>45638</v>
      </c>
      <c r="D233" s="18">
        <v>44999</v>
      </c>
      <c r="E233" s="19">
        <v>1.7494866529774127</v>
      </c>
      <c r="F233" s="19">
        <v>3.5563669557279782</v>
      </c>
      <c r="G233" s="17">
        <v>1404.9250570515744</v>
      </c>
      <c r="H233" s="20">
        <v>421.47751711547232</v>
      </c>
    </row>
    <row r="234" spans="1:8" x14ac:dyDescent="0.3">
      <c r="A234" s="16" t="s">
        <v>2298</v>
      </c>
      <c r="B234" s="17">
        <v>199.76625000000001</v>
      </c>
      <c r="C234" s="18">
        <v>45592</v>
      </c>
      <c r="D234" s="18">
        <v>45441</v>
      </c>
      <c r="E234" s="19">
        <v>0.4134154688569473</v>
      </c>
      <c r="F234" s="19">
        <v>8.7583364556013485</v>
      </c>
      <c r="G234" s="17">
        <v>723.31998501311352</v>
      </c>
      <c r="H234" s="20">
        <v>216.99599550393404</v>
      </c>
    </row>
    <row r="235" spans="1:8" x14ac:dyDescent="0.3">
      <c r="A235" s="16" t="s">
        <v>2308</v>
      </c>
      <c r="B235" s="17">
        <v>287.5872727272727</v>
      </c>
      <c r="C235" s="18">
        <v>45653</v>
      </c>
      <c r="D235" s="18">
        <v>45607</v>
      </c>
      <c r="E235" s="19">
        <v>0.12594113620807665</v>
      </c>
      <c r="F235" s="19">
        <v>17.573537452159648</v>
      </c>
      <c r="G235" s="17">
        <v>636.49714598141043</v>
      </c>
      <c r="H235" s="20">
        <v>190.94914379442312</v>
      </c>
    </row>
    <row r="236" spans="1:8" x14ac:dyDescent="0.3">
      <c r="A236" s="16" t="s">
        <v>2321</v>
      </c>
      <c r="B236" s="17">
        <v>206.55799999999999</v>
      </c>
      <c r="C236" s="18">
        <v>45603</v>
      </c>
      <c r="D236" s="18">
        <v>45328</v>
      </c>
      <c r="E236" s="19">
        <v>0.75290896646132788</v>
      </c>
      <c r="F236" s="19">
        <v>3.9907129199672218</v>
      </c>
      <c r="G236" s="17">
        <v>620.63316033870524</v>
      </c>
      <c r="H236" s="20">
        <v>186.18994810161158</v>
      </c>
    </row>
    <row r="237" spans="1:8" x14ac:dyDescent="0.3">
      <c r="A237" s="16" t="s">
        <v>2328</v>
      </c>
      <c r="B237" s="17">
        <v>194.858</v>
      </c>
      <c r="C237" s="18">
        <v>45640</v>
      </c>
      <c r="D237" s="18">
        <v>45300</v>
      </c>
      <c r="E237" s="19">
        <v>0.9308692676249144</v>
      </c>
      <c r="F237" s="19">
        <v>6.9887586701745992</v>
      </c>
      <c r="G237" s="17">
        <v>1267.6722315235588</v>
      </c>
      <c r="H237" s="20">
        <v>380.30166945706765</v>
      </c>
    </row>
    <row r="238" spans="1:8" x14ac:dyDescent="0.3">
      <c r="A238" s="16" t="s">
        <v>2340</v>
      </c>
      <c r="B238" s="17">
        <v>230.5633333333333</v>
      </c>
      <c r="C238" s="18">
        <v>45645</v>
      </c>
      <c r="D238" s="18">
        <v>45560</v>
      </c>
      <c r="E238" s="19">
        <v>0.2327173169062286</v>
      </c>
      <c r="F238" s="19">
        <v>12.283045305931807</v>
      </c>
      <c r="G238" s="17">
        <v>659.06006539000452</v>
      </c>
      <c r="H238" s="20">
        <v>197.71801961700135</v>
      </c>
    </row>
    <row r="239" spans="1:8" x14ac:dyDescent="0.3">
      <c r="A239" s="16" t="s">
        <v>2351</v>
      </c>
      <c r="B239" s="17">
        <v>270.11500000000001</v>
      </c>
      <c r="C239" s="18">
        <v>45616</v>
      </c>
      <c r="D239" s="18">
        <v>45573</v>
      </c>
      <c r="E239" s="19">
        <v>0.11772758384668036</v>
      </c>
      <c r="F239" s="19">
        <v>3.2376731301939059</v>
      </c>
      <c r="G239" s="17">
        <v>102.95796121883657</v>
      </c>
      <c r="H239" s="20">
        <v>30.88738836565097</v>
      </c>
    </row>
    <row r="240" spans="1:8" x14ac:dyDescent="0.3">
      <c r="A240" s="16" t="s">
        <v>2355</v>
      </c>
      <c r="B240" s="17">
        <v>177.63249999999999</v>
      </c>
      <c r="C240" s="18">
        <v>45559</v>
      </c>
      <c r="D240" s="18">
        <v>45173</v>
      </c>
      <c r="E240" s="19">
        <v>1.0568104038329911</v>
      </c>
      <c r="F240" s="19">
        <v>2.569355902396131</v>
      </c>
      <c r="G240" s="17">
        <v>482.32944383380959</v>
      </c>
      <c r="H240" s="20">
        <v>144.69883315014286</v>
      </c>
    </row>
    <row r="241" spans="1:8" x14ac:dyDescent="0.3">
      <c r="A241" s="16" t="s">
        <v>2361</v>
      </c>
      <c r="B241" s="17">
        <v>378.60999999999996</v>
      </c>
      <c r="C241" s="18">
        <v>45613</v>
      </c>
      <c r="D241" s="18">
        <v>45463</v>
      </c>
      <c r="E241" s="19">
        <v>0.41067761806981518</v>
      </c>
      <c r="F241" s="19">
        <v>3.294250281848929</v>
      </c>
      <c r="G241" s="17">
        <v>512.21195039458848</v>
      </c>
      <c r="H241" s="20">
        <v>153.66358511837655</v>
      </c>
    </row>
    <row r="242" spans="1:8" x14ac:dyDescent="0.3">
      <c r="A242" s="16" t="s">
        <v>2366</v>
      </c>
      <c r="B242" s="17">
        <v>269.00818181818181</v>
      </c>
      <c r="C242" s="18">
        <v>45600</v>
      </c>
      <c r="D242" s="18">
        <v>45146</v>
      </c>
      <c r="E242" s="19">
        <v>1.2429842573579739</v>
      </c>
      <c r="F242" s="19">
        <v>6.3110151187904968</v>
      </c>
      <c r="G242" s="17">
        <v>2110.2326487335554</v>
      </c>
      <c r="H242" s="20">
        <v>633.06979462006655</v>
      </c>
    </row>
    <row r="243" spans="1:8" x14ac:dyDescent="0.3">
      <c r="A243" s="16" t="s">
        <v>2379</v>
      </c>
      <c r="B243" s="17">
        <v>253.9675</v>
      </c>
      <c r="C243" s="18">
        <v>45510</v>
      </c>
      <c r="D243" s="18">
        <v>45017</v>
      </c>
      <c r="E243" s="19">
        <v>1.3497604380561259</v>
      </c>
      <c r="F243" s="19">
        <v>2.1624421831637375</v>
      </c>
      <c r="G243" s="17">
        <v>741.27498242368176</v>
      </c>
      <c r="H243" s="20">
        <v>222.38249472710453</v>
      </c>
    </row>
    <row r="244" spans="1:8" x14ac:dyDescent="0.3">
      <c r="A244" s="16" t="s">
        <v>2385</v>
      </c>
      <c r="B244" s="17">
        <v>151.01800000000003</v>
      </c>
      <c r="C244" s="18">
        <v>45650</v>
      </c>
      <c r="D244" s="18">
        <v>45293</v>
      </c>
      <c r="E244" s="19">
        <v>0.97741273100616022</v>
      </c>
      <c r="F244" s="19">
        <v>3.3842946490618484</v>
      </c>
      <c r="G244" s="17">
        <v>499.54529534398898</v>
      </c>
      <c r="H244" s="20">
        <v>149.86358860319669</v>
      </c>
    </row>
    <row r="245" spans="1:8" x14ac:dyDescent="0.3">
      <c r="A245" s="16" t="s">
        <v>2392</v>
      </c>
      <c r="B245" s="17">
        <v>317.78799999999995</v>
      </c>
      <c r="C245" s="18">
        <v>45421</v>
      </c>
      <c r="D245" s="18">
        <v>45045</v>
      </c>
      <c r="E245" s="19">
        <v>1.0294318959616702</v>
      </c>
      <c r="F245" s="19">
        <v>3.2691877377489371</v>
      </c>
      <c r="G245" s="17">
        <v>1069.4856835981202</v>
      </c>
      <c r="H245" s="20">
        <v>320.84570507943607</v>
      </c>
    </row>
    <row r="246" spans="1:8" x14ac:dyDescent="0.3">
      <c r="A246" s="16" t="s">
        <v>2399</v>
      </c>
      <c r="B246" s="17">
        <v>237.55</v>
      </c>
      <c r="C246" s="18">
        <v>45656</v>
      </c>
      <c r="D246" s="18">
        <v>45516</v>
      </c>
      <c r="E246" s="19">
        <v>0.38329911019849416</v>
      </c>
      <c r="F246" s="19">
        <v>14.717551336691205</v>
      </c>
      <c r="G246" s="17">
        <v>1340.0728399845023</v>
      </c>
      <c r="H246" s="20">
        <v>402.02185199535069</v>
      </c>
    </row>
    <row r="247" spans="1:8" x14ac:dyDescent="0.3">
      <c r="A247" s="16" t="s">
        <v>2414</v>
      </c>
      <c r="B247" s="17">
        <v>232.45153846153849</v>
      </c>
      <c r="C247" s="18">
        <v>45640</v>
      </c>
      <c r="D247" s="18">
        <v>45371</v>
      </c>
      <c r="E247" s="19">
        <v>0.73648186173853525</v>
      </c>
      <c r="F247" s="19">
        <v>10.513700525878772</v>
      </c>
      <c r="G247" s="17">
        <v>1799.907068917797</v>
      </c>
      <c r="H247" s="20">
        <v>539.97212067533906</v>
      </c>
    </row>
    <row r="248" spans="1:8" x14ac:dyDescent="0.3">
      <c r="A248" s="16" t="s">
        <v>2429</v>
      </c>
      <c r="B248" s="17">
        <v>243.48</v>
      </c>
      <c r="C248" s="18">
        <v>45645</v>
      </c>
      <c r="D248" s="18">
        <v>45375</v>
      </c>
      <c r="E248" s="19">
        <v>0.73921971252566732</v>
      </c>
      <c r="F248" s="19">
        <v>11.297431648715826</v>
      </c>
      <c r="G248" s="17">
        <v>2033.3706710853355</v>
      </c>
      <c r="H248" s="20">
        <v>610.01120132560061</v>
      </c>
    </row>
    <row r="249" spans="1:8" x14ac:dyDescent="0.3">
      <c r="A249" s="16" t="s">
        <v>2445</v>
      </c>
      <c r="B249" s="17">
        <v>224.95</v>
      </c>
      <c r="C249" s="18">
        <v>45632</v>
      </c>
      <c r="D249" s="18">
        <v>45119</v>
      </c>
      <c r="E249" s="19">
        <v>1.4045174537987679</v>
      </c>
      <c r="F249" s="19">
        <v>4.2005390835579517</v>
      </c>
      <c r="G249" s="17">
        <v>1327.1443665768193</v>
      </c>
      <c r="H249" s="20">
        <v>398.14330997304575</v>
      </c>
    </row>
    <row r="250" spans="1:8" x14ac:dyDescent="0.3">
      <c r="A250" s="16" t="s">
        <v>2455</v>
      </c>
      <c r="B250" s="17">
        <v>286.92666666666668</v>
      </c>
      <c r="C250" s="18">
        <v>45629</v>
      </c>
      <c r="D250" s="18">
        <v>45508</v>
      </c>
      <c r="E250" s="19">
        <v>0.33127994524298426</v>
      </c>
      <c r="F250" s="19">
        <v>7.2177850967476331</v>
      </c>
      <c r="G250" s="17">
        <v>686.0724907369289</v>
      </c>
      <c r="H250" s="20">
        <v>205.82174722107865</v>
      </c>
    </row>
    <row r="251" spans="1:8" x14ac:dyDescent="0.3">
      <c r="A251" s="16" t="s">
        <v>2463</v>
      </c>
      <c r="B251" s="17">
        <v>173.76857142857145</v>
      </c>
      <c r="C251" s="18">
        <v>45605</v>
      </c>
      <c r="D251" s="18">
        <v>45482</v>
      </c>
      <c r="E251" s="19">
        <v>0.33675564681724846</v>
      </c>
      <c r="F251" s="19">
        <v>8.3656441717791417</v>
      </c>
      <c r="G251" s="17">
        <v>489.53698159509207</v>
      </c>
      <c r="H251" s="20">
        <v>146.8610944785276</v>
      </c>
    </row>
    <row r="252" spans="1:8" x14ac:dyDescent="0.3">
      <c r="A252" s="16" t="s">
        <v>2472</v>
      </c>
      <c r="B252" s="17">
        <v>358.48499999999996</v>
      </c>
      <c r="C252" s="18">
        <v>45568</v>
      </c>
      <c r="D252" s="18">
        <v>45177</v>
      </c>
      <c r="E252" s="19">
        <v>1.0704996577686516</v>
      </c>
      <c r="F252" s="19">
        <v>3.8204401830464154</v>
      </c>
      <c r="G252" s="17">
        <v>1466.1247504903026</v>
      </c>
      <c r="H252" s="20">
        <v>439.83742514709076</v>
      </c>
    </row>
    <row r="253" spans="1:8" x14ac:dyDescent="0.3">
      <c r="A253" s="16" t="s">
        <v>2480</v>
      </c>
      <c r="B253" s="17">
        <v>226.22</v>
      </c>
      <c r="C253" s="18">
        <v>45635</v>
      </c>
      <c r="D253" s="18">
        <v>44956</v>
      </c>
      <c r="E253" s="19">
        <v>1.8590006844626967</v>
      </c>
      <c r="F253" s="19">
        <v>4.6629914405919051</v>
      </c>
      <c r="G253" s="17">
        <v>1960.9890381546495</v>
      </c>
      <c r="H253" s="20">
        <v>588.29671144639485</v>
      </c>
    </row>
    <row r="254" spans="1:8" x14ac:dyDescent="0.3">
      <c r="A254" s="16" t="s">
        <v>2493</v>
      </c>
      <c r="B254" s="17">
        <v>199.90166666666664</v>
      </c>
      <c r="C254" s="18">
        <v>45647</v>
      </c>
      <c r="D254" s="18">
        <v>45175</v>
      </c>
      <c r="E254" s="19">
        <v>1.2922655715263518</v>
      </c>
      <c r="F254" s="19">
        <v>6.6954363185029599</v>
      </c>
      <c r="G254" s="17">
        <v>1729.6055604353637</v>
      </c>
      <c r="H254" s="20">
        <v>518.88166813060911</v>
      </c>
    </row>
    <row r="255" spans="1:8" x14ac:dyDescent="0.3">
      <c r="A255" s="16" t="s">
        <v>2507</v>
      </c>
      <c r="B255" s="17">
        <v>269.73399999999998</v>
      </c>
      <c r="C255" s="18">
        <v>45640</v>
      </c>
      <c r="D255" s="18">
        <v>45210</v>
      </c>
      <c r="E255" s="19">
        <v>1.1772758384668036</v>
      </c>
      <c r="F255" s="19">
        <v>8.9430728422770862</v>
      </c>
      <c r="G255" s="17">
        <v>2839.8845949806159</v>
      </c>
      <c r="H255" s="20">
        <v>851.96537849418473</v>
      </c>
    </row>
    <row r="256" spans="1:8" x14ac:dyDescent="0.3">
      <c r="A256" s="16" t="s">
        <v>2524</v>
      </c>
      <c r="B256" s="17">
        <v>251.96666666666667</v>
      </c>
      <c r="C256" s="18">
        <v>45556</v>
      </c>
      <c r="D256" s="18">
        <v>45214</v>
      </c>
      <c r="E256" s="19">
        <v>0.93634496919917864</v>
      </c>
      <c r="F256" s="19">
        <v>8.3545389563974268</v>
      </c>
      <c r="G256" s="17">
        <v>1971.0673338098643</v>
      </c>
      <c r="H256" s="20">
        <v>591.32020014295927</v>
      </c>
    </row>
    <row r="257" spans="1:8" x14ac:dyDescent="0.3">
      <c r="A257" s="16" t="s">
        <v>2538</v>
      </c>
      <c r="B257" s="17">
        <v>287.31083333333333</v>
      </c>
      <c r="C257" s="18">
        <v>45621</v>
      </c>
      <c r="D257" s="18">
        <v>45407</v>
      </c>
      <c r="E257" s="19">
        <v>0.58590006844626963</v>
      </c>
      <c r="F257" s="19">
        <v>11.050740624015129</v>
      </c>
      <c r="G257" s="17">
        <v>1860.2312511818468</v>
      </c>
      <c r="H257" s="20">
        <v>558.06937535455404</v>
      </c>
    </row>
    <row r="258" spans="1:8" x14ac:dyDescent="0.3">
      <c r="A258" s="16" t="s">
        <v>2552</v>
      </c>
      <c r="B258" s="17">
        <v>277.89999999999998</v>
      </c>
      <c r="C258" s="18">
        <v>45617</v>
      </c>
      <c r="D258" s="18">
        <v>45485</v>
      </c>
      <c r="E258" s="19">
        <v>0.3613963039014374</v>
      </c>
      <c r="F258" s="19">
        <v>2.3218116805721096</v>
      </c>
      <c r="G258" s="17">
        <v>233.18426698450534</v>
      </c>
      <c r="H258" s="20">
        <v>69.955280095351597</v>
      </c>
    </row>
    <row r="259" spans="1:8" x14ac:dyDescent="0.3">
      <c r="A259" s="16" t="s">
        <v>2556</v>
      </c>
      <c r="B259" s="17">
        <v>242.97800000000001</v>
      </c>
      <c r="C259" s="18">
        <v>45616</v>
      </c>
      <c r="D259" s="18">
        <v>45036</v>
      </c>
      <c r="E259" s="19">
        <v>1.5879534565366187</v>
      </c>
      <c r="F259" s="19">
        <v>2.3946893951811177</v>
      </c>
      <c r="G259" s="17">
        <v>923.96158006884116</v>
      </c>
      <c r="H259" s="20">
        <v>277.18847402065234</v>
      </c>
    </row>
    <row r="260" spans="1:8" x14ac:dyDescent="0.3">
      <c r="A260" s="16" t="s">
        <v>2563</v>
      </c>
      <c r="B260" s="17">
        <v>248.75214285714287</v>
      </c>
      <c r="C260" s="18">
        <v>45606</v>
      </c>
      <c r="D260" s="18">
        <v>45304</v>
      </c>
      <c r="E260" s="19">
        <v>0.8268309377138946</v>
      </c>
      <c r="F260" s="19">
        <v>10.551457312354913</v>
      </c>
      <c r="G260" s="17">
        <v>2170.1811916430229</v>
      </c>
      <c r="H260" s="20">
        <v>651.05435749290689</v>
      </c>
    </row>
    <row r="261" spans="1:8" x14ac:dyDescent="0.3">
      <c r="A261" s="16" t="s">
        <v>2579</v>
      </c>
      <c r="B261" s="17">
        <v>337.02</v>
      </c>
      <c r="C261" s="18">
        <v>45631</v>
      </c>
      <c r="D261" s="18">
        <v>45338</v>
      </c>
      <c r="E261" s="19">
        <v>0.80219028062970565</v>
      </c>
      <c r="F261" s="19">
        <v>1.5358738501971092</v>
      </c>
      <c r="G261" s="17">
        <v>415.2298975032852</v>
      </c>
      <c r="H261" s="20">
        <v>124.56896925098556</v>
      </c>
    </row>
    <row r="262" spans="1:8" x14ac:dyDescent="0.3">
      <c r="A262" s="16" t="s">
        <v>2583</v>
      </c>
      <c r="B262" s="17">
        <v>146.7225</v>
      </c>
      <c r="C262" s="18">
        <v>45487</v>
      </c>
      <c r="D262" s="18">
        <v>45073</v>
      </c>
      <c r="E262" s="19">
        <v>1.1334702258726899</v>
      </c>
      <c r="F262" s="19">
        <v>2.4487743557510999</v>
      </c>
      <c r="G262" s="17">
        <v>407.24485229415455</v>
      </c>
      <c r="H262" s="20">
        <v>122.17345568824636</v>
      </c>
    </row>
    <row r="263" spans="1:8" x14ac:dyDescent="0.3">
      <c r="A263" s="16" t="s">
        <v>2589</v>
      </c>
      <c r="B263" s="17">
        <v>307.51499999999999</v>
      </c>
      <c r="C263" s="18">
        <v>45440</v>
      </c>
      <c r="D263" s="18">
        <v>45111</v>
      </c>
      <c r="E263" s="19">
        <v>0.90075290896646132</v>
      </c>
      <c r="F263" s="19">
        <v>2.8556071341314437</v>
      </c>
      <c r="G263" s="17">
        <v>790.98898607378442</v>
      </c>
      <c r="H263" s="20">
        <v>237.29669582213532</v>
      </c>
    </row>
    <row r="264" spans="1:8" x14ac:dyDescent="0.3">
      <c r="A264" s="16" t="s">
        <v>2595</v>
      </c>
      <c r="B264" s="17">
        <v>173.708</v>
      </c>
      <c r="C264" s="18">
        <v>45645</v>
      </c>
      <c r="D264" s="18">
        <v>45524</v>
      </c>
      <c r="E264" s="19">
        <v>0.33127994524298426</v>
      </c>
      <c r="F264" s="19">
        <v>6.0148209139563606</v>
      </c>
      <c r="G264" s="17">
        <v>346.12874433923423</v>
      </c>
      <c r="H264" s="20">
        <v>103.83862330177027</v>
      </c>
    </row>
    <row r="265" spans="1:8" x14ac:dyDescent="0.3">
      <c r="A265" s="16" t="s">
        <v>2602</v>
      </c>
      <c r="B265" s="17">
        <v>218.14545454545458</v>
      </c>
      <c r="C265" s="18">
        <v>45612</v>
      </c>
      <c r="D265" s="18">
        <v>45419</v>
      </c>
      <c r="E265" s="19">
        <v>0.52840520191649554</v>
      </c>
      <c r="F265" s="19">
        <v>10.696173044925125</v>
      </c>
      <c r="G265" s="17">
        <v>1232.9392346089853</v>
      </c>
      <c r="H265" s="20">
        <v>369.88177038269561</v>
      </c>
    </row>
    <row r="266" spans="1:8" x14ac:dyDescent="0.3">
      <c r="A266" s="16" t="s">
        <v>2615</v>
      </c>
      <c r="B266" s="17">
        <v>257.29769230769227</v>
      </c>
      <c r="C266" s="18">
        <v>45653</v>
      </c>
      <c r="D266" s="18">
        <v>45619</v>
      </c>
      <c r="E266" s="19">
        <v>9.3086926762491445E-2</v>
      </c>
      <c r="F266" s="19">
        <v>21.91921523369879</v>
      </c>
      <c r="G266" s="17">
        <v>524.9882515868436</v>
      </c>
      <c r="H266" s="20">
        <v>157.49647547605306</v>
      </c>
    </row>
    <row r="267" spans="1:8" x14ac:dyDescent="0.3">
      <c r="A267" s="16" t="s">
        <v>2630</v>
      </c>
      <c r="B267" s="17">
        <v>270.87285714285719</v>
      </c>
      <c r="C267" s="18">
        <v>45481</v>
      </c>
      <c r="D267" s="18">
        <v>45146</v>
      </c>
      <c r="E267" s="19">
        <v>0.91718001368925395</v>
      </c>
      <c r="F267" s="19">
        <v>4.9393866215889881</v>
      </c>
      <c r="G267" s="17">
        <v>1227.1371166384934</v>
      </c>
      <c r="H267" s="20">
        <v>368.14113499154797</v>
      </c>
    </row>
    <row r="268" spans="1:8" x14ac:dyDescent="0.3">
      <c r="A268" s="16" t="s">
        <v>2639</v>
      </c>
      <c r="B268" s="17">
        <v>317.31400000000002</v>
      </c>
      <c r="C268" s="18">
        <v>45528</v>
      </c>
      <c r="D268" s="18">
        <v>45454</v>
      </c>
      <c r="E268" s="19">
        <v>0.20260095824777549</v>
      </c>
      <c r="F268" s="19">
        <v>7.1164150024354607</v>
      </c>
      <c r="G268" s="17">
        <v>457.50094495859719</v>
      </c>
      <c r="H268" s="20">
        <v>137.25028348757914</v>
      </c>
    </row>
    <row r="269" spans="1:8" x14ac:dyDescent="0.3">
      <c r="A269" s="16" t="s">
        <v>2646</v>
      </c>
      <c r="B269" s="17">
        <v>241.40833333333339</v>
      </c>
      <c r="C269" s="18">
        <v>45633</v>
      </c>
      <c r="D269" s="18">
        <v>45409</v>
      </c>
      <c r="E269" s="19">
        <v>0.61327857631759064</v>
      </c>
      <c r="F269" s="19">
        <v>10.778973255456501</v>
      </c>
      <c r="G269" s="17">
        <v>1595.8330156778361</v>
      </c>
      <c r="H269" s="20">
        <v>478.74990470335081</v>
      </c>
    </row>
    <row r="270" spans="1:8" x14ac:dyDescent="0.3">
      <c r="A270" s="16" t="s">
        <v>2660</v>
      </c>
      <c r="B270" s="17">
        <v>238.92</v>
      </c>
      <c r="C270" s="18">
        <v>45629</v>
      </c>
      <c r="D270" s="18">
        <v>45107</v>
      </c>
      <c r="E270" s="19">
        <v>1.429158110882957</v>
      </c>
      <c r="F270" s="19">
        <v>4.1468866418307613</v>
      </c>
      <c r="G270" s="17">
        <v>1415.9729217668973</v>
      </c>
      <c r="H270" s="20">
        <v>424.7918765300692</v>
      </c>
    </row>
    <row r="271" spans="1:8" x14ac:dyDescent="0.3">
      <c r="A271" s="16" t="s">
        <v>2670</v>
      </c>
      <c r="B271" s="17">
        <v>320.2871428571429</v>
      </c>
      <c r="C271" s="18">
        <v>45655</v>
      </c>
      <c r="D271" s="18">
        <v>45526</v>
      </c>
      <c r="E271" s="19">
        <v>0.35318275154004108</v>
      </c>
      <c r="F271" s="19">
        <v>8.2045728038507821</v>
      </c>
      <c r="G271" s="17">
        <v>928.10040914560784</v>
      </c>
      <c r="H271" s="20">
        <v>278.43012274368232</v>
      </c>
    </row>
    <row r="272" spans="1:8" x14ac:dyDescent="0.3">
      <c r="A272" s="16" t="s">
        <v>2679</v>
      </c>
      <c r="B272" s="17">
        <v>233.55500000000001</v>
      </c>
      <c r="C272" s="18">
        <v>45636</v>
      </c>
      <c r="D272" s="18">
        <v>45429</v>
      </c>
      <c r="E272" s="19">
        <v>0.56673511293634493</v>
      </c>
      <c r="F272" s="19">
        <v>7.4995187680461983</v>
      </c>
      <c r="G272" s="17">
        <v>992.66494706448509</v>
      </c>
      <c r="H272" s="20">
        <v>297.79948411934549</v>
      </c>
    </row>
    <row r="273" spans="1:8" x14ac:dyDescent="0.3">
      <c r="A273" s="16" t="s">
        <v>2689</v>
      </c>
      <c r="B273" s="17">
        <v>309.72714285714289</v>
      </c>
      <c r="C273" s="18">
        <v>45631</v>
      </c>
      <c r="D273" s="18">
        <v>45414</v>
      </c>
      <c r="E273" s="19">
        <v>0.59411362080766594</v>
      </c>
      <c r="F273" s="19">
        <v>6.3978730059430724</v>
      </c>
      <c r="G273" s="17">
        <v>1177.2925367532064</v>
      </c>
      <c r="H273" s="20">
        <v>353.18776102596189</v>
      </c>
    </row>
    <row r="274" spans="1:8" x14ac:dyDescent="0.3">
      <c r="A274" s="16" t="s">
        <v>2698</v>
      </c>
      <c r="B274" s="17">
        <v>290.22250000000003</v>
      </c>
      <c r="C274" s="18">
        <v>45615</v>
      </c>
      <c r="D274" s="18">
        <v>45600</v>
      </c>
      <c r="E274" s="19">
        <v>4.1067761806981518E-2</v>
      </c>
      <c r="F274" s="19">
        <v>7.3927893738140424</v>
      </c>
      <c r="G274" s="17">
        <v>88.113092979127146</v>
      </c>
      <c r="H274" s="20">
        <v>26.433927893738144</v>
      </c>
    </row>
    <row r="275" spans="1:8" x14ac:dyDescent="0.3">
      <c r="A275" s="16" t="s">
        <v>2704</v>
      </c>
      <c r="B275" s="17">
        <v>249.16333333333333</v>
      </c>
      <c r="C275" s="18">
        <v>45592</v>
      </c>
      <c r="D275" s="18">
        <v>45207</v>
      </c>
      <c r="E275" s="19">
        <v>1.054072553045859</v>
      </c>
      <c r="F275" s="19">
        <v>3.8608236071349924</v>
      </c>
      <c r="G275" s="17">
        <v>1013.9921603171107</v>
      </c>
      <c r="H275" s="20">
        <v>304.19764809513322</v>
      </c>
    </row>
    <row r="276" spans="1:8" x14ac:dyDescent="0.3">
      <c r="A276" s="16" t="s">
        <v>2712</v>
      </c>
      <c r="B276" s="17">
        <v>296.97000000000003</v>
      </c>
      <c r="C276" s="18">
        <v>45651</v>
      </c>
      <c r="D276" s="18">
        <v>45651</v>
      </c>
      <c r="E276" s="19">
        <v>0</v>
      </c>
      <c r="F276" s="19">
        <v>2</v>
      </c>
      <c r="G276" s="17">
        <v>0</v>
      </c>
      <c r="H276" s="20">
        <v>0</v>
      </c>
    </row>
    <row r="277" spans="1:8" x14ac:dyDescent="0.3">
      <c r="A277" s="16" t="s">
        <v>2715</v>
      </c>
      <c r="B277" s="17">
        <v>238.91499999999999</v>
      </c>
      <c r="C277" s="18">
        <v>45637</v>
      </c>
      <c r="D277" s="18">
        <v>45553</v>
      </c>
      <c r="E277" s="19">
        <v>0.2299794661190965</v>
      </c>
      <c r="F277" s="19">
        <v>2.7398030942334741</v>
      </c>
      <c r="G277" s="17">
        <v>150.5399718706048</v>
      </c>
      <c r="H277" s="20">
        <v>45.161991561181438</v>
      </c>
    </row>
    <row r="278" spans="1:8" x14ac:dyDescent="0.3">
      <c r="A278" s="16" t="s">
        <v>2719</v>
      </c>
      <c r="B278" s="17">
        <v>247.23153846153849</v>
      </c>
      <c r="C278" s="18">
        <v>45641</v>
      </c>
      <c r="D278" s="18">
        <v>45476</v>
      </c>
      <c r="E278" s="19">
        <v>0.45174537987679669</v>
      </c>
      <c r="F278" s="19">
        <v>13.659115426105718</v>
      </c>
      <c r="G278" s="17">
        <v>1525.5279395900757</v>
      </c>
      <c r="H278" s="20">
        <v>457.65838187702269</v>
      </c>
    </row>
    <row r="279" spans="1:8" x14ac:dyDescent="0.3">
      <c r="A279" s="16" t="s">
        <v>2734</v>
      </c>
      <c r="B279" s="17">
        <v>279.56250000000006</v>
      </c>
      <c r="C279" s="18">
        <v>45584</v>
      </c>
      <c r="D279" s="18">
        <v>45186</v>
      </c>
      <c r="E279" s="19">
        <v>1.0896646132785763</v>
      </c>
      <c r="F279" s="19">
        <v>7.5487621097954793</v>
      </c>
      <c r="G279" s="17">
        <v>2299.5745963401514</v>
      </c>
      <c r="H279" s="20">
        <v>689.8723789020454</v>
      </c>
    </row>
    <row r="280" spans="1:8" x14ac:dyDescent="0.3">
      <c r="A280" s="16" t="s">
        <v>2748</v>
      </c>
      <c r="B280" s="17">
        <v>376.15499999999997</v>
      </c>
      <c r="C280" s="18">
        <v>45645</v>
      </c>
      <c r="D280" s="18">
        <v>45517</v>
      </c>
      <c r="E280" s="19">
        <v>0.35044490075290896</v>
      </c>
      <c r="F280" s="19">
        <v>4.7034205231388331</v>
      </c>
      <c r="G280" s="17">
        <v>620.01242655935607</v>
      </c>
      <c r="H280" s="20">
        <v>186.00372796780681</v>
      </c>
    </row>
    <row r="281" spans="1:8" x14ac:dyDescent="0.3">
      <c r="A281" s="16" t="s">
        <v>2754</v>
      </c>
      <c r="B281" s="17">
        <v>205.43076923076927</v>
      </c>
      <c r="C281" s="18">
        <v>45616</v>
      </c>
      <c r="D281" s="18">
        <v>45042</v>
      </c>
      <c r="E281" s="19">
        <v>1.5715263518138261</v>
      </c>
      <c r="F281" s="19">
        <v>6.2755658351230794</v>
      </c>
      <c r="G281" s="17">
        <v>2026.0028415661657</v>
      </c>
      <c r="H281" s="20">
        <v>607.8008524698497</v>
      </c>
    </row>
    <row r="282" spans="1:8" x14ac:dyDescent="0.3">
      <c r="A282" s="16" t="s">
        <v>2769</v>
      </c>
      <c r="B282" s="17">
        <v>211.25727272727272</v>
      </c>
      <c r="C282" s="18">
        <v>45651</v>
      </c>
      <c r="D282" s="18">
        <v>45112</v>
      </c>
      <c r="E282" s="19">
        <v>1.4757015742642026</v>
      </c>
      <c r="F282" s="19">
        <v>5.5676424735839252</v>
      </c>
      <c r="G282" s="17">
        <v>1735.7275177550666</v>
      </c>
      <c r="H282" s="20">
        <v>520.71825532651997</v>
      </c>
    </row>
    <row r="283" spans="1:8" x14ac:dyDescent="0.3">
      <c r="A283" s="16" t="s">
        <v>2782</v>
      </c>
      <c r="B283" s="17">
        <v>118.15142857142857</v>
      </c>
      <c r="C283" s="18">
        <v>45559</v>
      </c>
      <c r="D283" s="18">
        <v>45029</v>
      </c>
      <c r="E283" s="19">
        <v>1.4510609171800137</v>
      </c>
      <c r="F283" s="19">
        <v>3.5877916155060516</v>
      </c>
      <c r="G283" s="17">
        <v>615.10864760568325</v>
      </c>
      <c r="H283" s="20">
        <v>184.53259428170497</v>
      </c>
    </row>
    <row r="284" spans="1:8" x14ac:dyDescent="0.3">
      <c r="A284" s="16" t="s">
        <v>2791</v>
      </c>
      <c r="B284" s="17">
        <v>254.56555555555556</v>
      </c>
      <c r="C284" s="18">
        <v>45546</v>
      </c>
      <c r="D284" s="18">
        <v>45234</v>
      </c>
      <c r="E284" s="19">
        <v>0.85420944558521561</v>
      </c>
      <c r="F284" s="19">
        <v>6.6459438968915849</v>
      </c>
      <c r="G284" s="17">
        <v>1445.1757998483702</v>
      </c>
      <c r="H284" s="20">
        <v>433.55273995451103</v>
      </c>
    </row>
    <row r="285" spans="1:8" x14ac:dyDescent="0.3">
      <c r="A285" s="16" t="s">
        <v>2802</v>
      </c>
      <c r="B285" s="17">
        <v>268.23</v>
      </c>
      <c r="C285" s="18">
        <v>45509</v>
      </c>
      <c r="D285" s="18">
        <v>44989</v>
      </c>
      <c r="E285" s="19">
        <v>1.4236824093086926</v>
      </c>
      <c r="F285" s="19">
        <v>1.5595089841665184</v>
      </c>
      <c r="G285" s="17">
        <v>595.53645258850747</v>
      </c>
      <c r="H285" s="20">
        <v>178.66093577655224</v>
      </c>
    </row>
    <row r="286" spans="1:8" x14ac:dyDescent="0.3">
      <c r="A286" s="16" t="s">
        <v>2807</v>
      </c>
      <c r="B286" s="17">
        <v>258.69600000000003</v>
      </c>
      <c r="C286" s="18">
        <v>45641</v>
      </c>
      <c r="D286" s="18">
        <v>45603</v>
      </c>
      <c r="E286" s="19">
        <v>0.10403832991101986</v>
      </c>
      <c r="F286" s="19">
        <v>8.2776203966005664</v>
      </c>
      <c r="G286" s="17">
        <v>222.78635694050993</v>
      </c>
      <c r="H286" s="20">
        <v>66.835907082152971</v>
      </c>
    </row>
    <row r="287" spans="1:8" x14ac:dyDescent="0.3">
      <c r="A287" s="16" t="s">
        <v>2814</v>
      </c>
      <c r="B287" s="17">
        <v>242.48692307692306</v>
      </c>
      <c r="C287" s="18">
        <v>45621</v>
      </c>
      <c r="D287" s="18">
        <v>45499</v>
      </c>
      <c r="E287" s="19">
        <v>0.33401779603011633</v>
      </c>
      <c r="F287" s="19">
        <v>15.587197373820272</v>
      </c>
      <c r="G287" s="17">
        <v>1262.4842347148133</v>
      </c>
      <c r="H287" s="20">
        <v>378.74527041444395</v>
      </c>
    </row>
    <row r="288" spans="1:8" x14ac:dyDescent="0.3">
      <c r="A288" s="16" t="s">
        <v>2829</v>
      </c>
      <c r="B288" s="17">
        <v>189.55</v>
      </c>
      <c r="C288" s="18">
        <v>45650</v>
      </c>
      <c r="D288" s="18">
        <v>45606</v>
      </c>
      <c r="E288" s="19">
        <v>0.12046543463381246</v>
      </c>
      <c r="F288" s="19">
        <v>3.2233866519580805</v>
      </c>
      <c r="G288" s="17">
        <v>73.603530060672924</v>
      </c>
      <c r="H288" s="20">
        <v>22.081059018201877</v>
      </c>
    </row>
    <row r="289" spans="1:8" x14ac:dyDescent="0.3">
      <c r="A289" s="16" t="s">
        <v>2833</v>
      </c>
      <c r="B289" s="17">
        <v>327.904</v>
      </c>
      <c r="C289" s="18">
        <v>45563</v>
      </c>
      <c r="D289" s="18">
        <v>45190</v>
      </c>
      <c r="E289" s="19">
        <v>1.0212183436002737</v>
      </c>
      <c r="F289" s="19">
        <v>3.2868391451068617</v>
      </c>
      <c r="G289" s="17">
        <v>1100.6361484814397</v>
      </c>
      <c r="H289" s="20">
        <v>330.19084454443191</v>
      </c>
    </row>
    <row r="290" spans="1:8" x14ac:dyDescent="0.3">
      <c r="A290" s="16" t="s">
        <v>2840</v>
      </c>
      <c r="B290" s="17">
        <v>232.35666666666668</v>
      </c>
      <c r="C290" s="18">
        <v>45656</v>
      </c>
      <c r="D290" s="18">
        <v>45534</v>
      </c>
      <c r="E290" s="19">
        <v>0.33401779603011633</v>
      </c>
      <c r="F290" s="19">
        <v>10.791136643414035</v>
      </c>
      <c r="G290" s="17">
        <v>837.5137299958966</v>
      </c>
      <c r="H290" s="20">
        <v>251.25411899876897</v>
      </c>
    </row>
    <row r="291" spans="1:8" x14ac:dyDescent="0.3">
      <c r="A291" s="16" t="s">
        <v>2851</v>
      </c>
      <c r="B291" s="17">
        <v>192.28000000000003</v>
      </c>
      <c r="C291" s="18">
        <v>45640</v>
      </c>
      <c r="D291" s="18">
        <v>45442</v>
      </c>
      <c r="E291" s="19">
        <v>0.5420944558521561</v>
      </c>
      <c r="F291" s="19">
        <v>7.676847290640394</v>
      </c>
      <c r="G291" s="17">
        <v>800.18790147783272</v>
      </c>
      <c r="H291" s="20">
        <v>240.05637044334981</v>
      </c>
    </row>
    <row r="292" spans="1:8" x14ac:dyDescent="0.3">
      <c r="A292" s="16" t="s">
        <v>2861</v>
      </c>
      <c r="B292" s="17">
        <v>252.30076923076925</v>
      </c>
      <c r="C292" s="18">
        <v>45656</v>
      </c>
      <c r="D292" s="18">
        <v>45616</v>
      </c>
      <c r="E292" s="19">
        <v>0.10951403148528405</v>
      </c>
      <c r="F292" s="19">
        <v>21.32846715328467</v>
      </c>
      <c r="G292" s="17">
        <v>589.31566535654122</v>
      </c>
      <c r="H292" s="20">
        <v>176.79469960696235</v>
      </c>
    </row>
    <row r="293" spans="1:8" x14ac:dyDescent="0.3">
      <c r="A293" s="16" t="s">
        <v>2876</v>
      </c>
      <c r="B293" s="17">
        <v>278.702</v>
      </c>
      <c r="C293" s="18">
        <v>45648</v>
      </c>
      <c r="D293" s="18">
        <v>45146</v>
      </c>
      <c r="E293" s="19">
        <v>1.3744010951403149</v>
      </c>
      <c r="F293" s="19">
        <v>5.3350374292495886</v>
      </c>
      <c r="G293" s="17">
        <v>2043.5771991966405</v>
      </c>
      <c r="H293" s="20">
        <v>613.07315975899212</v>
      </c>
    </row>
    <row r="294" spans="1:8" x14ac:dyDescent="0.3">
      <c r="A294" s="16" t="s">
        <v>2888</v>
      </c>
      <c r="B294" s="17">
        <v>277.36</v>
      </c>
      <c r="C294" s="18">
        <v>45656</v>
      </c>
      <c r="D294" s="18">
        <v>45568</v>
      </c>
      <c r="E294" s="19">
        <v>0.24093086926762491</v>
      </c>
      <c r="F294" s="19">
        <v>18.895150115473442</v>
      </c>
      <c r="G294" s="17">
        <v>1262.6605819861434</v>
      </c>
      <c r="H294" s="20">
        <v>378.79817459584302</v>
      </c>
    </row>
    <row r="295" spans="1:8" x14ac:dyDescent="0.3">
      <c r="A295" s="16" t="s">
        <v>2904</v>
      </c>
      <c r="B295" s="17">
        <v>328.56444444444446</v>
      </c>
      <c r="C295" s="18">
        <v>45651</v>
      </c>
      <c r="D295" s="18">
        <v>45528</v>
      </c>
      <c r="E295" s="19">
        <v>0.33675564681724846</v>
      </c>
      <c r="F295" s="19">
        <v>10.755828220858895</v>
      </c>
      <c r="G295" s="17">
        <v>1190.0886380368099</v>
      </c>
      <c r="H295" s="20">
        <v>357.02659141104294</v>
      </c>
    </row>
    <row r="296" spans="1:8" x14ac:dyDescent="0.3">
      <c r="A296" s="16" t="s">
        <v>2915</v>
      </c>
      <c r="B296" s="17">
        <v>253.95999999999998</v>
      </c>
      <c r="C296" s="18">
        <v>45442</v>
      </c>
      <c r="D296" s="18">
        <v>45216</v>
      </c>
      <c r="E296" s="19">
        <v>0.61875427789185489</v>
      </c>
      <c r="F296" s="19">
        <v>3.5754053227286633</v>
      </c>
      <c r="G296" s="17">
        <v>561.83503211991433</v>
      </c>
      <c r="H296" s="20">
        <v>168.55050963597429</v>
      </c>
    </row>
    <row r="297" spans="1:8" x14ac:dyDescent="0.3">
      <c r="A297" s="16" t="s">
        <v>2921</v>
      </c>
      <c r="B297" s="17">
        <v>264.9711111111111</v>
      </c>
      <c r="C297" s="18">
        <v>45638</v>
      </c>
      <c r="D297" s="18">
        <v>45212</v>
      </c>
      <c r="E297" s="19">
        <v>1.1663244353182751</v>
      </c>
      <c r="F297" s="19">
        <v>5.4011090573012943</v>
      </c>
      <c r="G297" s="17">
        <v>1669.1710659272951</v>
      </c>
      <c r="H297" s="20">
        <v>500.75131977818853</v>
      </c>
    </row>
    <row r="298" spans="1:8" x14ac:dyDescent="0.3">
      <c r="A298" s="16" t="s">
        <v>2932</v>
      </c>
      <c r="B298" s="17">
        <v>259.08699999999999</v>
      </c>
      <c r="C298" s="18">
        <v>45648</v>
      </c>
      <c r="D298" s="18">
        <v>45534</v>
      </c>
      <c r="E298" s="19">
        <v>0.31211498973305957</v>
      </c>
      <c r="F298" s="19">
        <v>12.313527180783819</v>
      </c>
      <c r="G298" s="17">
        <v>995.7325916561316</v>
      </c>
      <c r="H298" s="20">
        <v>298.71977749683947</v>
      </c>
    </row>
    <row r="299" spans="1:8" x14ac:dyDescent="0.3">
      <c r="A299" s="16" t="s">
        <v>2944</v>
      </c>
      <c r="B299" s="17">
        <v>258.67</v>
      </c>
      <c r="C299" s="18">
        <v>45647</v>
      </c>
      <c r="D299" s="18">
        <v>45542</v>
      </c>
      <c r="E299" s="19">
        <v>0.28747433264887062</v>
      </c>
      <c r="F299" s="19">
        <v>19.04823989569752</v>
      </c>
      <c r="G299" s="17">
        <v>1416.4458930899607</v>
      </c>
      <c r="H299" s="20">
        <v>424.9337679269882</v>
      </c>
    </row>
    <row r="300" spans="1:8" x14ac:dyDescent="0.3">
      <c r="A300" s="16" t="s">
        <v>2961</v>
      </c>
      <c r="B300" s="17">
        <v>195.99909090909094</v>
      </c>
      <c r="C300" s="18">
        <v>45393</v>
      </c>
      <c r="D300" s="18">
        <v>45081</v>
      </c>
      <c r="E300" s="19">
        <v>0.85420944558521561</v>
      </c>
      <c r="F300" s="19">
        <v>8.122820318423047</v>
      </c>
      <c r="G300" s="17">
        <v>1359.9573009855953</v>
      </c>
      <c r="H300" s="20">
        <v>407.9871902956786</v>
      </c>
    </row>
    <row r="301" spans="1:8" x14ac:dyDescent="0.3">
      <c r="A301" s="16" t="s">
        <v>2974</v>
      </c>
      <c r="B301" s="17">
        <v>213.14499999999998</v>
      </c>
      <c r="C301" s="18">
        <v>45648</v>
      </c>
      <c r="D301" s="18">
        <v>45291</v>
      </c>
      <c r="E301" s="19">
        <v>0.97741273100616022</v>
      </c>
      <c r="F301" s="19">
        <v>5.4148714384989578</v>
      </c>
      <c r="G301" s="17">
        <v>1128.0836136205698</v>
      </c>
      <c r="H301" s="20">
        <v>338.42508408617095</v>
      </c>
    </row>
    <row r="302" spans="1:8" x14ac:dyDescent="0.3">
      <c r="A302" s="16" t="s">
        <v>2984</v>
      </c>
      <c r="B302" s="17">
        <v>265.15375</v>
      </c>
      <c r="C302" s="18">
        <v>45654</v>
      </c>
      <c r="D302" s="18">
        <v>45437</v>
      </c>
      <c r="E302" s="19">
        <v>0.59411362080766594</v>
      </c>
      <c r="F302" s="19">
        <v>7.3118548639349399</v>
      </c>
      <c r="G302" s="17">
        <v>1151.8471316859557</v>
      </c>
      <c r="H302" s="20">
        <v>345.55413950578668</v>
      </c>
    </row>
    <row r="303" spans="1:8" x14ac:dyDescent="0.3">
      <c r="A303" s="16" t="s">
        <v>2994</v>
      </c>
      <c r="B303" s="17">
        <v>316.07571428571424</v>
      </c>
      <c r="C303" s="18">
        <v>45634</v>
      </c>
      <c r="D303" s="18">
        <v>45421</v>
      </c>
      <c r="E303" s="19">
        <v>0.58316221765913756</v>
      </c>
      <c r="F303" s="19">
        <v>6.4625592417061615</v>
      </c>
      <c r="G303" s="17">
        <v>1191.2009857819905</v>
      </c>
      <c r="H303" s="20">
        <v>357.36029573459717</v>
      </c>
    </row>
    <row r="304" spans="1:8" x14ac:dyDescent="0.3">
      <c r="A304" s="16" t="s">
        <v>3003</v>
      </c>
      <c r="B304" s="17">
        <v>259.95666666666665</v>
      </c>
      <c r="C304" s="18">
        <v>45630</v>
      </c>
      <c r="D304" s="18">
        <v>45012</v>
      </c>
      <c r="E304" s="19">
        <v>1.6919917864476386</v>
      </c>
      <c r="F304" s="19">
        <v>6.8430913348946145</v>
      </c>
      <c r="G304" s="17">
        <v>3009.8963934426233</v>
      </c>
      <c r="H304" s="20">
        <v>902.96891803278697</v>
      </c>
    </row>
    <row r="305" spans="1:8" x14ac:dyDescent="0.3">
      <c r="A305" s="16" t="s">
        <v>3020</v>
      </c>
      <c r="B305" s="17">
        <v>42.54</v>
      </c>
      <c r="C305" s="18">
        <v>45636</v>
      </c>
      <c r="D305" s="18">
        <v>45636</v>
      </c>
      <c r="E305" s="19">
        <v>0</v>
      </c>
      <c r="F305" s="19">
        <v>2</v>
      </c>
      <c r="G305" s="17">
        <v>0</v>
      </c>
      <c r="H305" s="20">
        <v>0</v>
      </c>
    </row>
    <row r="306" spans="1:8" x14ac:dyDescent="0.3">
      <c r="A306" s="16" t="s">
        <v>3023</v>
      </c>
      <c r="B306" s="17">
        <v>110.32833333333333</v>
      </c>
      <c r="C306" s="18">
        <v>45656</v>
      </c>
      <c r="D306" s="18">
        <v>45608</v>
      </c>
      <c r="E306" s="19">
        <v>0.13141683778234087</v>
      </c>
      <c r="F306" s="19">
        <v>9.5024390243902452</v>
      </c>
      <c r="G306" s="17">
        <v>137.77586991869919</v>
      </c>
      <c r="H306" s="20">
        <v>41.332760975609752</v>
      </c>
    </row>
    <row r="307" spans="1:8" x14ac:dyDescent="0.3">
      <c r="A307" s="16" t="s">
        <v>3031</v>
      </c>
      <c r="B307" s="17">
        <v>234.07</v>
      </c>
      <c r="C307" s="18">
        <v>45637</v>
      </c>
      <c r="D307" s="18">
        <v>45249</v>
      </c>
      <c r="E307" s="19">
        <v>1.0622861054072552</v>
      </c>
      <c r="F307" s="19">
        <v>3.2004381161007669</v>
      </c>
      <c r="G307" s="17">
        <v>795.78672508214663</v>
      </c>
      <c r="H307" s="20">
        <v>238.73601752464398</v>
      </c>
    </row>
    <row r="308" spans="1:8" x14ac:dyDescent="0.3">
      <c r="A308" s="16" t="s">
        <v>3038</v>
      </c>
      <c r="B308" s="17">
        <v>225.1927272727273</v>
      </c>
      <c r="C308" s="18">
        <v>45656</v>
      </c>
      <c r="D308" s="18">
        <v>45539</v>
      </c>
      <c r="E308" s="19">
        <v>0.32032854209445583</v>
      </c>
      <c r="F308" s="19">
        <v>13.409261576971215</v>
      </c>
      <c r="G308" s="17">
        <v>967.28590738423043</v>
      </c>
      <c r="H308" s="20">
        <v>290.18577221526914</v>
      </c>
    </row>
    <row r="309" spans="1:8" x14ac:dyDescent="0.3">
      <c r="A309" s="16" t="s">
        <v>3051</v>
      </c>
      <c r="B309" s="17">
        <v>129.59714285714284</v>
      </c>
      <c r="C309" s="18">
        <v>45652</v>
      </c>
      <c r="D309" s="18">
        <v>45460</v>
      </c>
      <c r="E309" s="19">
        <v>0.52566735112936347</v>
      </c>
      <c r="F309" s="19">
        <v>6.8248248248248249</v>
      </c>
      <c r="G309" s="17">
        <v>464.94110110110108</v>
      </c>
      <c r="H309" s="20">
        <v>139.48233033033031</v>
      </c>
    </row>
    <row r="310" spans="1:8" x14ac:dyDescent="0.3">
      <c r="A310" s="16" t="s">
        <v>3060</v>
      </c>
      <c r="B310" s="17">
        <v>329.59999999999997</v>
      </c>
      <c r="C310" s="18">
        <v>45650</v>
      </c>
      <c r="D310" s="18">
        <v>45569</v>
      </c>
      <c r="E310" s="19">
        <v>0.22176591375770022</v>
      </c>
      <c r="F310" s="19">
        <v>5.5419630156472266</v>
      </c>
      <c r="G310" s="17">
        <v>405.08449502133715</v>
      </c>
      <c r="H310" s="20">
        <v>121.52534850640114</v>
      </c>
    </row>
    <row r="311" spans="1:8" x14ac:dyDescent="0.3">
      <c r="A311" s="16" t="s">
        <v>3066</v>
      </c>
      <c r="B311" s="17">
        <v>359.92</v>
      </c>
      <c r="C311" s="18">
        <v>45487</v>
      </c>
      <c r="D311" s="18">
        <v>45487</v>
      </c>
      <c r="E311" s="19">
        <v>0</v>
      </c>
      <c r="F311" s="19">
        <v>2</v>
      </c>
      <c r="G311" s="17">
        <v>0</v>
      </c>
      <c r="H311" s="20">
        <v>0</v>
      </c>
    </row>
    <row r="312" spans="1:8" x14ac:dyDescent="0.3">
      <c r="A312" s="16" t="s">
        <v>3069</v>
      </c>
      <c r="B312" s="17">
        <v>238.33499999999998</v>
      </c>
      <c r="C312" s="18">
        <v>45652</v>
      </c>
      <c r="D312" s="18">
        <v>45613</v>
      </c>
      <c r="E312" s="19">
        <v>0.10677618069815195</v>
      </c>
      <c r="F312" s="19">
        <v>16.480541455160743</v>
      </c>
      <c r="G312" s="17">
        <v>419.40507614213192</v>
      </c>
      <c r="H312" s="20">
        <v>125.82152284263957</v>
      </c>
    </row>
    <row r="313" spans="1:8" x14ac:dyDescent="0.3">
      <c r="A313" s="16" t="s">
        <v>3081</v>
      </c>
      <c r="B313" s="17">
        <v>303.04599999999999</v>
      </c>
      <c r="C313" s="18">
        <v>45630</v>
      </c>
      <c r="D313" s="18">
        <v>45440</v>
      </c>
      <c r="E313" s="19">
        <v>0.52019164955509922</v>
      </c>
      <c r="F313" s="19">
        <v>14.703119758470313</v>
      </c>
      <c r="G313" s="17">
        <v>2317.8291848373028</v>
      </c>
      <c r="H313" s="20">
        <v>695.34875545119087</v>
      </c>
    </row>
    <row r="314" spans="1:8" x14ac:dyDescent="0.3">
      <c r="A314" s="16" t="s">
        <v>3098</v>
      </c>
      <c r="B314" s="17">
        <v>183.74285714285716</v>
      </c>
      <c r="C314" s="18">
        <v>45650</v>
      </c>
      <c r="D314" s="18">
        <v>45196</v>
      </c>
      <c r="E314" s="19">
        <v>1.2429842573579739</v>
      </c>
      <c r="F314" s="19">
        <v>4.0161005301394068</v>
      </c>
      <c r="G314" s="17">
        <v>917.23510700962106</v>
      </c>
      <c r="H314" s="20">
        <v>275.17053210288628</v>
      </c>
    </row>
    <row r="315" spans="1:8" x14ac:dyDescent="0.3">
      <c r="A315" s="16" t="s">
        <v>3107</v>
      </c>
      <c r="B315" s="17">
        <v>119.94</v>
      </c>
      <c r="C315" s="18">
        <v>45447</v>
      </c>
      <c r="D315" s="18">
        <v>45447</v>
      </c>
      <c r="E315" s="19">
        <v>0</v>
      </c>
      <c r="F315" s="19">
        <v>2</v>
      </c>
      <c r="G315" s="17">
        <v>0</v>
      </c>
      <c r="H315" s="20">
        <v>0</v>
      </c>
    </row>
    <row r="316" spans="1:8" x14ac:dyDescent="0.3">
      <c r="A316" s="16" t="s">
        <v>3110</v>
      </c>
      <c r="B316" s="17">
        <v>219.81625</v>
      </c>
      <c r="C316" s="18">
        <v>45652</v>
      </c>
      <c r="D316" s="18">
        <v>45286</v>
      </c>
      <c r="E316" s="19">
        <v>1.0020533880903491</v>
      </c>
      <c r="F316" s="19">
        <v>5.3260423786739581</v>
      </c>
      <c r="G316" s="17">
        <v>1173.1546684894054</v>
      </c>
      <c r="H316" s="20">
        <v>351.94640054682162</v>
      </c>
    </row>
    <row r="317" spans="1:8" x14ac:dyDescent="0.3">
      <c r="A317" s="16" t="s">
        <v>3120</v>
      </c>
      <c r="B317" s="17">
        <v>257.24799999999993</v>
      </c>
      <c r="C317" s="18">
        <v>45656</v>
      </c>
      <c r="D317" s="18">
        <v>45469</v>
      </c>
      <c r="E317" s="19">
        <v>0.51197809719370291</v>
      </c>
      <c r="F317" s="19">
        <v>4.9408183970240112</v>
      </c>
      <c r="G317" s="17">
        <v>650.73217450118352</v>
      </c>
      <c r="H317" s="20">
        <v>195.21965235035506</v>
      </c>
    </row>
    <row r="318" spans="1:8" x14ac:dyDescent="0.3">
      <c r="A318" s="16" t="s">
        <v>3127</v>
      </c>
      <c r="B318" s="17">
        <v>221.18333333333331</v>
      </c>
      <c r="C318" s="18">
        <v>45594</v>
      </c>
      <c r="D318" s="18">
        <v>45481</v>
      </c>
      <c r="E318" s="19">
        <v>0.30937713894592744</v>
      </c>
      <c r="F318" s="19">
        <v>3.706553911205074</v>
      </c>
      <c r="G318" s="17">
        <v>253.63602536997885</v>
      </c>
      <c r="H318" s="20">
        <v>76.09080761099365</v>
      </c>
    </row>
    <row r="319" spans="1:8" x14ac:dyDescent="0.3">
      <c r="A319" s="16" t="s">
        <v>3132</v>
      </c>
      <c r="B319" s="17">
        <v>204.70800000000003</v>
      </c>
      <c r="C319" s="18">
        <v>45388</v>
      </c>
      <c r="D319" s="18">
        <v>45075</v>
      </c>
      <c r="E319" s="19">
        <v>0.85694729637234768</v>
      </c>
      <c r="F319" s="19">
        <v>3.6847414880201765</v>
      </c>
      <c r="G319" s="17">
        <v>646.3919697351829</v>
      </c>
      <c r="H319" s="20">
        <v>193.91759092055486</v>
      </c>
    </row>
    <row r="320" spans="1:8" x14ac:dyDescent="0.3">
      <c r="A320" s="16" t="s">
        <v>3139</v>
      </c>
      <c r="B320" s="17">
        <v>278.30583333333334</v>
      </c>
      <c r="C320" s="18">
        <v>45637</v>
      </c>
      <c r="D320" s="18">
        <v>44998</v>
      </c>
      <c r="E320" s="19">
        <v>1.7494866529774127</v>
      </c>
      <c r="F320" s="19">
        <v>5.3345504335919669</v>
      </c>
      <c r="G320" s="17">
        <v>2597.3517480602463</v>
      </c>
      <c r="H320" s="20">
        <v>779.20552441807388</v>
      </c>
    </row>
    <row r="321" spans="1:8" x14ac:dyDescent="0.3">
      <c r="A321" s="16" t="s">
        <v>3153</v>
      </c>
      <c r="B321" s="17">
        <v>211.81272727272724</v>
      </c>
      <c r="C321" s="18">
        <v>45647</v>
      </c>
      <c r="D321" s="18">
        <v>45153</v>
      </c>
      <c r="E321" s="19">
        <v>1.352498288843258</v>
      </c>
      <c r="F321" s="19">
        <v>5.9379272122667652</v>
      </c>
      <c r="G321" s="17">
        <v>1701.0757214114165</v>
      </c>
      <c r="H321" s="20">
        <v>510.32271642342494</v>
      </c>
    </row>
    <row r="322" spans="1:8" x14ac:dyDescent="0.3">
      <c r="A322" s="16" t="s">
        <v>3166</v>
      </c>
      <c r="B322" s="17">
        <v>275.60500000000002</v>
      </c>
      <c r="C322" s="18">
        <v>45596</v>
      </c>
      <c r="D322" s="18">
        <v>45481</v>
      </c>
      <c r="E322" s="19">
        <v>0.31485284052019163</v>
      </c>
      <c r="F322" s="19">
        <v>9.8177236455270904</v>
      </c>
      <c r="G322" s="17">
        <v>851.93313733725336</v>
      </c>
      <c r="H322" s="20">
        <v>255.57994120117598</v>
      </c>
    </row>
    <row r="323" spans="1:8" x14ac:dyDescent="0.3">
      <c r="A323" s="16" t="s">
        <v>3176</v>
      </c>
      <c r="B323" s="17">
        <v>314.98727272727268</v>
      </c>
      <c r="C323" s="18">
        <v>45652</v>
      </c>
      <c r="D323" s="18">
        <v>45422</v>
      </c>
      <c r="E323" s="19">
        <v>0.62970568104038327</v>
      </c>
      <c r="F323" s="19">
        <v>9.737049378976069</v>
      </c>
      <c r="G323" s="17">
        <v>1931.3366858527718</v>
      </c>
      <c r="H323" s="20">
        <v>579.40100575583153</v>
      </c>
    </row>
    <row r="324" spans="1:8" x14ac:dyDescent="0.3">
      <c r="A324" s="16" t="s">
        <v>3189</v>
      </c>
      <c r="B324" s="17">
        <v>258.12928571428569</v>
      </c>
      <c r="C324" s="18">
        <v>45647</v>
      </c>
      <c r="D324" s="18">
        <v>45537</v>
      </c>
      <c r="E324" s="19">
        <v>0.30116358658453113</v>
      </c>
      <c r="F324" s="19">
        <v>17.474583511319949</v>
      </c>
      <c r="G324" s="17">
        <v>1358.4591200341731</v>
      </c>
      <c r="H324" s="20">
        <v>407.53773601025193</v>
      </c>
    </row>
    <row r="325" spans="1:8" x14ac:dyDescent="0.3">
      <c r="A325" s="16" t="s">
        <v>3205</v>
      </c>
      <c r="B325" s="17">
        <v>284.15199999999999</v>
      </c>
      <c r="C325" s="18">
        <v>45648</v>
      </c>
      <c r="D325" s="18">
        <v>45212</v>
      </c>
      <c r="E325" s="19">
        <v>1.1937029431895962</v>
      </c>
      <c r="F325" s="19">
        <v>5.904223075368761</v>
      </c>
      <c r="G325" s="17">
        <v>2002.6716023439078</v>
      </c>
      <c r="H325" s="20">
        <v>600.80148070317227</v>
      </c>
    </row>
    <row r="326" spans="1:8" x14ac:dyDescent="0.3">
      <c r="A326" s="16" t="s">
        <v>3217</v>
      </c>
      <c r="B326" s="17">
        <v>286.86</v>
      </c>
      <c r="C326" s="18">
        <v>45425</v>
      </c>
      <c r="D326" s="18">
        <v>45084</v>
      </c>
      <c r="E326" s="19">
        <v>0.93360711841204658</v>
      </c>
      <c r="F326" s="19">
        <v>3.4877058963953207</v>
      </c>
      <c r="G326" s="17">
        <v>934.05834328001913</v>
      </c>
      <c r="H326" s="20">
        <v>280.21750298400571</v>
      </c>
    </row>
    <row r="327" spans="1:8" x14ac:dyDescent="0.3">
      <c r="A327" s="16" t="s">
        <v>3224</v>
      </c>
      <c r="B327" s="17">
        <v>202.92</v>
      </c>
      <c r="C327" s="18">
        <v>45632</v>
      </c>
      <c r="D327" s="18">
        <v>45463</v>
      </c>
      <c r="E327" s="19">
        <v>0.46269678302532513</v>
      </c>
      <c r="F327" s="19">
        <v>3.1162460007109849</v>
      </c>
      <c r="G327" s="17">
        <v>292.58568076786349</v>
      </c>
      <c r="H327" s="20">
        <v>87.77570423035904</v>
      </c>
    </row>
    <row r="328" spans="1:8" x14ac:dyDescent="0.3">
      <c r="A328" s="16" t="s">
        <v>3229</v>
      </c>
      <c r="B328" s="17">
        <v>270.73599999999999</v>
      </c>
      <c r="C328" s="18">
        <v>45643</v>
      </c>
      <c r="D328" s="18">
        <v>45482</v>
      </c>
      <c r="E328" s="19">
        <v>0.44079397672826831</v>
      </c>
      <c r="F328" s="19">
        <v>10.629319752637324</v>
      </c>
      <c r="G328" s="17">
        <v>1268.4902437249909</v>
      </c>
      <c r="H328" s="20">
        <v>380.54707311749729</v>
      </c>
    </row>
    <row r="329" spans="1:8" x14ac:dyDescent="0.3">
      <c r="A329" s="16" t="s">
        <v>3241</v>
      </c>
      <c r="B329" s="17">
        <v>115.7025</v>
      </c>
      <c r="C329" s="18">
        <v>45645</v>
      </c>
      <c r="D329" s="18">
        <v>45514</v>
      </c>
      <c r="E329" s="19">
        <v>0.35865845311430528</v>
      </c>
      <c r="F329" s="19">
        <v>4.658429653248306</v>
      </c>
      <c r="G329" s="17">
        <v>193.31402152251894</v>
      </c>
      <c r="H329" s="20">
        <v>57.994206456755677</v>
      </c>
    </row>
    <row r="330" spans="1:8" x14ac:dyDescent="0.3">
      <c r="A330" s="16" t="s">
        <v>3247</v>
      </c>
      <c r="B330" s="17">
        <v>238.79454545454544</v>
      </c>
      <c r="C330" s="18">
        <v>45650</v>
      </c>
      <c r="D330" s="18">
        <v>45045</v>
      </c>
      <c r="E330" s="19">
        <v>1.6563997262149213</v>
      </c>
      <c r="F330" s="19">
        <v>5.1010950642755111</v>
      </c>
      <c r="G330" s="17">
        <v>2017.6831614029516</v>
      </c>
      <c r="H330" s="20">
        <v>605.30494842088547</v>
      </c>
    </row>
    <row r="331" spans="1:8" x14ac:dyDescent="0.3">
      <c r="A331" s="16" t="s">
        <v>3260</v>
      </c>
      <c r="B331" s="17">
        <v>320.1875</v>
      </c>
      <c r="C331" s="18">
        <v>45624</v>
      </c>
      <c r="D331" s="18">
        <v>45549</v>
      </c>
      <c r="E331" s="19">
        <v>0.20533880903490759</v>
      </c>
      <c r="F331" s="19">
        <v>5.6710334788937411</v>
      </c>
      <c r="G331" s="17">
        <v>372.85298398835516</v>
      </c>
      <c r="H331" s="20">
        <v>111.85589519650655</v>
      </c>
    </row>
    <row r="332" spans="1:8" x14ac:dyDescent="0.3">
      <c r="A332" s="16" t="s">
        <v>3266</v>
      </c>
      <c r="B332" s="17">
        <v>244.36538461538458</v>
      </c>
      <c r="C332" s="18">
        <v>45606</v>
      </c>
      <c r="D332" s="18">
        <v>45176</v>
      </c>
      <c r="E332" s="19">
        <v>1.1772758384668036</v>
      </c>
      <c r="F332" s="19">
        <v>7.750663129973475</v>
      </c>
      <c r="G332" s="17">
        <v>2229.7531116098753</v>
      </c>
      <c r="H332" s="20">
        <v>668.92593348296259</v>
      </c>
    </row>
    <row r="333" spans="1:8" x14ac:dyDescent="0.3">
      <c r="A333" s="16" t="s">
        <v>3281</v>
      </c>
      <c r="B333" s="17">
        <v>239.65153846153845</v>
      </c>
      <c r="C333" s="18">
        <v>45647</v>
      </c>
      <c r="D333" s="18">
        <v>45218</v>
      </c>
      <c r="E333" s="19">
        <v>1.1745379876796715</v>
      </c>
      <c r="F333" s="19">
        <v>7.7633353770692821</v>
      </c>
      <c r="G333" s="17">
        <v>2185.2223666462291</v>
      </c>
      <c r="H333" s="20">
        <v>655.5667099938687</v>
      </c>
    </row>
    <row r="334" spans="1:8" x14ac:dyDescent="0.3">
      <c r="A334" s="16" t="s">
        <v>3296</v>
      </c>
      <c r="B334" s="17">
        <v>236.02</v>
      </c>
      <c r="C334" s="18">
        <v>45654</v>
      </c>
      <c r="D334" s="18">
        <v>45507</v>
      </c>
      <c r="E334" s="19">
        <v>0.40246406570841892</v>
      </c>
      <c r="F334" s="19">
        <v>12.188850967007964</v>
      </c>
      <c r="G334" s="17">
        <v>1157.8136973833905</v>
      </c>
      <c r="H334" s="20">
        <v>347.34410921501711</v>
      </c>
    </row>
    <row r="335" spans="1:8" x14ac:dyDescent="0.3">
      <c r="A335" s="16" t="s">
        <v>3309</v>
      </c>
      <c r="B335" s="17">
        <v>314.26</v>
      </c>
      <c r="C335" s="18">
        <v>45580</v>
      </c>
      <c r="D335" s="18">
        <v>45165</v>
      </c>
      <c r="E335" s="19">
        <v>1.1362080766598219</v>
      </c>
      <c r="F335" s="19">
        <v>5.5005229031583358</v>
      </c>
      <c r="G335" s="17">
        <v>1964.0428362267307</v>
      </c>
      <c r="H335" s="20">
        <v>589.21285086801925</v>
      </c>
    </row>
    <row r="336" spans="1:8" x14ac:dyDescent="0.3">
      <c r="A336" s="16" t="s">
        <v>3320</v>
      </c>
      <c r="B336" s="17">
        <v>240.45000000000002</v>
      </c>
      <c r="C336" s="18">
        <v>45219</v>
      </c>
      <c r="D336" s="18">
        <v>45117</v>
      </c>
      <c r="E336" s="19">
        <v>0.27926078028747431</v>
      </c>
      <c r="F336" s="19">
        <v>2.5665349143610015</v>
      </c>
      <c r="G336" s="17">
        <v>172.33833992094861</v>
      </c>
      <c r="H336" s="20">
        <v>51.701501976284582</v>
      </c>
    </row>
    <row r="337" spans="1:8" x14ac:dyDescent="0.3">
      <c r="A337" s="16" t="s">
        <v>3324</v>
      </c>
      <c r="B337" s="17">
        <v>142.97999999999999</v>
      </c>
      <c r="C337" s="18">
        <v>45612</v>
      </c>
      <c r="D337" s="18">
        <v>45612</v>
      </c>
      <c r="E337" s="19">
        <v>0</v>
      </c>
      <c r="F337" s="19">
        <v>2</v>
      </c>
      <c r="G337" s="17">
        <v>0</v>
      </c>
      <c r="H337" s="20">
        <v>0</v>
      </c>
    </row>
    <row r="338" spans="1:8" x14ac:dyDescent="0.3">
      <c r="A338" s="16" t="s">
        <v>3327</v>
      </c>
      <c r="B338" s="17">
        <v>270.20583333333337</v>
      </c>
      <c r="C338" s="18">
        <v>45641</v>
      </c>
      <c r="D338" s="18">
        <v>45126</v>
      </c>
      <c r="E338" s="19">
        <v>1.4099931553730323</v>
      </c>
      <c r="F338" s="19">
        <v>6.2827450277728003</v>
      </c>
      <c r="G338" s="17">
        <v>2393.6528220748974</v>
      </c>
      <c r="H338" s="20">
        <v>718.09584662246914</v>
      </c>
    </row>
    <row r="339" spans="1:8" x14ac:dyDescent="0.3">
      <c r="A339" s="16" t="s">
        <v>3341</v>
      </c>
      <c r="B339" s="17">
        <v>291.45400000000001</v>
      </c>
      <c r="C339" s="18">
        <v>45642</v>
      </c>
      <c r="D339" s="18">
        <v>45312</v>
      </c>
      <c r="E339" s="19">
        <v>0.90349075975359339</v>
      </c>
      <c r="F339" s="19">
        <v>7.1250914411119233</v>
      </c>
      <c r="G339" s="17">
        <v>1876.2217995610824</v>
      </c>
      <c r="H339" s="20">
        <v>562.86653986832471</v>
      </c>
    </row>
    <row r="340" spans="1:8" x14ac:dyDescent="0.3">
      <c r="A340" s="16" t="s">
        <v>3353</v>
      </c>
      <c r="B340" s="17">
        <v>216.21599999999998</v>
      </c>
      <c r="C340" s="18">
        <v>45444</v>
      </c>
      <c r="D340" s="18">
        <v>45069</v>
      </c>
      <c r="E340" s="19">
        <v>1.0266940451745379</v>
      </c>
      <c r="F340" s="19">
        <v>3.2750504371217217</v>
      </c>
      <c r="G340" s="17">
        <v>727.02084734364485</v>
      </c>
      <c r="H340" s="20">
        <v>218.10625420309344</v>
      </c>
    </row>
    <row r="341" spans="1:8" x14ac:dyDescent="0.3">
      <c r="A341" s="16" t="s">
        <v>3360</v>
      </c>
      <c r="B341" s="17">
        <v>192.5975</v>
      </c>
      <c r="C341" s="18">
        <v>45640</v>
      </c>
      <c r="D341" s="18">
        <v>45565</v>
      </c>
      <c r="E341" s="19">
        <v>0.20533880903490759</v>
      </c>
      <c r="F341" s="19">
        <v>5.6710334788937411</v>
      </c>
      <c r="G341" s="17">
        <v>224.27656477438137</v>
      </c>
      <c r="H341" s="20">
        <v>67.282969432314403</v>
      </c>
    </row>
    <row r="342" spans="1:8" x14ac:dyDescent="0.3">
      <c r="A342" s="16" t="s">
        <v>3366</v>
      </c>
      <c r="B342" s="17">
        <v>259.95466666666664</v>
      </c>
      <c r="C342" s="18">
        <v>45645</v>
      </c>
      <c r="D342" s="18">
        <v>45544</v>
      </c>
      <c r="E342" s="19">
        <v>0.27652292950034224</v>
      </c>
      <c r="F342" s="19">
        <v>19.316879682679595</v>
      </c>
      <c r="G342" s="17">
        <v>1388.5634905244599</v>
      </c>
      <c r="H342" s="20">
        <v>416.56904715733793</v>
      </c>
    </row>
    <row r="343" spans="1:8" x14ac:dyDescent="0.3">
      <c r="A343" s="16" t="s">
        <v>3383</v>
      </c>
      <c r="B343" s="17">
        <v>232.47</v>
      </c>
      <c r="C343" s="18">
        <v>45617</v>
      </c>
      <c r="D343" s="18">
        <v>45607</v>
      </c>
      <c r="E343" s="19">
        <v>2.7378507871321012E-2</v>
      </c>
      <c r="F343" s="19">
        <v>3.7923426346528228</v>
      </c>
      <c r="G343" s="17">
        <v>24.137053861129136</v>
      </c>
      <c r="H343" s="20">
        <v>7.2411161583387402</v>
      </c>
    </row>
    <row r="344" spans="1:8" x14ac:dyDescent="0.3">
      <c r="A344" s="16" t="s">
        <v>3387</v>
      </c>
      <c r="B344" s="17">
        <v>309.05500000000001</v>
      </c>
      <c r="C344" s="18">
        <v>45648</v>
      </c>
      <c r="D344" s="18">
        <v>45548</v>
      </c>
      <c r="E344" s="19">
        <v>0.27378507871321012</v>
      </c>
      <c r="F344" s="19">
        <v>10.338788146837683</v>
      </c>
      <c r="G344" s="17">
        <v>874.81291463954005</v>
      </c>
      <c r="H344" s="20">
        <v>262.44387439186198</v>
      </c>
    </row>
    <row r="345" spans="1:8" x14ac:dyDescent="0.3">
      <c r="A345" s="16" t="s">
        <v>3397</v>
      </c>
      <c r="B345" s="17">
        <v>181.845</v>
      </c>
      <c r="C345" s="18">
        <v>45297</v>
      </c>
      <c r="D345" s="18">
        <v>45287</v>
      </c>
      <c r="E345" s="19">
        <v>2.7378507871321012E-2</v>
      </c>
      <c r="F345" s="19">
        <v>3.7923426346528228</v>
      </c>
      <c r="G345" s="17">
        <v>18.880726800778717</v>
      </c>
      <c r="H345" s="20">
        <v>5.6642180402336146</v>
      </c>
    </row>
    <row r="346" spans="1:8" x14ac:dyDescent="0.3">
      <c r="A346" s="16" t="s">
        <v>3401</v>
      </c>
      <c r="B346" s="17">
        <v>158.87666666666667</v>
      </c>
      <c r="C346" s="18">
        <v>45625</v>
      </c>
      <c r="D346" s="18">
        <v>45351</v>
      </c>
      <c r="E346" s="19">
        <v>0.75017111567419581</v>
      </c>
      <c r="F346" s="19">
        <v>4.7993430057486988</v>
      </c>
      <c r="G346" s="17">
        <v>572.00819052833288</v>
      </c>
      <c r="H346" s="20">
        <v>171.60245715849985</v>
      </c>
    </row>
    <row r="347" spans="1:8" x14ac:dyDescent="0.3">
      <c r="A347" s="16" t="s">
        <v>3409</v>
      </c>
      <c r="B347" s="17">
        <v>177.48400000000001</v>
      </c>
      <c r="C347" s="18">
        <v>45625</v>
      </c>
      <c r="D347" s="18">
        <v>45460</v>
      </c>
      <c r="E347" s="19">
        <v>0.45174537987679669</v>
      </c>
      <c r="F347" s="19">
        <v>5.2535059331175837</v>
      </c>
      <c r="G347" s="17">
        <v>421.21337648327943</v>
      </c>
      <c r="H347" s="20">
        <v>126.36401294498383</v>
      </c>
    </row>
    <row r="348" spans="1:8" x14ac:dyDescent="0.3">
      <c r="A348" s="16" t="s">
        <v>3416</v>
      </c>
      <c r="B348" s="17">
        <v>176.26866666666666</v>
      </c>
      <c r="C348" s="18">
        <v>45641</v>
      </c>
      <c r="D348" s="18">
        <v>45012</v>
      </c>
      <c r="E348" s="19">
        <v>1.7221081451060918</v>
      </c>
      <c r="F348" s="19">
        <v>6.750346527029107</v>
      </c>
      <c r="G348" s="17">
        <v>2049.0927090713071</v>
      </c>
      <c r="H348" s="20">
        <v>614.72781272139207</v>
      </c>
    </row>
    <row r="349" spans="1:8" x14ac:dyDescent="0.3">
      <c r="A349" s="16" t="s">
        <v>3433</v>
      </c>
      <c r="B349" s="17">
        <v>227.7128571428571</v>
      </c>
      <c r="C349" s="18">
        <v>45609</v>
      </c>
      <c r="D349" s="18">
        <v>45039</v>
      </c>
      <c r="E349" s="19">
        <v>1.5605749486652978</v>
      </c>
      <c r="F349" s="19">
        <v>3.3971101145989038</v>
      </c>
      <c r="G349" s="17">
        <v>1207.2071748878923</v>
      </c>
      <c r="H349" s="20">
        <v>362.16215246636767</v>
      </c>
    </row>
    <row r="350" spans="1:8" x14ac:dyDescent="0.3">
      <c r="A350" s="16" t="s">
        <v>3442</v>
      </c>
      <c r="B350" s="17">
        <v>258.00142857142856</v>
      </c>
      <c r="C350" s="18">
        <v>45637</v>
      </c>
      <c r="D350" s="18">
        <v>45084</v>
      </c>
      <c r="E350" s="19">
        <v>1.514031485284052</v>
      </c>
      <c r="F350" s="19">
        <v>3.4756159728122342</v>
      </c>
      <c r="G350" s="17">
        <v>1357.6530569243837</v>
      </c>
      <c r="H350" s="20">
        <v>407.2959170773151</v>
      </c>
    </row>
    <row r="351" spans="1:8" x14ac:dyDescent="0.3">
      <c r="A351" s="16" t="s">
        <v>3451</v>
      </c>
      <c r="B351" s="17">
        <v>282.02785714285716</v>
      </c>
      <c r="C351" s="18">
        <v>45641</v>
      </c>
      <c r="D351" s="18">
        <v>45414</v>
      </c>
      <c r="E351" s="19">
        <v>0.62149212867898695</v>
      </c>
      <c r="F351" s="19">
        <v>12.483368935001526</v>
      </c>
      <c r="G351" s="17">
        <v>2188.0611046689041</v>
      </c>
      <c r="H351" s="20">
        <v>656.41833140067126</v>
      </c>
    </row>
    <row r="352" spans="1:8" x14ac:dyDescent="0.3">
      <c r="A352" s="16" t="s">
        <v>3467</v>
      </c>
      <c r="B352" s="17">
        <v>289.98750000000001</v>
      </c>
      <c r="C352" s="18">
        <v>45652</v>
      </c>
      <c r="D352" s="18">
        <v>45615</v>
      </c>
      <c r="E352" s="19">
        <v>0.10130047912388775</v>
      </c>
      <c r="F352" s="19">
        <v>13.304496300512238</v>
      </c>
      <c r="G352" s="17">
        <v>390.8311895276039</v>
      </c>
      <c r="H352" s="20">
        <v>117.24935685828116</v>
      </c>
    </row>
    <row r="353" spans="1:8" x14ac:dyDescent="0.3">
      <c r="A353" s="16" t="s">
        <v>3477</v>
      </c>
      <c r="B353" s="17">
        <v>189.22099999999998</v>
      </c>
      <c r="C353" s="18">
        <v>45574</v>
      </c>
      <c r="D353" s="18">
        <v>45324</v>
      </c>
      <c r="E353" s="19">
        <v>0.68446269678302529</v>
      </c>
      <c r="F353" s="19">
        <v>8.4426466339208321</v>
      </c>
      <c r="G353" s="17">
        <v>1093.4469806414329</v>
      </c>
      <c r="H353" s="20">
        <v>328.03409419242985</v>
      </c>
    </row>
    <row r="354" spans="1:8" x14ac:dyDescent="0.3">
      <c r="A354" s="16" t="s">
        <v>3489</v>
      </c>
      <c r="B354" s="17">
        <v>312.37076923076927</v>
      </c>
      <c r="C354" s="18">
        <v>45638</v>
      </c>
      <c r="D354" s="18">
        <v>45590</v>
      </c>
      <c r="E354" s="19">
        <v>0.13141683778234087</v>
      </c>
      <c r="F354" s="19">
        <v>20.588617886178863</v>
      </c>
      <c r="G354" s="17">
        <v>845.17879674796757</v>
      </c>
      <c r="H354" s="20">
        <v>253.55363902439026</v>
      </c>
    </row>
    <row r="355" spans="1:8" x14ac:dyDescent="0.3">
      <c r="A355" s="16" t="s">
        <v>3504</v>
      </c>
      <c r="B355" s="17">
        <v>218.37857142857143</v>
      </c>
      <c r="C355" s="18">
        <v>45640</v>
      </c>
      <c r="D355" s="18">
        <v>45275</v>
      </c>
      <c r="E355" s="19">
        <v>0.99931553730321698</v>
      </c>
      <c r="F355" s="19">
        <v>9.3375941565852543</v>
      </c>
      <c r="G355" s="17">
        <v>2037.7347637525679</v>
      </c>
      <c r="H355" s="20">
        <v>611.32042912577037</v>
      </c>
    </row>
    <row r="356" spans="1:8" x14ac:dyDescent="0.3">
      <c r="A356" s="16" t="s">
        <v>3520</v>
      </c>
      <c r="B356" s="17">
        <v>313.46749999999997</v>
      </c>
      <c r="C356" s="18">
        <v>45649</v>
      </c>
      <c r="D356" s="18">
        <v>45243</v>
      </c>
      <c r="E356" s="19">
        <v>1.1115674195756331</v>
      </c>
      <c r="F356" s="19">
        <v>2.4820556381397325</v>
      </c>
      <c r="G356" s="17">
        <v>864.84811212571663</v>
      </c>
      <c r="H356" s="20">
        <v>259.454433637715</v>
      </c>
    </row>
    <row r="357" spans="1:8" x14ac:dyDescent="0.3">
      <c r="A357" s="16" t="s">
        <v>3526</v>
      </c>
      <c r="B357" s="17">
        <v>330.66166666666669</v>
      </c>
      <c r="C357" s="18">
        <v>45646</v>
      </c>
      <c r="D357" s="18">
        <v>45551</v>
      </c>
      <c r="E357" s="19">
        <v>0.26009582477754961</v>
      </c>
      <c r="F357" s="19">
        <v>7.8937415578568215</v>
      </c>
      <c r="G357" s="17">
        <v>678.8911301215669</v>
      </c>
      <c r="H357" s="20">
        <v>203.66733903647005</v>
      </c>
    </row>
    <row r="358" spans="1:8" x14ac:dyDescent="0.3">
      <c r="A358" s="16" t="s">
        <v>3534</v>
      </c>
      <c r="B358" s="17">
        <v>311.38</v>
      </c>
      <c r="C358" s="18">
        <v>45655</v>
      </c>
      <c r="D358" s="18">
        <v>45577</v>
      </c>
      <c r="E358" s="19">
        <v>0.2135523613963039</v>
      </c>
      <c r="F358" s="19">
        <v>7.0071942446043156</v>
      </c>
      <c r="G358" s="17">
        <v>465.9499280575539</v>
      </c>
      <c r="H358" s="20">
        <v>139.78497841726616</v>
      </c>
    </row>
    <row r="359" spans="1:8" x14ac:dyDescent="0.3">
      <c r="A359" s="16" t="s">
        <v>3541</v>
      </c>
      <c r="B359" s="17">
        <v>227.34833333333336</v>
      </c>
      <c r="C359" s="18">
        <v>45587</v>
      </c>
      <c r="D359" s="18">
        <v>45391</v>
      </c>
      <c r="E359" s="19">
        <v>0.53661875427789185</v>
      </c>
      <c r="F359" s="19">
        <v>5.7880488610102336</v>
      </c>
      <c r="G359" s="17">
        <v>706.13836909871247</v>
      </c>
      <c r="H359" s="20">
        <v>211.84151072961373</v>
      </c>
    </row>
    <row r="360" spans="1:8" x14ac:dyDescent="0.3">
      <c r="A360" s="16" t="s">
        <v>3549</v>
      </c>
      <c r="B360" s="17">
        <v>212.23846153846151</v>
      </c>
      <c r="C360" s="18">
        <v>45578</v>
      </c>
      <c r="D360" s="18">
        <v>45325</v>
      </c>
      <c r="E360" s="19">
        <v>0.69267624914442161</v>
      </c>
      <c r="F360" s="19">
        <v>10.899856527977045</v>
      </c>
      <c r="G360" s="17">
        <v>1602.4156097560972</v>
      </c>
      <c r="H360" s="20">
        <v>480.72468292682913</v>
      </c>
    </row>
    <row r="361" spans="1:8" x14ac:dyDescent="0.3">
      <c r="A361" s="16" t="s">
        <v>3564</v>
      </c>
      <c r="B361" s="17">
        <v>307.66166666666663</v>
      </c>
      <c r="C361" s="18">
        <v>45639</v>
      </c>
      <c r="D361" s="18">
        <v>45534</v>
      </c>
      <c r="E361" s="19">
        <v>0.28747433264887062</v>
      </c>
      <c r="F361" s="19">
        <v>7.6192959582790083</v>
      </c>
      <c r="G361" s="17">
        <v>673.88735332464125</v>
      </c>
      <c r="H361" s="20">
        <v>202.16620599739238</v>
      </c>
    </row>
    <row r="362" spans="1:8" x14ac:dyDescent="0.3">
      <c r="A362" s="16" t="s">
        <v>3572</v>
      </c>
      <c r="B362" s="17">
        <v>249.65899999999996</v>
      </c>
      <c r="C362" s="18">
        <v>45548</v>
      </c>
      <c r="D362" s="18">
        <v>45042</v>
      </c>
      <c r="E362" s="19">
        <v>1.3853524982888432</v>
      </c>
      <c r="F362" s="19">
        <v>5.3040479215828649</v>
      </c>
      <c r="G362" s="17">
        <v>1834.4883499727719</v>
      </c>
      <c r="H362" s="20">
        <v>550.34650499183158</v>
      </c>
    </row>
    <row r="363" spans="1:8" x14ac:dyDescent="0.3">
      <c r="A363" s="16" t="s">
        <v>3584</v>
      </c>
      <c r="B363" s="17">
        <v>245.5542857142857</v>
      </c>
      <c r="C363" s="18">
        <v>45649</v>
      </c>
      <c r="D363" s="18">
        <v>45610</v>
      </c>
      <c r="E363" s="19">
        <v>0.10677618069815195</v>
      </c>
      <c r="F363" s="19">
        <v>11.536379018612521</v>
      </c>
      <c r="G363" s="17">
        <v>302.476345177665</v>
      </c>
      <c r="H363" s="20">
        <v>90.742903553299499</v>
      </c>
    </row>
    <row r="364" spans="1:8" x14ac:dyDescent="0.3">
      <c r="A364" s="16" t="s">
        <v>3593</v>
      </c>
      <c r="B364" s="17">
        <v>349.70333333333332</v>
      </c>
      <c r="C364" s="18">
        <v>45512</v>
      </c>
      <c r="D364" s="18">
        <v>45471</v>
      </c>
      <c r="E364" s="19">
        <v>0.11225188227241616</v>
      </c>
      <c r="F364" s="19">
        <v>4.8999441028507551</v>
      </c>
      <c r="G364" s="17">
        <v>192.34660704304082</v>
      </c>
      <c r="H364" s="20">
        <v>57.703982112912243</v>
      </c>
    </row>
    <row r="365" spans="1:8" x14ac:dyDescent="0.3">
      <c r="A365" s="16" t="s">
        <v>3598</v>
      </c>
      <c r="B365" s="17">
        <v>236.50874999999999</v>
      </c>
      <c r="C365" s="18">
        <v>45559</v>
      </c>
      <c r="D365" s="18">
        <v>45027</v>
      </c>
      <c r="E365" s="19">
        <v>1.4565366187542779</v>
      </c>
      <c r="F365" s="19">
        <v>4.0888577925485396</v>
      </c>
      <c r="G365" s="17">
        <v>1408.5446772782927</v>
      </c>
      <c r="H365" s="20">
        <v>422.56340318348782</v>
      </c>
    </row>
    <row r="366" spans="1:8" x14ac:dyDescent="0.3">
      <c r="A366" s="16" t="s">
        <v>3608</v>
      </c>
      <c r="B366" s="17">
        <v>231.50642857142859</v>
      </c>
      <c r="C366" s="18">
        <v>45655</v>
      </c>
      <c r="D366" s="18">
        <v>45512</v>
      </c>
      <c r="E366" s="19">
        <v>0.39151266255989048</v>
      </c>
      <c r="F366" s="19">
        <v>15.703646833013435</v>
      </c>
      <c r="G366" s="17">
        <v>1423.3424030710173</v>
      </c>
      <c r="H366" s="20">
        <v>427.00272092130518</v>
      </c>
    </row>
    <row r="367" spans="1:8" x14ac:dyDescent="0.3">
      <c r="A367" s="16" t="s">
        <v>3624</v>
      </c>
      <c r="B367" s="17">
        <v>333.29500000000002</v>
      </c>
      <c r="C367" s="18">
        <v>45630</v>
      </c>
      <c r="D367" s="18">
        <v>45386</v>
      </c>
      <c r="E367" s="19">
        <v>0.66803559206023266</v>
      </c>
      <c r="F367" s="19">
        <v>6.8491063580427785</v>
      </c>
      <c r="G367" s="17">
        <v>1524.9735481980665</v>
      </c>
      <c r="H367" s="20">
        <v>457.49206445941996</v>
      </c>
    </row>
    <row r="368" spans="1:8" x14ac:dyDescent="0.3">
      <c r="A368" s="16" t="s">
        <v>3634</v>
      </c>
      <c r="B368" s="17">
        <v>267.07250000000005</v>
      </c>
      <c r="C368" s="18">
        <v>45639</v>
      </c>
      <c r="D368" s="18">
        <v>45613</v>
      </c>
      <c r="E368" s="19">
        <v>7.1184120465434639E-2</v>
      </c>
      <c r="F368" s="19">
        <v>14.005991611743559</v>
      </c>
      <c r="G368" s="17">
        <v>266.27240263630927</v>
      </c>
      <c r="H368" s="20">
        <v>79.881720790892771</v>
      </c>
    </row>
    <row r="369" spans="1:8" x14ac:dyDescent="0.3">
      <c r="A369" s="16" t="s">
        <v>3644</v>
      </c>
      <c r="B369" s="17">
        <v>328.4</v>
      </c>
      <c r="C369" s="18">
        <v>45479</v>
      </c>
      <c r="D369" s="18">
        <v>45398</v>
      </c>
      <c r="E369" s="19">
        <v>0.22176591375770022</v>
      </c>
      <c r="F369" s="19">
        <v>4.1564722617354199</v>
      </c>
      <c r="G369" s="17">
        <v>302.70725462304409</v>
      </c>
      <c r="H369" s="20">
        <v>90.812176386913222</v>
      </c>
    </row>
    <row r="370" spans="1:8" x14ac:dyDescent="0.3">
      <c r="A370" s="16" t="s">
        <v>3649</v>
      </c>
      <c r="B370" s="17">
        <v>286.46500000000003</v>
      </c>
      <c r="C370" s="18">
        <v>45586</v>
      </c>
      <c r="D370" s="18">
        <v>45011</v>
      </c>
      <c r="E370" s="19">
        <v>1.5742642026009583</v>
      </c>
      <c r="F370" s="19">
        <v>1.928394654347467</v>
      </c>
      <c r="G370" s="17">
        <v>869.65121267117627</v>
      </c>
      <c r="H370" s="20">
        <v>260.89536380135286</v>
      </c>
    </row>
    <row r="371" spans="1:8" x14ac:dyDescent="0.3">
      <c r="A371" s="16" t="s">
        <v>3655</v>
      </c>
      <c r="B371" s="17">
        <v>246.1</v>
      </c>
      <c r="C371" s="18">
        <v>45450</v>
      </c>
      <c r="D371" s="18">
        <v>45450</v>
      </c>
      <c r="E371" s="19">
        <v>0</v>
      </c>
      <c r="F371" s="19">
        <v>2</v>
      </c>
      <c r="G371" s="17">
        <v>0</v>
      </c>
      <c r="H371" s="20">
        <v>0</v>
      </c>
    </row>
    <row r="372" spans="1:8" x14ac:dyDescent="0.3">
      <c r="A372" s="16" t="s">
        <v>3658</v>
      </c>
      <c r="B372" s="17">
        <v>329.65428571428572</v>
      </c>
      <c r="C372" s="18">
        <v>45622</v>
      </c>
      <c r="D372" s="18">
        <v>45142</v>
      </c>
      <c r="E372" s="19">
        <v>1.3141683778234086</v>
      </c>
      <c r="F372" s="19">
        <v>3.8585172608941711</v>
      </c>
      <c r="G372" s="17">
        <v>1671.591624221845</v>
      </c>
      <c r="H372" s="20">
        <v>501.47748726655345</v>
      </c>
    </row>
    <row r="373" spans="1:8" x14ac:dyDescent="0.3">
      <c r="A373" s="16" t="s">
        <v>3667</v>
      </c>
      <c r="B373" s="17">
        <v>469.8</v>
      </c>
      <c r="C373" s="18">
        <v>45368</v>
      </c>
      <c r="D373" s="18">
        <v>45368</v>
      </c>
      <c r="E373" s="19">
        <v>0</v>
      </c>
      <c r="F373" s="19">
        <v>2</v>
      </c>
      <c r="G373" s="17">
        <v>0</v>
      </c>
      <c r="H373" s="20">
        <v>0</v>
      </c>
    </row>
    <row r="374" spans="1:8" x14ac:dyDescent="0.3">
      <c r="A374" s="16" t="s">
        <v>3670</v>
      </c>
      <c r="B374" s="17">
        <v>277.226</v>
      </c>
      <c r="C374" s="18">
        <v>45655</v>
      </c>
      <c r="D374" s="18">
        <v>45615</v>
      </c>
      <c r="E374" s="19">
        <v>0.10951403148528405</v>
      </c>
      <c r="F374" s="19">
        <v>24.609769792251544</v>
      </c>
      <c r="G374" s="17">
        <v>747.15597978663664</v>
      </c>
      <c r="H374" s="20">
        <v>224.14679393599098</v>
      </c>
    </row>
    <row r="375" spans="1:8" x14ac:dyDescent="0.3">
      <c r="A375" s="16" t="s">
        <v>3687</v>
      </c>
      <c r="B375" s="17">
        <v>221.77357142857139</v>
      </c>
      <c r="C375" s="18">
        <v>45645</v>
      </c>
      <c r="D375" s="18">
        <v>45176</v>
      </c>
      <c r="E375" s="19">
        <v>1.2840520191649556</v>
      </c>
      <c r="F375" s="19">
        <v>7.8473048148858622</v>
      </c>
      <c r="G375" s="17">
        <v>2234.6675925570685</v>
      </c>
      <c r="H375" s="20">
        <v>670.40027776712054</v>
      </c>
    </row>
    <row r="376" spans="1:8" x14ac:dyDescent="0.3">
      <c r="A376" s="16" t="s">
        <v>3703</v>
      </c>
      <c r="B376" s="17">
        <v>281.62</v>
      </c>
      <c r="C376" s="18">
        <v>45384</v>
      </c>
      <c r="D376" s="18">
        <v>45384</v>
      </c>
      <c r="E376" s="19">
        <v>0</v>
      </c>
      <c r="F376" s="19">
        <v>2</v>
      </c>
      <c r="G376" s="17">
        <v>0</v>
      </c>
      <c r="H376" s="20">
        <v>0</v>
      </c>
    </row>
    <row r="377" spans="1:8" x14ac:dyDescent="0.3">
      <c r="A377" s="16" t="s">
        <v>3706</v>
      </c>
      <c r="B377" s="17">
        <v>227.83500000000001</v>
      </c>
      <c r="C377" s="18">
        <v>45628</v>
      </c>
      <c r="D377" s="18">
        <v>45557</v>
      </c>
      <c r="E377" s="19">
        <v>0.19438740588637921</v>
      </c>
      <c r="F377" s="19">
        <v>8.6407097092163614</v>
      </c>
      <c r="G377" s="17">
        <v>382.681951700345</v>
      </c>
      <c r="H377" s="20">
        <v>114.80458551010349</v>
      </c>
    </row>
    <row r="378" spans="1:8" x14ac:dyDescent="0.3">
      <c r="A378" s="16" t="s">
        <v>3714</v>
      </c>
      <c r="B378" s="17">
        <v>240.84333333333333</v>
      </c>
      <c r="C378" s="18">
        <v>45597</v>
      </c>
      <c r="D378" s="18">
        <v>45048</v>
      </c>
      <c r="E378" s="19">
        <v>1.5030800821355237</v>
      </c>
      <c r="F378" s="19">
        <v>7.4884674525884147</v>
      </c>
      <c r="G378" s="17">
        <v>2710.8762685802149</v>
      </c>
      <c r="H378" s="20">
        <v>813.26288057406441</v>
      </c>
    </row>
    <row r="379" spans="1:8" x14ac:dyDescent="0.3">
      <c r="A379" s="16" t="s">
        <v>3731</v>
      </c>
      <c r="B379" s="17">
        <v>219.56</v>
      </c>
      <c r="C379" s="18">
        <v>45547</v>
      </c>
      <c r="D379" s="18">
        <v>45379</v>
      </c>
      <c r="E379" s="19">
        <v>0.45995893223819301</v>
      </c>
      <c r="F379" s="19">
        <v>5.2085561497326207</v>
      </c>
      <c r="G379" s="17">
        <v>526.00470588235305</v>
      </c>
      <c r="H379" s="20">
        <v>157.8014117647059</v>
      </c>
    </row>
    <row r="380" spans="1:8" x14ac:dyDescent="0.3">
      <c r="A380" s="16" t="s">
        <v>3738</v>
      </c>
      <c r="B380" s="17">
        <v>291.33500000000004</v>
      </c>
      <c r="C380" s="18">
        <v>45619</v>
      </c>
      <c r="D380" s="18">
        <v>45282</v>
      </c>
      <c r="E380" s="19">
        <v>0.92265571526351808</v>
      </c>
      <c r="F380" s="19">
        <v>1.4058215058936734</v>
      </c>
      <c r="G380" s="17">
        <v>377.8874957902334</v>
      </c>
      <c r="H380" s="20">
        <v>113.36624873707002</v>
      </c>
    </row>
    <row r="381" spans="1:8" x14ac:dyDescent="0.3">
      <c r="A381" s="16" t="s">
        <v>3742</v>
      </c>
      <c r="B381" s="17">
        <v>286.98250000000002</v>
      </c>
      <c r="C381" s="18">
        <v>45642</v>
      </c>
      <c r="D381" s="18">
        <v>45258</v>
      </c>
      <c r="E381" s="19">
        <v>1.0513347022587269</v>
      </c>
      <c r="F381" s="19">
        <v>5.1568497683653209</v>
      </c>
      <c r="G381" s="17">
        <v>1555.8971806750496</v>
      </c>
      <c r="H381" s="20">
        <v>466.76915420251487</v>
      </c>
    </row>
    <row r="382" spans="1:8" x14ac:dyDescent="0.3">
      <c r="A382" s="16" t="s">
        <v>3752</v>
      </c>
      <c r="B382" s="17">
        <v>199.30124999999998</v>
      </c>
      <c r="C382" s="18">
        <v>45593</v>
      </c>
      <c r="D382" s="18">
        <v>45269</v>
      </c>
      <c r="E382" s="19">
        <v>0.88706365503080087</v>
      </c>
      <c r="F382" s="19">
        <v>5.7675795706883788</v>
      </c>
      <c r="G382" s="17">
        <v>1019.6670910436713</v>
      </c>
      <c r="H382" s="20">
        <v>305.90012731310139</v>
      </c>
    </row>
    <row r="383" spans="1:8" x14ac:dyDescent="0.3">
      <c r="A383" s="16" t="s">
        <v>3762</v>
      </c>
      <c r="B383" s="17">
        <v>415.28666666666663</v>
      </c>
      <c r="C383" s="18">
        <v>45546</v>
      </c>
      <c r="D383" s="18">
        <v>45145</v>
      </c>
      <c r="E383" s="19">
        <v>1.0978781656399725</v>
      </c>
      <c r="F383" s="19">
        <v>1.8774898265153139</v>
      </c>
      <c r="G383" s="17">
        <v>856.01175412293844</v>
      </c>
      <c r="H383" s="20">
        <v>256.80352623688151</v>
      </c>
    </row>
    <row r="384" spans="1:8" x14ac:dyDescent="0.3">
      <c r="A384" s="16" t="s">
        <v>3767</v>
      </c>
      <c r="B384" s="17">
        <v>238.44909090909093</v>
      </c>
      <c r="C384" s="18">
        <v>45641</v>
      </c>
      <c r="D384" s="18">
        <v>45077</v>
      </c>
      <c r="E384" s="19">
        <v>1.5441478439425051</v>
      </c>
      <c r="F384" s="19">
        <v>5.3812154696132604</v>
      </c>
      <c r="G384" s="17">
        <v>1981.3670316423913</v>
      </c>
      <c r="H384" s="20">
        <v>594.41010949271742</v>
      </c>
    </row>
    <row r="385" spans="1:8" x14ac:dyDescent="0.3">
      <c r="A385" s="16" t="s">
        <v>3780</v>
      </c>
      <c r="B385" s="17">
        <v>206.81333333333336</v>
      </c>
      <c r="C385" s="18">
        <v>45486</v>
      </c>
      <c r="D385" s="18">
        <v>45461</v>
      </c>
      <c r="E385" s="19">
        <v>6.8446269678302529E-2</v>
      </c>
      <c r="F385" s="19">
        <v>5.277543648404575</v>
      </c>
      <c r="G385" s="17">
        <v>74.70680313064419</v>
      </c>
      <c r="H385" s="20">
        <v>22.412040939193258</v>
      </c>
    </row>
    <row r="386" spans="1:8" x14ac:dyDescent="0.3">
      <c r="A386" s="16" t="s">
        <v>3785</v>
      </c>
      <c r="B386" s="17">
        <v>271.64428571428573</v>
      </c>
      <c r="C386" s="18">
        <v>45655</v>
      </c>
      <c r="D386" s="18">
        <v>45604</v>
      </c>
      <c r="E386" s="19">
        <v>0.13963039014373715</v>
      </c>
      <c r="F386" s="19">
        <v>21.887640449438205</v>
      </c>
      <c r="G386" s="17">
        <v>830.1937720706261</v>
      </c>
      <c r="H386" s="20">
        <v>249.05813162118781</v>
      </c>
    </row>
    <row r="387" spans="1:8" x14ac:dyDescent="0.3">
      <c r="A387" s="16" t="s">
        <v>3801</v>
      </c>
      <c r="B387" s="17">
        <v>237.20400000000001</v>
      </c>
      <c r="C387" s="18">
        <v>45628</v>
      </c>
      <c r="D387" s="18">
        <v>45149</v>
      </c>
      <c r="E387" s="19">
        <v>1.3114305270362765</v>
      </c>
      <c r="F387" s="19">
        <v>5.5204987719629699</v>
      </c>
      <c r="G387" s="17">
        <v>1717.2978046476478</v>
      </c>
      <c r="H387" s="20">
        <v>515.18934139429427</v>
      </c>
    </row>
    <row r="388" spans="1:8" x14ac:dyDescent="0.3">
      <c r="A388" s="16" t="s">
        <v>3813</v>
      </c>
      <c r="B388" s="17">
        <v>234.94399999999996</v>
      </c>
      <c r="C388" s="18">
        <v>45612</v>
      </c>
      <c r="D388" s="18">
        <v>45248</v>
      </c>
      <c r="E388" s="19">
        <v>0.99657768651608492</v>
      </c>
      <c r="F388" s="19">
        <v>3.3409558655385316</v>
      </c>
      <c r="G388" s="17">
        <v>782.25123256345739</v>
      </c>
      <c r="H388" s="20">
        <v>234.67536976903722</v>
      </c>
    </row>
    <row r="389" spans="1:8" x14ac:dyDescent="0.3">
      <c r="A389" s="16" t="s">
        <v>3820</v>
      </c>
      <c r="B389" s="17">
        <v>331.09090909090907</v>
      </c>
      <c r="C389" s="18">
        <v>45634</v>
      </c>
      <c r="D389" s="18">
        <v>45372</v>
      </c>
      <c r="E389" s="19">
        <v>0.71731690622861055</v>
      </c>
      <c r="F389" s="19">
        <v>9.0362665167275793</v>
      </c>
      <c r="G389" s="17">
        <v>2146.0871520944615</v>
      </c>
      <c r="H389" s="20">
        <v>643.82614562833839</v>
      </c>
    </row>
    <row r="390" spans="1:8" x14ac:dyDescent="0.3">
      <c r="A390" s="16" t="s">
        <v>3833</v>
      </c>
      <c r="B390" s="17">
        <v>280.5891666666667</v>
      </c>
      <c r="C390" s="18">
        <v>45560</v>
      </c>
      <c r="D390" s="18">
        <v>45234</v>
      </c>
      <c r="E390" s="19">
        <v>0.892539356605065</v>
      </c>
      <c r="F390" s="19">
        <v>8.6173507004177932</v>
      </c>
      <c r="G390" s="17">
        <v>2158.1023740476776</v>
      </c>
      <c r="H390" s="20">
        <v>647.4307122143033</v>
      </c>
    </row>
    <row r="391" spans="1:8" x14ac:dyDescent="0.3">
      <c r="A391" s="16" t="s">
        <v>3847</v>
      </c>
      <c r="B391" s="17">
        <v>290.8</v>
      </c>
      <c r="C391" s="18">
        <v>45646</v>
      </c>
      <c r="D391" s="18">
        <v>45600</v>
      </c>
      <c r="E391" s="19">
        <v>0.12594113620807665</v>
      </c>
      <c r="F391" s="19">
        <v>3.1951886276653907</v>
      </c>
      <c r="G391" s="17">
        <v>117.01957353745215</v>
      </c>
      <c r="H391" s="20">
        <v>35.105872061235644</v>
      </c>
    </row>
    <row r="392" spans="1:8" x14ac:dyDescent="0.3">
      <c r="A392" s="16" t="s">
        <v>3851</v>
      </c>
      <c r="B392" s="17">
        <v>321.3190909090909</v>
      </c>
      <c r="C392" s="18">
        <v>45619</v>
      </c>
      <c r="D392" s="18">
        <v>45160</v>
      </c>
      <c r="E392" s="19">
        <v>1.2566735112936345</v>
      </c>
      <c r="F392" s="19">
        <v>6.2618351841028641</v>
      </c>
      <c r="G392" s="17">
        <v>2528.486405610754</v>
      </c>
      <c r="H392" s="20">
        <v>758.5459216832262</v>
      </c>
    </row>
    <row r="393" spans="1:8" x14ac:dyDescent="0.3">
      <c r="A393" s="16" t="s">
        <v>3864</v>
      </c>
      <c r="B393" s="17">
        <v>252.41</v>
      </c>
      <c r="C393" s="18">
        <v>45654</v>
      </c>
      <c r="D393" s="18">
        <v>45588</v>
      </c>
      <c r="E393" s="19">
        <v>0.1806981519507187</v>
      </c>
      <c r="F393" s="19">
        <v>4.4072398190045252</v>
      </c>
      <c r="G393" s="17">
        <v>201.01429864253396</v>
      </c>
      <c r="H393" s="20">
        <v>60.304289592760185</v>
      </c>
    </row>
    <row r="394" spans="1:8" x14ac:dyDescent="0.3">
      <c r="A394" s="16" t="s">
        <v>3869</v>
      </c>
      <c r="B394" s="17">
        <v>230.91300000000001</v>
      </c>
      <c r="C394" s="18">
        <v>45648</v>
      </c>
      <c r="D394" s="18">
        <v>45417</v>
      </c>
      <c r="E394" s="19">
        <v>0.63244353182751545</v>
      </c>
      <c r="F394" s="19">
        <v>8.830462375339982</v>
      </c>
      <c r="G394" s="17">
        <v>1289.5957207615595</v>
      </c>
      <c r="H394" s="20">
        <v>386.87871622846785</v>
      </c>
    </row>
    <row r="395" spans="1:8" x14ac:dyDescent="0.3">
      <c r="A395" s="16" t="s">
        <v>3881</v>
      </c>
      <c r="B395" s="17">
        <v>251.32166666666669</v>
      </c>
      <c r="C395" s="18">
        <v>45652</v>
      </c>
      <c r="D395" s="18">
        <v>45531</v>
      </c>
      <c r="E395" s="19">
        <v>0.33127994524298426</v>
      </c>
      <c r="F395" s="19">
        <v>7.2177850967476331</v>
      </c>
      <c r="G395" s="17">
        <v>600.93710992177864</v>
      </c>
      <c r="H395" s="20">
        <v>180.2811329765336</v>
      </c>
    </row>
    <row r="396" spans="1:8" x14ac:dyDescent="0.3">
      <c r="A396" s="16" t="s">
        <v>3889</v>
      </c>
      <c r="B396" s="17">
        <v>296.59999999999997</v>
      </c>
      <c r="C396" s="18">
        <v>45625</v>
      </c>
      <c r="D396" s="18">
        <v>45529</v>
      </c>
      <c r="E396" s="19">
        <v>0.26283367556468173</v>
      </c>
      <c r="F396" s="19">
        <v>7.8654104979811574</v>
      </c>
      <c r="G396" s="17">
        <v>613.15962314939441</v>
      </c>
      <c r="H396" s="20">
        <v>183.94788694481832</v>
      </c>
    </row>
    <row r="397" spans="1:8" x14ac:dyDescent="0.3">
      <c r="A397" s="16" t="s">
        <v>3897</v>
      </c>
      <c r="B397" s="17">
        <v>47.17</v>
      </c>
      <c r="C397" s="18">
        <v>45369</v>
      </c>
      <c r="D397" s="18">
        <v>45369</v>
      </c>
      <c r="E397" s="19">
        <v>0</v>
      </c>
      <c r="F397" s="19">
        <v>2</v>
      </c>
      <c r="G397" s="17">
        <v>0</v>
      </c>
      <c r="H397" s="20">
        <v>0</v>
      </c>
    </row>
    <row r="398" spans="1:8" x14ac:dyDescent="0.3">
      <c r="A398" s="16" t="s">
        <v>3900</v>
      </c>
      <c r="B398" s="17">
        <v>326.57499999999999</v>
      </c>
      <c r="C398" s="18">
        <v>45563</v>
      </c>
      <c r="D398" s="18">
        <v>45518</v>
      </c>
      <c r="E398" s="19">
        <v>0.12320328542094455</v>
      </c>
      <c r="F398" s="19">
        <v>6.4184514003294888</v>
      </c>
      <c r="G398" s="17">
        <v>258.24711696869849</v>
      </c>
      <c r="H398" s="20">
        <v>77.474135090609551</v>
      </c>
    </row>
    <row r="399" spans="1:8" x14ac:dyDescent="0.3">
      <c r="A399" s="16" t="s">
        <v>3906</v>
      </c>
      <c r="B399" s="17">
        <v>175.8909090909091</v>
      </c>
      <c r="C399" s="18">
        <v>45581</v>
      </c>
      <c r="D399" s="18">
        <v>45244</v>
      </c>
      <c r="E399" s="19">
        <v>0.92265571526351808</v>
      </c>
      <c r="F399" s="19">
        <v>7.7320182824152042</v>
      </c>
      <c r="G399" s="17">
        <v>1254.8041375992304</v>
      </c>
      <c r="H399" s="20">
        <v>376.44124127976914</v>
      </c>
    </row>
    <row r="400" spans="1:8" x14ac:dyDescent="0.3">
      <c r="A400" s="16" t="s">
        <v>3919</v>
      </c>
      <c r="B400" s="17">
        <v>213.6</v>
      </c>
      <c r="C400" s="18">
        <v>45655</v>
      </c>
      <c r="D400" s="18">
        <v>45593</v>
      </c>
      <c r="E400" s="19">
        <v>0.16974674880219029</v>
      </c>
      <c r="F400" s="19">
        <v>10.451711803781297</v>
      </c>
      <c r="G400" s="17">
        <v>378.95717935615738</v>
      </c>
      <c r="H400" s="20">
        <v>113.68715380684721</v>
      </c>
    </row>
    <row r="401" spans="1:8" x14ac:dyDescent="0.3">
      <c r="A401" s="16" t="s">
        <v>3928</v>
      </c>
      <c r="B401" s="17">
        <v>332.8483333333333</v>
      </c>
      <c r="C401" s="18">
        <v>45604</v>
      </c>
      <c r="D401" s="18">
        <v>45473</v>
      </c>
      <c r="E401" s="19">
        <v>0.35865845311430528</v>
      </c>
      <c r="F401" s="19">
        <v>13.975288959744917</v>
      </c>
      <c r="G401" s="17">
        <v>1668.3541809485846</v>
      </c>
      <c r="H401" s="20">
        <v>500.50625428457533</v>
      </c>
    </row>
    <row r="402" spans="1:8" x14ac:dyDescent="0.3">
      <c r="A402" s="16" t="s">
        <v>3942</v>
      </c>
      <c r="B402" s="17">
        <v>236.655</v>
      </c>
      <c r="C402" s="18">
        <v>45630</v>
      </c>
      <c r="D402" s="18">
        <v>45266</v>
      </c>
      <c r="E402" s="19">
        <v>0.99657768651608492</v>
      </c>
      <c r="F402" s="19">
        <v>2.6727646924308255</v>
      </c>
      <c r="G402" s="17">
        <v>630.35843585639145</v>
      </c>
      <c r="H402" s="20">
        <v>189.10753075691744</v>
      </c>
    </row>
    <row r="403" spans="1:8" x14ac:dyDescent="0.3">
      <c r="A403" s="16" t="s">
        <v>3948</v>
      </c>
      <c r="B403" s="17">
        <v>201.22499999999999</v>
      </c>
      <c r="C403" s="18">
        <v>45645</v>
      </c>
      <c r="D403" s="18">
        <v>45365</v>
      </c>
      <c r="E403" s="19">
        <v>0.76659822039698833</v>
      </c>
      <c r="F403" s="19">
        <v>9.4741961631991352</v>
      </c>
      <c r="G403" s="17">
        <v>1461.4774385301268</v>
      </c>
      <c r="H403" s="20">
        <v>438.44323155903805</v>
      </c>
    </row>
    <row r="404" spans="1:8" x14ac:dyDescent="0.3">
      <c r="A404" s="16" t="s">
        <v>3962</v>
      </c>
      <c r="B404" s="17">
        <v>230.25</v>
      </c>
      <c r="C404" s="18">
        <v>45610</v>
      </c>
      <c r="D404" s="18">
        <v>45610</v>
      </c>
      <c r="E404" s="19">
        <v>0</v>
      </c>
      <c r="F404" s="19">
        <v>2</v>
      </c>
      <c r="G404" s="17">
        <v>0</v>
      </c>
      <c r="H404" s="20">
        <v>0</v>
      </c>
    </row>
    <row r="405" spans="1:8" x14ac:dyDescent="0.3">
      <c r="A405" s="16" t="s">
        <v>3965</v>
      </c>
      <c r="B405" s="17">
        <v>127.825</v>
      </c>
      <c r="C405" s="18">
        <v>45550</v>
      </c>
      <c r="D405" s="18">
        <v>45332</v>
      </c>
      <c r="E405" s="19">
        <v>0.59685147159479812</v>
      </c>
      <c r="F405" s="19">
        <v>1.8234009360374415</v>
      </c>
      <c r="G405" s="17">
        <v>139.11188767550703</v>
      </c>
      <c r="H405" s="20">
        <v>41.733566302652108</v>
      </c>
    </row>
    <row r="406" spans="1:8" x14ac:dyDescent="0.3">
      <c r="A406" s="16" t="s">
        <v>3969</v>
      </c>
      <c r="B406" s="17">
        <v>260.89666666666665</v>
      </c>
      <c r="C406" s="18">
        <v>45643</v>
      </c>
      <c r="D406" s="18">
        <v>45515</v>
      </c>
      <c r="E406" s="19">
        <v>0.35044490075290896</v>
      </c>
      <c r="F406" s="19">
        <v>17.637826961770624</v>
      </c>
      <c r="G406" s="17">
        <v>1612.6248692152917</v>
      </c>
      <c r="H406" s="20">
        <v>483.78746076458748</v>
      </c>
    </row>
    <row r="407" spans="1:8" x14ac:dyDescent="0.3">
      <c r="A407" s="16" t="s">
        <v>3986</v>
      </c>
      <c r="B407" s="17">
        <v>252.53153846153845</v>
      </c>
      <c r="C407" s="18">
        <v>45612</v>
      </c>
      <c r="D407" s="18">
        <v>45173</v>
      </c>
      <c r="E407" s="19">
        <v>1.2019164955509924</v>
      </c>
      <c r="F407" s="19">
        <v>7.638447617132516</v>
      </c>
      <c r="G407" s="17">
        <v>2318.4355358938265</v>
      </c>
      <c r="H407" s="20">
        <v>695.53066076814787</v>
      </c>
    </row>
    <row r="408" spans="1:8" x14ac:dyDescent="0.3">
      <c r="A408" s="16" t="s">
        <v>4001</v>
      </c>
      <c r="B408" s="17">
        <v>211.74500000000003</v>
      </c>
      <c r="C408" s="18">
        <v>45650</v>
      </c>
      <c r="D408" s="18">
        <v>45544</v>
      </c>
      <c r="E408" s="19">
        <v>0.29021218343600275</v>
      </c>
      <c r="F408" s="19">
        <v>17.716760502381984</v>
      </c>
      <c r="G408" s="17">
        <v>1088.7122737115635</v>
      </c>
      <c r="H408" s="20">
        <v>326.61368211346905</v>
      </c>
    </row>
    <row r="409" spans="1:8" x14ac:dyDescent="0.3">
      <c r="A409" s="16" t="s">
        <v>4017</v>
      </c>
      <c r="B409" s="17">
        <v>338.91266666666667</v>
      </c>
      <c r="C409" s="18">
        <v>45655</v>
      </c>
      <c r="D409" s="18">
        <v>45421</v>
      </c>
      <c r="E409" s="19">
        <v>0.64065708418891165</v>
      </c>
      <c r="F409" s="19">
        <v>13.150315031503151</v>
      </c>
      <c r="G409" s="17">
        <v>2855.2858325832585</v>
      </c>
      <c r="H409" s="20">
        <v>856.58574977497756</v>
      </c>
    </row>
    <row r="410" spans="1:8" x14ac:dyDescent="0.3">
      <c r="A410" s="16" t="s">
        <v>4034</v>
      </c>
      <c r="B410" s="17">
        <v>236.33916666666664</v>
      </c>
      <c r="C410" s="18">
        <v>45655</v>
      </c>
      <c r="D410" s="18">
        <v>45584</v>
      </c>
      <c r="E410" s="19">
        <v>0.19438740588637921</v>
      </c>
      <c r="F410" s="19">
        <v>17.281419418432723</v>
      </c>
      <c r="G410" s="17">
        <v>793.93186791522908</v>
      </c>
      <c r="H410" s="20">
        <v>238.17956037456872</v>
      </c>
    </row>
    <row r="411" spans="1:8" x14ac:dyDescent="0.3">
      <c r="A411" s="16" t="s">
        <v>4048</v>
      </c>
      <c r="B411" s="17">
        <v>264.96249999999998</v>
      </c>
      <c r="C411" s="18">
        <v>45645</v>
      </c>
      <c r="D411" s="18">
        <v>45415</v>
      </c>
      <c r="E411" s="19">
        <v>0.62970568104038327</v>
      </c>
      <c r="F411" s="19">
        <v>3.5407452287185706</v>
      </c>
      <c r="G411" s="17">
        <v>590.76764616782793</v>
      </c>
      <c r="H411" s="20">
        <v>177.23029385034837</v>
      </c>
    </row>
    <row r="412" spans="1:8" x14ac:dyDescent="0.3">
      <c r="A412" s="16" t="s">
        <v>4054</v>
      </c>
      <c r="B412" s="17">
        <v>253.58799999999999</v>
      </c>
      <c r="C412" s="18">
        <v>45654</v>
      </c>
      <c r="D412" s="18">
        <v>45549</v>
      </c>
      <c r="E412" s="19">
        <v>0.28747433264887062</v>
      </c>
      <c r="F412" s="19">
        <v>19.04823989569752</v>
      </c>
      <c r="G412" s="17">
        <v>1388.6174706649279</v>
      </c>
      <c r="H412" s="20">
        <v>416.58524119947833</v>
      </c>
    </row>
    <row r="413" spans="1:8" x14ac:dyDescent="0.3">
      <c r="A413" s="16" t="s">
        <v>4071</v>
      </c>
      <c r="B413" s="17">
        <v>443.22500000000002</v>
      </c>
      <c r="C413" s="18">
        <v>45652</v>
      </c>
      <c r="D413" s="18">
        <v>45556</v>
      </c>
      <c r="E413" s="19">
        <v>0.26283367556468173</v>
      </c>
      <c r="F413" s="19">
        <v>2.6218034993270525</v>
      </c>
      <c r="G413" s="17">
        <v>305.42557200538357</v>
      </c>
      <c r="H413" s="20">
        <v>91.627671601615063</v>
      </c>
    </row>
    <row r="414" spans="1:8" x14ac:dyDescent="0.3">
      <c r="A414" s="16" t="s">
        <v>4075</v>
      </c>
      <c r="B414" s="17">
        <v>332.11142857142858</v>
      </c>
      <c r="C414" s="18">
        <v>45569</v>
      </c>
      <c r="D414" s="18">
        <v>45217</v>
      </c>
      <c r="E414" s="19">
        <v>0.96372347707049966</v>
      </c>
      <c r="F414" s="19">
        <v>9.5646481178396066</v>
      </c>
      <c r="G414" s="17">
        <v>3061.2955249006309</v>
      </c>
      <c r="H414" s="20">
        <v>918.38865747018929</v>
      </c>
    </row>
    <row r="415" spans="1:8" x14ac:dyDescent="0.3">
      <c r="A415" s="16" t="s">
        <v>4091</v>
      </c>
      <c r="B415" s="17">
        <v>121.45</v>
      </c>
      <c r="C415" s="18">
        <v>45569</v>
      </c>
      <c r="D415" s="18">
        <v>45569</v>
      </c>
      <c r="E415" s="19">
        <v>0</v>
      </c>
      <c r="F415" s="19">
        <v>2</v>
      </c>
      <c r="G415" s="17">
        <v>0</v>
      </c>
      <c r="H415" s="20">
        <v>0</v>
      </c>
    </row>
    <row r="416" spans="1:8" x14ac:dyDescent="0.3">
      <c r="A416" s="16" t="s">
        <v>4094</v>
      </c>
      <c r="B416" s="17">
        <v>246.87142857142857</v>
      </c>
      <c r="C416" s="18">
        <v>45568</v>
      </c>
      <c r="D416" s="18">
        <v>45203</v>
      </c>
      <c r="E416" s="19">
        <v>0.99931553730321698</v>
      </c>
      <c r="F416" s="19">
        <v>4.6687970782926271</v>
      </c>
      <c r="G416" s="17">
        <v>1151.8036977858937</v>
      </c>
      <c r="H416" s="20">
        <v>345.54110933576811</v>
      </c>
    </row>
    <row r="417" spans="1:8" x14ac:dyDescent="0.3">
      <c r="A417" s="16" t="s">
        <v>4103</v>
      </c>
      <c r="B417" s="17">
        <v>228.79374999999999</v>
      </c>
      <c r="C417" s="18">
        <v>45533</v>
      </c>
      <c r="D417" s="18">
        <v>45055</v>
      </c>
      <c r="E417" s="19">
        <v>1.3086926762491444</v>
      </c>
      <c r="F417" s="19">
        <v>4.4230842005676445</v>
      </c>
      <c r="G417" s="17">
        <v>1324.3629895931883</v>
      </c>
      <c r="H417" s="20">
        <v>397.3088968779565</v>
      </c>
    </row>
    <row r="418" spans="1:8" x14ac:dyDescent="0.3">
      <c r="A418" s="16" t="s">
        <v>4113</v>
      </c>
      <c r="B418" s="17">
        <v>327.58333333333331</v>
      </c>
      <c r="C418" s="18">
        <v>45620</v>
      </c>
      <c r="D418" s="18">
        <v>44947</v>
      </c>
      <c r="E418" s="19">
        <v>1.8425735797399041</v>
      </c>
      <c r="F418" s="19">
        <v>5.1225712198685178</v>
      </c>
      <c r="G418" s="17">
        <v>3091.9655222790357</v>
      </c>
      <c r="H418" s="20">
        <v>927.5896566837107</v>
      </c>
    </row>
    <row r="419" spans="1:8" x14ac:dyDescent="0.3">
      <c r="A419" s="16" t="s">
        <v>4127</v>
      </c>
      <c r="B419" s="17">
        <v>276.60999999999996</v>
      </c>
      <c r="C419" s="18">
        <v>45592</v>
      </c>
      <c r="D419" s="18">
        <v>45304</v>
      </c>
      <c r="E419" s="19">
        <v>0.7885010266940452</v>
      </c>
      <c r="F419" s="19">
        <v>7.7609561752988041</v>
      </c>
      <c r="G419" s="17">
        <v>1692.7209561752984</v>
      </c>
      <c r="H419" s="20">
        <v>507.81628685258949</v>
      </c>
    </row>
    <row r="420" spans="1:8" x14ac:dyDescent="0.3">
      <c r="A420" s="16" t="s">
        <v>4139</v>
      </c>
      <c r="B420" s="17">
        <v>185.30250000000001</v>
      </c>
      <c r="C420" s="18">
        <v>45615</v>
      </c>
      <c r="D420" s="18">
        <v>45071</v>
      </c>
      <c r="E420" s="19">
        <v>1.4893908281998631</v>
      </c>
      <c r="F420" s="19">
        <v>2.0106657491828659</v>
      </c>
      <c r="G420" s="17">
        <v>554.91930500602098</v>
      </c>
      <c r="H420" s="20">
        <v>166.4757915018063</v>
      </c>
    </row>
    <row r="421" spans="1:8" x14ac:dyDescent="0.3">
      <c r="A421" s="16" t="s">
        <v>4145</v>
      </c>
      <c r="B421" s="17">
        <v>348.97800000000007</v>
      </c>
      <c r="C421" s="18">
        <v>45593</v>
      </c>
      <c r="D421" s="18">
        <v>45387</v>
      </c>
      <c r="E421" s="19">
        <v>0.56399726214921286</v>
      </c>
      <c r="F421" s="19">
        <v>4.6992602122869087</v>
      </c>
      <c r="G421" s="17">
        <v>924.92078481826957</v>
      </c>
      <c r="H421" s="20">
        <v>277.47623544548088</v>
      </c>
    </row>
    <row r="422" spans="1:8" x14ac:dyDescent="0.3">
      <c r="A422" s="16" t="s">
        <v>4152</v>
      </c>
      <c r="B422" s="17">
        <v>252.09636363636358</v>
      </c>
      <c r="C422" s="18">
        <v>45653</v>
      </c>
      <c r="D422" s="18">
        <v>45387</v>
      </c>
      <c r="E422" s="19">
        <v>0.72826830937713893</v>
      </c>
      <c r="F422" s="19">
        <v>8.9556979660072447</v>
      </c>
      <c r="G422" s="17">
        <v>1644.2105544719973</v>
      </c>
      <c r="H422" s="20">
        <v>493.26316634159917</v>
      </c>
    </row>
    <row r="423" spans="1:8" x14ac:dyDescent="0.3">
      <c r="A423" s="16" t="s">
        <v>4165</v>
      </c>
      <c r="B423" s="17">
        <v>265.22214285714284</v>
      </c>
      <c r="C423" s="18">
        <v>45656</v>
      </c>
      <c r="D423" s="18">
        <v>45618</v>
      </c>
      <c r="E423" s="19">
        <v>0.10403832991101986</v>
      </c>
      <c r="F423" s="19">
        <v>23.177337110481584</v>
      </c>
      <c r="G423" s="17">
        <v>639.53849291784695</v>
      </c>
      <c r="H423" s="20">
        <v>191.86154787535409</v>
      </c>
    </row>
    <row r="424" spans="1:8" x14ac:dyDescent="0.3">
      <c r="A424" s="16" t="s">
        <v>4181</v>
      </c>
      <c r="B424" s="17">
        <v>260.08249999999998</v>
      </c>
      <c r="C424" s="18">
        <v>45656</v>
      </c>
      <c r="D424" s="18">
        <v>45119</v>
      </c>
      <c r="E424" s="19">
        <v>1.4702258726899384</v>
      </c>
      <c r="F424" s="19">
        <v>6.090672225117248</v>
      </c>
      <c r="G424" s="17">
        <v>2328.9513705054715</v>
      </c>
      <c r="H424" s="20">
        <v>698.68541115164146</v>
      </c>
    </row>
    <row r="425" spans="1:8" x14ac:dyDescent="0.3">
      <c r="A425" s="16" t="s">
        <v>4195</v>
      </c>
      <c r="B425" s="17">
        <v>313.9325</v>
      </c>
      <c r="C425" s="18">
        <v>45625</v>
      </c>
      <c r="D425" s="18">
        <v>45518</v>
      </c>
      <c r="E425" s="19">
        <v>0.29295003422313481</v>
      </c>
      <c r="F425" s="19">
        <v>5.0444540353905918</v>
      </c>
      <c r="G425" s="17">
        <v>463.92096676737162</v>
      </c>
      <c r="H425" s="20">
        <v>139.17629003021148</v>
      </c>
    </row>
    <row r="426" spans="1:8" x14ac:dyDescent="0.3">
      <c r="A426" s="16" t="s">
        <v>4201</v>
      </c>
      <c r="B426" s="17">
        <v>286.28750000000002</v>
      </c>
      <c r="C426" s="18">
        <v>45601</v>
      </c>
      <c r="D426" s="18">
        <v>45143</v>
      </c>
      <c r="E426" s="19">
        <v>1.2539356605065024</v>
      </c>
      <c r="F426" s="19">
        <v>2.2805853658536583</v>
      </c>
      <c r="G426" s="17">
        <v>818.69845853658535</v>
      </c>
      <c r="H426" s="20">
        <v>245.60953756097558</v>
      </c>
    </row>
    <row r="427" spans="1:8" x14ac:dyDescent="0.3">
      <c r="A427" s="16" t="s">
        <v>4207</v>
      </c>
      <c r="B427" s="17">
        <v>299.33538461538461</v>
      </c>
      <c r="C427" s="18">
        <v>45600</v>
      </c>
      <c r="D427" s="18">
        <v>44944</v>
      </c>
      <c r="E427" s="19">
        <v>1.7960301163586585</v>
      </c>
      <c r="F427" s="19">
        <v>5.6619466388433439</v>
      </c>
      <c r="G427" s="17">
        <v>3043.9495125950211</v>
      </c>
      <c r="H427" s="20">
        <v>913.18485377850629</v>
      </c>
    </row>
    <row r="428" spans="1:8" x14ac:dyDescent="0.3">
      <c r="A428" s="16" t="s">
        <v>4222</v>
      </c>
      <c r="B428" s="17">
        <v>53.33</v>
      </c>
      <c r="C428" s="18">
        <v>45302</v>
      </c>
      <c r="D428" s="18">
        <v>45302</v>
      </c>
      <c r="E428" s="19">
        <v>0</v>
      </c>
      <c r="F428" s="19">
        <v>2</v>
      </c>
      <c r="G428" s="17">
        <v>0</v>
      </c>
      <c r="H428" s="20">
        <v>0</v>
      </c>
    </row>
    <row r="429" spans="1:8" x14ac:dyDescent="0.3">
      <c r="A429" s="16" t="s">
        <v>4225</v>
      </c>
      <c r="B429" s="17">
        <v>231.81199999999998</v>
      </c>
      <c r="C429" s="18">
        <v>45655</v>
      </c>
      <c r="D429" s="18">
        <v>45603</v>
      </c>
      <c r="E429" s="19">
        <v>0.14236824093086928</v>
      </c>
      <c r="F429" s="19">
        <v>7.7836973894512518</v>
      </c>
      <c r="G429" s="17">
        <v>256.88277037826316</v>
      </c>
      <c r="H429" s="20">
        <v>77.064831113478945</v>
      </c>
    </row>
    <row r="430" spans="1:8" x14ac:dyDescent="0.3">
      <c r="A430" s="16" t="s">
        <v>4232</v>
      </c>
      <c r="B430" s="17">
        <v>219.66</v>
      </c>
      <c r="C430" s="18">
        <v>45482</v>
      </c>
      <c r="D430" s="18">
        <v>45482</v>
      </c>
      <c r="E430" s="19">
        <v>0</v>
      </c>
      <c r="F430" s="19">
        <v>2</v>
      </c>
      <c r="G430" s="17">
        <v>0</v>
      </c>
      <c r="H430" s="20">
        <v>0</v>
      </c>
    </row>
    <row r="431" spans="1:8" x14ac:dyDescent="0.3">
      <c r="A431" s="16" t="s">
        <v>4235</v>
      </c>
      <c r="B431" s="17">
        <v>231.37357142857144</v>
      </c>
      <c r="C431" s="18">
        <v>45655</v>
      </c>
      <c r="D431" s="18">
        <v>45345</v>
      </c>
      <c r="E431" s="19">
        <v>0.84873374401095136</v>
      </c>
      <c r="F431" s="19">
        <v>10.380106571936057</v>
      </c>
      <c r="G431" s="17">
        <v>2038.3888353209845</v>
      </c>
      <c r="H431" s="20">
        <v>611.51665059629534</v>
      </c>
    </row>
    <row r="432" spans="1:8" x14ac:dyDescent="0.3">
      <c r="A432" s="16" t="s">
        <v>4251</v>
      </c>
      <c r="B432" s="17">
        <v>192.86</v>
      </c>
      <c r="C432" s="18">
        <v>45488</v>
      </c>
      <c r="D432" s="18">
        <v>45465</v>
      </c>
      <c r="E432" s="19">
        <v>6.2970568104038324E-2</v>
      </c>
      <c r="F432" s="19">
        <v>3.5525835866261399</v>
      </c>
      <c r="G432" s="17">
        <v>43.14436474164134</v>
      </c>
      <c r="H432" s="20">
        <v>12.943309422492401</v>
      </c>
    </row>
    <row r="433" spans="1:8" x14ac:dyDescent="0.3">
      <c r="A433" s="16" t="s">
        <v>4255</v>
      </c>
      <c r="B433" s="17">
        <v>309.86357142857145</v>
      </c>
      <c r="C433" s="18">
        <v>45646</v>
      </c>
      <c r="D433" s="18">
        <v>45500</v>
      </c>
      <c r="E433" s="19">
        <v>0.39972621492128679</v>
      </c>
      <c r="F433" s="19">
        <v>15.560289083301635</v>
      </c>
      <c r="G433" s="17">
        <v>1927.3066260935718</v>
      </c>
      <c r="H433" s="20">
        <v>578.19198782807155</v>
      </c>
    </row>
    <row r="434" spans="1:8" x14ac:dyDescent="0.3">
      <c r="A434" s="16" t="s">
        <v>4271</v>
      </c>
      <c r="B434" s="17">
        <v>245.035</v>
      </c>
      <c r="C434" s="18">
        <v>45494</v>
      </c>
      <c r="D434" s="18">
        <v>45076</v>
      </c>
      <c r="E434" s="19">
        <v>1.1444216290212184</v>
      </c>
      <c r="F434" s="19">
        <v>2.4324661810613946</v>
      </c>
      <c r="G434" s="17">
        <v>682.12032466181074</v>
      </c>
      <c r="H434" s="20">
        <v>204.63609739854323</v>
      </c>
    </row>
    <row r="435" spans="1:8" x14ac:dyDescent="0.3">
      <c r="A435" s="16" t="s">
        <v>4277</v>
      </c>
      <c r="B435" s="17">
        <v>306.17555555555549</v>
      </c>
      <c r="C435" s="18">
        <v>45528</v>
      </c>
      <c r="D435" s="18">
        <v>45269</v>
      </c>
      <c r="E435" s="19">
        <v>0.70910335386721424</v>
      </c>
      <c r="F435" s="19">
        <v>7.4435324087178039</v>
      </c>
      <c r="G435" s="17">
        <v>1616.0661647325217</v>
      </c>
      <c r="H435" s="20">
        <v>484.81984941975645</v>
      </c>
    </row>
    <row r="436" spans="1:8" x14ac:dyDescent="0.3">
      <c r="A436" s="16" t="s">
        <v>4288</v>
      </c>
      <c r="B436" s="17">
        <v>254.03200000000001</v>
      </c>
      <c r="C436" s="18">
        <v>45654</v>
      </c>
      <c r="D436" s="18">
        <v>45619</v>
      </c>
      <c r="E436" s="19">
        <v>9.5824777549623541E-2</v>
      </c>
      <c r="F436" s="19">
        <v>16.783457782883403</v>
      </c>
      <c r="G436" s="17">
        <v>408.55232624928215</v>
      </c>
      <c r="H436" s="20">
        <v>122.56569787478463</v>
      </c>
    </row>
    <row r="437" spans="1:8" x14ac:dyDescent="0.3">
      <c r="A437" s="16" t="s">
        <v>4300</v>
      </c>
      <c r="B437" s="17">
        <v>297.72142857142859</v>
      </c>
      <c r="C437" s="18">
        <v>45636</v>
      </c>
      <c r="D437" s="18">
        <v>45256</v>
      </c>
      <c r="E437" s="19">
        <v>1.0403832991101984</v>
      </c>
      <c r="F437" s="19">
        <v>4.5443234836702953</v>
      </c>
      <c r="G437" s="17">
        <v>1407.5787602754945</v>
      </c>
      <c r="H437" s="20">
        <v>422.27362808264832</v>
      </c>
    </row>
    <row r="438" spans="1:8" x14ac:dyDescent="0.3">
      <c r="A438" s="16" t="s">
        <v>4309</v>
      </c>
      <c r="B438" s="17">
        <v>308.1471428571428</v>
      </c>
      <c r="C438" s="18">
        <v>45612</v>
      </c>
      <c r="D438" s="18">
        <v>45523</v>
      </c>
      <c r="E438" s="19">
        <v>0.24366872005475701</v>
      </c>
      <c r="F438" s="19">
        <v>9.4127933732167506</v>
      </c>
      <c r="G438" s="17">
        <v>706.767307869305</v>
      </c>
      <c r="H438" s="20">
        <v>212.03019236079149</v>
      </c>
    </row>
    <row r="439" spans="1:8" x14ac:dyDescent="0.3">
      <c r="A439" s="16" t="s">
        <v>4318</v>
      </c>
      <c r="B439" s="17">
        <v>228.84499999999997</v>
      </c>
      <c r="C439" s="18">
        <v>45656</v>
      </c>
      <c r="D439" s="18">
        <v>45465</v>
      </c>
      <c r="E439" s="19">
        <v>0.5229295003422314</v>
      </c>
      <c r="F439" s="19">
        <v>9.7758447641351616</v>
      </c>
      <c r="G439" s="17">
        <v>1169.8734024757443</v>
      </c>
      <c r="H439" s="20">
        <v>350.96202074272327</v>
      </c>
    </row>
    <row r="440" spans="1:8" x14ac:dyDescent="0.3">
      <c r="A440" s="16" t="s">
        <v>4330</v>
      </c>
      <c r="B440" s="17">
        <v>253.51666666666662</v>
      </c>
      <c r="C440" s="18">
        <v>45621</v>
      </c>
      <c r="D440" s="18">
        <v>45476</v>
      </c>
      <c r="E440" s="19">
        <v>0.39698836413415467</v>
      </c>
      <c r="F440" s="19">
        <v>10.033574971384967</v>
      </c>
      <c r="G440" s="17">
        <v>1009.8107592521935</v>
      </c>
      <c r="H440" s="20">
        <v>302.94322777565804</v>
      </c>
    </row>
    <row r="441" spans="1:8" x14ac:dyDescent="0.3">
      <c r="A441" s="16" t="s">
        <v>4341</v>
      </c>
      <c r="B441" s="17">
        <v>225.27999999999997</v>
      </c>
      <c r="C441" s="18">
        <v>45635</v>
      </c>
      <c r="D441" s="18">
        <v>45461</v>
      </c>
      <c r="E441" s="19">
        <v>0.47638603696098564</v>
      </c>
      <c r="F441" s="19">
        <v>4.0967402733964251</v>
      </c>
      <c r="G441" s="17">
        <v>439.6631756046267</v>
      </c>
      <c r="H441" s="20">
        <v>131.89895268138801</v>
      </c>
    </row>
    <row r="442" spans="1:8" x14ac:dyDescent="0.3">
      <c r="A442" s="16" t="s">
        <v>4347</v>
      </c>
      <c r="B442" s="17">
        <v>283.33571428571429</v>
      </c>
      <c r="C442" s="18">
        <v>45646</v>
      </c>
      <c r="D442" s="18">
        <v>45609</v>
      </c>
      <c r="E442" s="19">
        <v>0.10130047912388775</v>
      </c>
      <c r="F442" s="19">
        <v>11.641434262948207</v>
      </c>
      <c r="G442" s="17">
        <v>334.13295389869097</v>
      </c>
      <c r="H442" s="20">
        <v>100.23988616960729</v>
      </c>
    </row>
    <row r="443" spans="1:8" x14ac:dyDescent="0.3">
      <c r="A443" s="16" t="s">
        <v>4356</v>
      </c>
      <c r="B443" s="17">
        <v>269.14875000000001</v>
      </c>
      <c r="C443" s="18">
        <v>45652</v>
      </c>
      <c r="D443" s="18">
        <v>45611</v>
      </c>
      <c r="E443" s="19">
        <v>0.11225188227241616</v>
      </c>
      <c r="F443" s="19">
        <v>13.066517607602012</v>
      </c>
      <c r="G443" s="17">
        <v>394.77155953046395</v>
      </c>
      <c r="H443" s="20">
        <v>118.43146785913918</v>
      </c>
    </row>
    <row r="444" spans="1:8" x14ac:dyDescent="0.3">
      <c r="A444" s="16" t="s">
        <v>4366</v>
      </c>
      <c r="B444" s="17">
        <v>320.38333333333333</v>
      </c>
      <c r="C444" s="18">
        <v>45645</v>
      </c>
      <c r="D444" s="18">
        <v>45344</v>
      </c>
      <c r="E444" s="19">
        <v>0.82409308692676253</v>
      </c>
      <c r="F444" s="19">
        <v>6.7971051951408628</v>
      </c>
      <c r="G444" s="17">
        <v>1794.6103902817265</v>
      </c>
      <c r="H444" s="20">
        <v>538.38311708451795</v>
      </c>
    </row>
    <row r="445" spans="1:8" x14ac:dyDescent="0.3">
      <c r="A445" s="16" t="s">
        <v>4377</v>
      </c>
      <c r="B445" s="17">
        <v>219.56400000000002</v>
      </c>
      <c r="C445" s="18">
        <v>45649</v>
      </c>
      <c r="D445" s="18">
        <v>45527</v>
      </c>
      <c r="E445" s="19">
        <v>0.33401779603011633</v>
      </c>
      <c r="F445" s="19">
        <v>17.98522773902339</v>
      </c>
      <c r="G445" s="17">
        <v>1319.0057283545343</v>
      </c>
      <c r="H445" s="20">
        <v>395.70171850636029</v>
      </c>
    </row>
    <row r="446" spans="1:8" x14ac:dyDescent="0.3">
      <c r="A446" s="16" t="s">
        <v>4394</v>
      </c>
      <c r="B446" s="17">
        <v>295.93714285714287</v>
      </c>
      <c r="C446" s="18">
        <v>45589</v>
      </c>
      <c r="D446" s="18">
        <v>45393</v>
      </c>
      <c r="E446" s="19">
        <v>0.53661875427789185</v>
      </c>
      <c r="F446" s="19">
        <v>6.7527236711786065</v>
      </c>
      <c r="G446" s="17">
        <v>1072.3691251238033</v>
      </c>
      <c r="H446" s="20">
        <v>321.71073753714097</v>
      </c>
    </row>
    <row r="447" spans="1:8" x14ac:dyDescent="0.3">
      <c r="A447" s="16" t="s">
        <v>4403</v>
      </c>
      <c r="B447" s="17">
        <v>160.48750000000001</v>
      </c>
      <c r="C447" s="18">
        <v>45586</v>
      </c>
      <c r="D447" s="18">
        <v>45189</v>
      </c>
      <c r="E447" s="19">
        <v>1.0869267624914443</v>
      </c>
      <c r="F447" s="19">
        <v>2.5205952124218243</v>
      </c>
      <c r="G447" s="17">
        <v>439.68798792322622</v>
      </c>
      <c r="H447" s="20">
        <v>131.90639637696785</v>
      </c>
    </row>
    <row r="448" spans="1:8" x14ac:dyDescent="0.3">
      <c r="A448" s="16" t="s">
        <v>4409</v>
      </c>
      <c r="B448" s="17">
        <v>256.47428571428571</v>
      </c>
      <c r="C448" s="18">
        <v>45408</v>
      </c>
      <c r="D448" s="18">
        <v>45220</v>
      </c>
      <c r="E448" s="19">
        <v>0.51471594798083509</v>
      </c>
      <c r="F448" s="19">
        <v>6.8984822934232719</v>
      </c>
      <c r="G448" s="17">
        <v>910.67834064080955</v>
      </c>
      <c r="H448" s="20">
        <v>273.20350219224287</v>
      </c>
    </row>
    <row r="449" spans="1:8" x14ac:dyDescent="0.3">
      <c r="A449" s="16" t="s">
        <v>4418</v>
      </c>
      <c r="B449" s="17">
        <v>184.41181818181815</v>
      </c>
      <c r="C449" s="18">
        <v>45625</v>
      </c>
      <c r="D449" s="18">
        <v>45270</v>
      </c>
      <c r="E449" s="19">
        <v>0.97193702943189597</v>
      </c>
      <c r="F449" s="19">
        <v>7.4731457800511505</v>
      </c>
      <c r="G449" s="17">
        <v>1339.4617995814924</v>
      </c>
      <c r="H449" s="20">
        <v>401.83853987444769</v>
      </c>
    </row>
    <row r="450" spans="1:8" x14ac:dyDescent="0.3">
      <c r="A450" s="16" t="s">
        <v>4431</v>
      </c>
      <c r="B450" s="17">
        <v>268.69</v>
      </c>
      <c r="C450" s="18">
        <v>45621</v>
      </c>
      <c r="D450" s="18">
        <v>45328</v>
      </c>
      <c r="E450" s="19">
        <v>0.80219028062970565</v>
      </c>
      <c r="F450" s="19">
        <v>2.3038107752956636</v>
      </c>
      <c r="G450" s="17">
        <v>496.56454139290406</v>
      </c>
      <c r="H450" s="20">
        <v>148.96936241787122</v>
      </c>
    </row>
    <row r="451" spans="1:8" x14ac:dyDescent="0.3">
      <c r="A451" s="16" t="s">
        <v>4436</v>
      </c>
      <c r="B451" s="17">
        <v>257.72214285714284</v>
      </c>
      <c r="C451" s="18">
        <v>45619</v>
      </c>
      <c r="D451" s="18">
        <v>45012</v>
      </c>
      <c r="E451" s="19">
        <v>1.6618754277891854</v>
      </c>
      <c r="F451" s="19">
        <v>6.4758587937312013</v>
      </c>
      <c r="G451" s="17">
        <v>2773.6238974196608</v>
      </c>
      <c r="H451" s="20">
        <v>832.08716922589826</v>
      </c>
    </row>
    <row r="452" spans="1:8" x14ac:dyDescent="0.3">
      <c r="A452" s="16" t="s">
        <v>4452</v>
      </c>
      <c r="B452" s="17">
        <v>314.79727272727274</v>
      </c>
      <c r="C452" s="18">
        <v>45611</v>
      </c>
      <c r="D452" s="18">
        <v>45136</v>
      </c>
      <c r="E452" s="19">
        <v>1.3004791238877482</v>
      </c>
      <c r="F452" s="19">
        <v>6.1094848888044098</v>
      </c>
      <c r="G452" s="17">
        <v>2501.1454096179436</v>
      </c>
      <c r="H452" s="20">
        <v>750.34362288538307</v>
      </c>
    </row>
    <row r="453" spans="1:8" x14ac:dyDescent="0.3">
      <c r="A453" s="16" t="s">
        <v>4465</v>
      </c>
      <c r="B453" s="17">
        <v>337.76499999999999</v>
      </c>
      <c r="C453" s="18">
        <v>45594</v>
      </c>
      <c r="D453" s="18">
        <v>45338</v>
      </c>
      <c r="E453" s="19">
        <v>0.70088980150581792</v>
      </c>
      <c r="F453" s="19">
        <v>1.6654317469364492</v>
      </c>
      <c r="G453" s="17">
        <v>394.26772299800518</v>
      </c>
      <c r="H453" s="20">
        <v>118.28031689940156</v>
      </c>
    </row>
    <row r="454" spans="1:8" x14ac:dyDescent="0.3">
      <c r="A454" s="16" t="s">
        <v>4469</v>
      </c>
      <c r="B454" s="17">
        <v>296.12076923076927</v>
      </c>
      <c r="C454" s="18">
        <v>45656</v>
      </c>
      <c r="D454" s="18">
        <v>45531</v>
      </c>
      <c r="E454" s="19">
        <v>0.34223134839151265</v>
      </c>
      <c r="F454" s="19">
        <v>15.435188947582283</v>
      </c>
      <c r="G454" s="17">
        <v>1564.2299878098336</v>
      </c>
      <c r="H454" s="20">
        <v>469.26899634295006</v>
      </c>
    </row>
    <row r="455" spans="1:8" x14ac:dyDescent="0.3">
      <c r="A455" s="16" t="s">
        <v>4484</v>
      </c>
      <c r="B455" s="17">
        <v>400.17</v>
      </c>
      <c r="C455" s="18">
        <v>45643</v>
      </c>
      <c r="D455" s="18">
        <v>45613</v>
      </c>
      <c r="E455" s="19">
        <v>8.2135523613963035E-2</v>
      </c>
      <c r="F455" s="19">
        <v>3.435626102292769</v>
      </c>
      <c r="G455" s="17">
        <v>112.92275132275132</v>
      </c>
      <c r="H455" s="20">
        <v>33.876825396825396</v>
      </c>
    </row>
    <row r="456" spans="1:8" x14ac:dyDescent="0.3">
      <c r="A456" s="16" t="s">
        <v>4488</v>
      </c>
      <c r="B456" s="17">
        <v>126.215</v>
      </c>
      <c r="C456" s="18">
        <v>45645</v>
      </c>
      <c r="D456" s="18">
        <v>45630</v>
      </c>
      <c r="E456" s="19">
        <v>4.1067761806981518E-2</v>
      </c>
      <c r="F456" s="19">
        <v>7.3927893738140424</v>
      </c>
      <c r="G456" s="17">
        <v>38.319544592030368</v>
      </c>
      <c r="H456" s="20">
        <v>11.49586337760911</v>
      </c>
    </row>
    <row r="457" spans="1:8" x14ac:dyDescent="0.3">
      <c r="A457" s="16" t="s">
        <v>4494</v>
      </c>
      <c r="B457" s="17">
        <v>293.68166666666662</v>
      </c>
      <c r="C457" s="18">
        <v>45641</v>
      </c>
      <c r="D457" s="18">
        <v>45487</v>
      </c>
      <c r="E457" s="19">
        <v>0.42162902121834361</v>
      </c>
      <c r="F457" s="19">
        <v>13.020423319717787</v>
      </c>
      <c r="G457" s="17">
        <v>1612.2501893798737</v>
      </c>
      <c r="H457" s="20">
        <v>483.6750568139621</v>
      </c>
    </row>
    <row r="458" spans="1:8" x14ac:dyDescent="0.3">
      <c r="A458" s="16" t="s">
        <v>4508</v>
      </c>
      <c r="B458" s="17">
        <v>279.01888888888891</v>
      </c>
      <c r="C458" s="18">
        <v>45644</v>
      </c>
      <c r="D458" s="18">
        <v>45314</v>
      </c>
      <c r="E458" s="19">
        <v>0.90349075975359339</v>
      </c>
      <c r="F458" s="19">
        <v>6.4125822970007311</v>
      </c>
      <c r="G458" s="17">
        <v>1616.5542062911484</v>
      </c>
      <c r="H458" s="20">
        <v>484.9662618873445</v>
      </c>
    </row>
    <row r="459" spans="1:8" x14ac:dyDescent="0.3">
      <c r="A459" s="16" t="s">
        <v>4519</v>
      </c>
      <c r="B459" s="17">
        <v>266.38</v>
      </c>
      <c r="C459" s="18">
        <v>45627</v>
      </c>
      <c r="D459" s="18">
        <v>45438</v>
      </c>
      <c r="E459" s="19">
        <v>0.51745379876796715</v>
      </c>
      <c r="F459" s="19">
        <v>3.9313824419778007</v>
      </c>
      <c r="G459" s="17">
        <v>541.89917255297689</v>
      </c>
      <c r="H459" s="20">
        <v>162.56975176589307</v>
      </c>
    </row>
    <row r="460" spans="1:8" x14ac:dyDescent="0.3">
      <c r="A460" s="16" t="s">
        <v>4525</v>
      </c>
      <c r="B460" s="17">
        <v>243.38</v>
      </c>
      <c r="C460" s="18">
        <v>45655</v>
      </c>
      <c r="D460" s="18">
        <v>45230</v>
      </c>
      <c r="E460" s="19">
        <v>1.1635865845311431</v>
      </c>
      <c r="F460" s="19">
        <v>5.4099979428101213</v>
      </c>
      <c r="G460" s="17">
        <v>1532.0773503394364</v>
      </c>
      <c r="H460" s="20">
        <v>459.62320510183093</v>
      </c>
    </row>
    <row r="461" spans="1:8" x14ac:dyDescent="0.3">
      <c r="A461" s="16" t="s">
        <v>4536</v>
      </c>
      <c r="B461" s="17">
        <v>185.154</v>
      </c>
      <c r="C461" s="18">
        <v>45632</v>
      </c>
      <c r="D461" s="18">
        <v>45549</v>
      </c>
      <c r="E461" s="19">
        <v>0.22724161533196441</v>
      </c>
      <c r="F461" s="19">
        <v>6.8752941176470586</v>
      </c>
      <c r="G461" s="17">
        <v>289.27589647058824</v>
      </c>
      <c r="H461" s="20">
        <v>86.782768941176471</v>
      </c>
    </row>
    <row r="462" spans="1:8" x14ac:dyDescent="0.3">
      <c r="A462" s="16" t="s">
        <v>4543</v>
      </c>
      <c r="B462" s="17">
        <v>200.23000000000002</v>
      </c>
      <c r="C462" s="18">
        <v>45638</v>
      </c>
      <c r="D462" s="18">
        <v>44994</v>
      </c>
      <c r="E462" s="19">
        <v>1.7631759069130732</v>
      </c>
      <c r="F462" s="19">
        <v>3.9767125359141091</v>
      </c>
      <c r="G462" s="17">
        <v>1403.9414244669592</v>
      </c>
      <c r="H462" s="20">
        <v>421.18242734008777</v>
      </c>
    </row>
    <row r="463" spans="1:8" x14ac:dyDescent="0.3">
      <c r="A463" s="16" t="s">
        <v>4554</v>
      </c>
      <c r="B463" s="17">
        <v>235.40833333333333</v>
      </c>
      <c r="C463" s="18">
        <v>45654</v>
      </c>
      <c r="D463" s="18">
        <v>45550</v>
      </c>
      <c r="E463" s="19">
        <v>0.28473648186173856</v>
      </c>
      <c r="F463" s="19">
        <v>15.291757522895768</v>
      </c>
      <c r="G463" s="17">
        <v>1024.9964238988225</v>
      </c>
      <c r="H463" s="20">
        <v>307.49892716964672</v>
      </c>
    </row>
    <row r="464" spans="1:8" x14ac:dyDescent="0.3">
      <c r="A464" s="16" t="s">
        <v>4568</v>
      </c>
      <c r="B464" s="17">
        <v>285.95999999999998</v>
      </c>
      <c r="C464" s="18">
        <v>45537</v>
      </c>
      <c r="D464" s="18">
        <v>45034</v>
      </c>
      <c r="E464" s="19">
        <v>1.377138945927447</v>
      </c>
      <c r="F464" s="19">
        <v>7.9908842297174107</v>
      </c>
      <c r="G464" s="17">
        <v>3146.8633728350042</v>
      </c>
      <c r="H464" s="20">
        <v>944.05901185050118</v>
      </c>
    </row>
    <row r="465" spans="1:8" x14ac:dyDescent="0.3">
      <c r="A465" s="16" t="s">
        <v>4585</v>
      </c>
      <c r="B465" s="17">
        <v>233.13555555555558</v>
      </c>
      <c r="C465" s="18">
        <v>45650</v>
      </c>
      <c r="D465" s="18">
        <v>45471</v>
      </c>
      <c r="E465" s="19">
        <v>0.49007529089664614</v>
      </c>
      <c r="F465" s="19">
        <v>9.0902177670238498</v>
      </c>
      <c r="G465" s="17">
        <v>1038.5935153819564</v>
      </c>
      <c r="H465" s="20">
        <v>311.5780546145869</v>
      </c>
    </row>
    <row r="466" spans="1:8" x14ac:dyDescent="0.3">
      <c r="A466" s="16" t="s">
        <v>4596</v>
      </c>
      <c r="B466" s="17">
        <v>280.59571428571428</v>
      </c>
      <c r="C466" s="18">
        <v>45654</v>
      </c>
      <c r="D466" s="18">
        <v>45409</v>
      </c>
      <c r="E466" s="19">
        <v>0.67077344284736484</v>
      </c>
      <c r="F466" s="19">
        <v>11.957907044723765</v>
      </c>
      <c r="G466" s="17">
        <v>2250.6712657117801</v>
      </c>
      <c r="H466" s="20">
        <v>675.20137971353404</v>
      </c>
    </row>
    <row r="467" spans="1:8" x14ac:dyDescent="0.3">
      <c r="A467" s="16" t="s">
        <v>4612</v>
      </c>
      <c r="B467" s="17">
        <v>260.38857142857142</v>
      </c>
      <c r="C467" s="18">
        <v>45569</v>
      </c>
      <c r="D467" s="18">
        <v>45213</v>
      </c>
      <c r="E467" s="19">
        <v>0.97467488021902804</v>
      </c>
      <c r="F467" s="19">
        <v>4.7468090044093758</v>
      </c>
      <c r="G467" s="17">
        <v>1204.7125922487814</v>
      </c>
      <c r="H467" s="20">
        <v>361.41377767463445</v>
      </c>
    </row>
    <row r="468" spans="1:8" x14ac:dyDescent="0.3">
      <c r="A468" s="16" t="s">
        <v>4621</v>
      </c>
      <c r="B468" s="17">
        <v>189.77076923076922</v>
      </c>
      <c r="C468" s="18">
        <v>45622</v>
      </c>
      <c r="D468" s="18">
        <v>45375</v>
      </c>
      <c r="E468" s="19">
        <v>0.67624914442162898</v>
      </c>
      <c r="F468" s="19">
        <v>11.052080302589468</v>
      </c>
      <c r="G468" s="17">
        <v>1418.3391096886819</v>
      </c>
      <c r="H468" s="20">
        <v>425.50173290660456</v>
      </c>
    </row>
    <row r="469" spans="1:8" x14ac:dyDescent="0.3">
      <c r="A469" s="16" t="s">
        <v>4636</v>
      </c>
      <c r="B469" s="17">
        <v>177.30714285714285</v>
      </c>
      <c r="C469" s="18">
        <v>45656</v>
      </c>
      <c r="D469" s="18">
        <v>45581</v>
      </c>
      <c r="E469" s="19">
        <v>0.20533880903490759</v>
      </c>
      <c r="F469" s="19">
        <v>9.9243085880640471</v>
      </c>
      <c r="G469" s="17">
        <v>361.32459970887913</v>
      </c>
      <c r="H469" s="20">
        <v>108.39737991266374</v>
      </c>
    </row>
    <row r="470" spans="1:8" x14ac:dyDescent="0.3">
      <c r="A470" s="16" t="s">
        <v>4645</v>
      </c>
      <c r="B470" s="17">
        <v>263.93714285714287</v>
      </c>
      <c r="C470" s="18">
        <v>45519</v>
      </c>
      <c r="D470" s="18">
        <v>45219</v>
      </c>
      <c r="E470" s="19">
        <v>0.82135523613963035</v>
      </c>
      <c r="F470" s="19">
        <v>5.297591297591298</v>
      </c>
      <c r="G470" s="17">
        <v>1148.4444444444446</v>
      </c>
      <c r="H470" s="20">
        <v>344.53333333333336</v>
      </c>
    </row>
    <row r="471" spans="1:8" x14ac:dyDescent="0.3">
      <c r="A471" s="16" t="s">
        <v>4654</v>
      </c>
      <c r="B471" s="17">
        <v>286.59785714285715</v>
      </c>
      <c r="C471" s="18">
        <v>45654</v>
      </c>
      <c r="D471" s="18">
        <v>44958</v>
      </c>
      <c r="E471" s="19">
        <v>1.9055441478439425</v>
      </c>
      <c r="F471" s="19">
        <v>5.8198890311566371</v>
      </c>
      <c r="G471" s="17">
        <v>3178.3861374306448</v>
      </c>
      <c r="H471" s="20">
        <v>953.51584122919337</v>
      </c>
    </row>
    <row r="472" spans="1:8" x14ac:dyDescent="0.3">
      <c r="A472" s="16" t="s">
        <v>4670</v>
      </c>
      <c r="B472" s="17">
        <v>186.97166666666666</v>
      </c>
      <c r="C472" s="18">
        <v>45622</v>
      </c>
      <c r="D472" s="18">
        <v>45378</v>
      </c>
      <c r="E472" s="19">
        <v>0.66803559206023266</v>
      </c>
      <c r="F472" s="19">
        <v>5.1368297685320838</v>
      </c>
      <c r="G472" s="17">
        <v>641.60918839730448</v>
      </c>
      <c r="H472" s="20">
        <v>192.48275651919133</v>
      </c>
    </row>
    <row r="473" spans="1:8" x14ac:dyDescent="0.3">
      <c r="A473" s="16" t="s">
        <v>4678</v>
      </c>
      <c r="B473" s="17">
        <v>242.42357142857142</v>
      </c>
      <c r="C473" s="18">
        <v>45636</v>
      </c>
      <c r="D473" s="18">
        <v>44966</v>
      </c>
      <c r="E473" s="19">
        <v>1.8343600273785079</v>
      </c>
      <c r="F473" s="19">
        <v>5.9973610907491572</v>
      </c>
      <c r="G473" s="17">
        <v>2666.9791526169183</v>
      </c>
      <c r="H473" s="20">
        <v>800.0937457850755</v>
      </c>
    </row>
    <row r="474" spans="1:8" x14ac:dyDescent="0.3">
      <c r="A474" s="16" t="s">
        <v>4694</v>
      </c>
      <c r="B474" s="17">
        <v>170.375</v>
      </c>
      <c r="C474" s="18">
        <v>45644</v>
      </c>
      <c r="D474" s="18">
        <v>45435</v>
      </c>
      <c r="E474" s="19">
        <v>0.57221081451060918</v>
      </c>
      <c r="F474" s="19">
        <v>3.7306096393233319</v>
      </c>
      <c r="G474" s="17">
        <v>363.69869135014358</v>
      </c>
      <c r="H474" s="20">
        <v>109.10960740504306</v>
      </c>
    </row>
    <row r="475" spans="1:8" x14ac:dyDescent="0.3">
      <c r="A475" s="16" t="s">
        <v>4700</v>
      </c>
      <c r="B475" s="17">
        <v>318.73199999999997</v>
      </c>
      <c r="C475" s="18">
        <v>45645</v>
      </c>
      <c r="D475" s="18">
        <v>45596</v>
      </c>
      <c r="E475" s="19">
        <v>0.13415468856947296</v>
      </c>
      <c r="F475" s="19">
        <v>7.8845116028062598</v>
      </c>
      <c r="G475" s="17">
        <v>337.1369239071775</v>
      </c>
      <c r="H475" s="20">
        <v>101.14107717215325</v>
      </c>
    </row>
    <row r="476" spans="1:8" x14ac:dyDescent="0.3">
      <c r="A476" s="16" t="s">
        <v>4707</v>
      </c>
      <c r="B476" s="17">
        <v>243.90749999999997</v>
      </c>
      <c r="C476" s="18">
        <v>45420</v>
      </c>
      <c r="D476" s="18">
        <v>45243</v>
      </c>
      <c r="E476" s="19">
        <v>0.48459958932238195</v>
      </c>
      <c r="F476" s="19">
        <v>4.0625651720542226</v>
      </c>
      <c r="G476" s="17">
        <v>480.18494264859214</v>
      </c>
      <c r="H476" s="20">
        <v>144.05548279457764</v>
      </c>
    </row>
    <row r="477" spans="1:8" x14ac:dyDescent="0.3">
      <c r="A477" s="16" t="s">
        <v>4713</v>
      </c>
      <c r="B477" s="17">
        <v>348.62</v>
      </c>
      <c r="C477" s="18">
        <v>45649</v>
      </c>
      <c r="D477" s="18">
        <v>45524</v>
      </c>
      <c r="E477" s="19">
        <v>0.34223134839151265</v>
      </c>
      <c r="F477" s="19">
        <v>13.060544494108086</v>
      </c>
      <c r="G477" s="17">
        <v>1558.2364892320195</v>
      </c>
      <c r="H477" s="20">
        <v>467.4709467696058</v>
      </c>
    </row>
    <row r="478" spans="1:8" x14ac:dyDescent="0.3">
      <c r="A478" s="16" t="s">
        <v>4726</v>
      </c>
      <c r="B478" s="17">
        <v>280.99333333333328</v>
      </c>
      <c r="C478" s="18">
        <v>45653</v>
      </c>
      <c r="D478" s="18">
        <v>45597</v>
      </c>
      <c r="E478" s="19">
        <v>0.15331964407939766</v>
      </c>
      <c r="F478" s="19">
        <v>9.1838658983761121</v>
      </c>
      <c r="G478" s="17">
        <v>395.65745416448385</v>
      </c>
      <c r="H478" s="20">
        <v>118.69723624934515</v>
      </c>
    </row>
    <row r="479" spans="1:8" x14ac:dyDescent="0.3">
      <c r="A479" s="16" t="s">
        <v>4734</v>
      </c>
      <c r="B479" s="17">
        <v>248.8073333333333</v>
      </c>
      <c r="C479" s="18">
        <v>45651</v>
      </c>
      <c r="D479" s="18">
        <v>45469</v>
      </c>
      <c r="E479" s="19">
        <v>0.49828884325804246</v>
      </c>
      <c r="F479" s="19">
        <v>15.025711347274596</v>
      </c>
      <c r="G479" s="17">
        <v>1862.8564141240997</v>
      </c>
      <c r="H479" s="20">
        <v>558.85692423722992</v>
      </c>
    </row>
    <row r="480" spans="1:8" x14ac:dyDescent="0.3">
      <c r="A480" s="16" t="s">
        <v>4751</v>
      </c>
      <c r="B480" s="17">
        <v>272.09800000000001</v>
      </c>
      <c r="C480" s="18">
        <v>45653</v>
      </c>
      <c r="D480" s="18">
        <v>45586</v>
      </c>
      <c r="E480" s="19">
        <v>0.1834360027378508</v>
      </c>
      <c r="F480" s="19">
        <v>21.947921882824236</v>
      </c>
      <c r="G480" s="17">
        <v>1095.4771757636454</v>
      </c>
      <c r="H480" s="20">
        <v>328.64315272909363</v>
      </c>
    </row>
    <row r="481" spans="1:8" x14ac:dyDescent="0.3">
      <c r="A481" s="16" t="s">
        <v>4768</v>
      </c>
      <c r="B481" s="17">
        <v>155.41125</v>
      </c>
      <c r="C481" s="18">
        <v>45619</v>
      </c>
      <c r="D481" s="18">
        <v>45229</v>
      </c>
      <c r="E481" s="19">
        <v>1.0677618069815196</v>
      </c>
      <c r="F481" s="19">
        <v>5.1028159790438767</v>
      </c>
      <c r="G481" s="17">
        <v>846.77249508840862</v>
      </c>
      <c r="H481" s="20">
        <v>254.03174852652256</v>
      </c>
    </row>
    <row r="482" spans="1:8" x14ac:dyDescent="0.3">
      <c r="A482" s="16" t="s">
        <v>4778</v>
      </c>
      <c r="B482" s="17">
        <v>412.35</v>
      </c>
      <c r="C482" s="18">
        <v>45603</v>
      </c>
      <c r="D482" s="18">
        <v>45603</v>
      </c>
      <c r="E482" s="19">
        <v>0</v>
      </c>
      <c r="F482" s="19">
        <v>2</v>
      </c>
      <c r="G482" s="17">
        <v>0</v>
      </c>
      <c r="H482" s="20">
        <v>0</v>
      </c>
    </row>
    <row r="483" spans="1:8" x14ac:dyDescent="0.3">
      <c r="A483" s="16" t="s">
        <v>4781</v>
      </c>
      <c r="B483" s="17">
        <v>247.505</v>
      </c>
      <c r="C483" s="18">
        <v>45656</v>
      </c>
      <c r="D483" s="18">
        <v>45580</v>
      </c>
      <c r="E483" s="19">
        <v>0.20807665982203971</v>
      </c>
      <c r="F483" s="19">
        <v>11.298211696471725</v>
      </c>
      <c r="G483" s="17">
        <v>581.8580570323827</v>
      </c>
      <c r="H483" s="20">
        <v>174.55741710971481</v>
      </c>
    </row>
    <row r="484" spans="1:8" x14ac:dyDescent="0.3">
      <c r="A484" s="16" t="s">
        <v>4791</v>
      </c>
      <c r="B484" s="17">
        <v>204.86333333333332</v>
      </c>
      <c r="C484" s="18">
        <v>45493</v>
      </c>
      <c r="D484" s="18">
        <v>44998</v>
      </c>
      <c r="E484" s="19">
        <v>1.3552361396303902</v>
      </c>
      <c r="F484" s="19">
        <v>1.6170448256779191</v>
      </c>
      <c r="G484" s="17">
        <v>448.95340343110126</v>
      </c>
      <c r="H484" s="20">
        <v>134.68602102933036</v>
      </c>
    </row>
    <row r="485" spans="1:8" x14ac:dyDescent="0.3">
      <c r="A485" s="16" t="s">
        <v>4796</v>
      </c>
      <c r="B485" s="17">
        <v>428.76333333333332</v>
      </c>
      <c r="C485" s="18">
        <v>45653</v>
      </c>
      <c r="D485" s="18">
        <v>45608</v>
      </c>
      <c r="E485" s="19">
        <v>0.12320328542094455</v>
      </c>
      <c r="F485" s="19">
        <v>4.8138385502471168</v>
      </c>
      <c r="G485" s="17">
        <v>254.29126853377264</v>
      </c>
      <c r="H485" s="20">
        <v>76.287380560131794</v>
      </c>
    </row>
    <row r="486" spans="1:8" x14ac:dyDescent="0.3">
      <c r="A486" s="16" t="s">
        <v>4801</v>
      </c>
      <c r="B486" s="17">
        <v>296.95199999999994</v>
      </c>
      <c r="C486" s="18">
        <v>45569</v>
      </c>
      <c r="D486" s="18">
        <v>45107</v>
      </c>
      <c r="E486" s="19">
        <v>1.2648870636550309</v>
      </c>
      <c r="F486" s="19">
        <v>5.66608493310064</v>
      </c>
      <c r="G486" s="17">
        <v>2128.2423734729491</v>
      </c>
      <c r="H486" s="20">
        <v>638.47271204188473</v>
      </c>
    </row>
    <row r="487" spans="1:8" x14ac:dyDescent="0.3">
      <c r="A487" s="16" t="s">
        <v>4813</v>
      </c>
      <c r="B487" s="17">
        <v>288.25200000000001</v>
      </c>
      <c r="C487" s="18">
        <v>45644</v>
      </c>
      <c r="D487" s="18">
        <v>45136</v>
      </c>
      <c r="E487" s="19">
        <v>1.3908281998631074</v>
      </c>
      <c r="F487" s="19">
        <v>5.2886877828054306</v>
      </c>
      <c r="G487" s="17">
        <v>2120.2825846153846</v>
      </c>
      <c r="H487" s="20">
        <v>636.08477538461534</v>
      </c>
    </row>
    <row r="488" spans="1:8" x14ac:dyDescent="0.3">
      <c r="A488" s="16" t="s">
        <v>4825</v>
      </c>
      <c r="B488" s="17">
        <v>257.55888888888887</v>
      </c>
      <c r="C488" s="18">
        <v>45624</v>
      </c>
      <c r="D488" s="18">
        <v>45114</v>
      </c>
      <c r="E488" s="19">
        <v>1.3963039014373717</v>
      </c>
      <c r="F488" s="19">
        <v>4.7460747157552783</v>
      </c>
      <c r="G488" s="17">
        <v>1706.8331348132103</v>
      </c>
      <c r="H488" s="20">
        <v>512.04994044396312</v>
      </c>
    </row>
    <row r="489" spans="1:8" x14ac:dyDescent="0.3">
      <c r="A489" s="16" t="s">
        <v>4836</v>
      </c>
      <c r="B489" s="17">
        <v>358.97</v>
      </c>
      <c r="C489" s="18">
        <v>45443</v>
      </c>
      <c r="D489" s="18">
        <v>45443</v>
      </c>
      <c r="E489" s="19">
        <v>0</v>
      </c>
      <c r="F489" s="19">
        <v>2</v>
      </c>
      <c r="G489" s="17">
        <v>0</v>
      </c>
      <c r="H489" s="20">
        <v>0</v>
      </c>
    </row>
    <row r="490" spans="1:8" x14ac:dyDescent="0.3">
      <c r="A490" s="16" t="s">
        <v>4839</v>
      </c>
      <c r="B490" s="17">
        <v>202.74166666666665</v>
      </c>
      <c r="C490" s="18">
        <v>45623</v>
      </c>
      <c r="D490" s="18">
        <v>45510</v>
      </c>
      <c r="E490" s="19">
        <v>0.30937713894592744</v>
      </c>
      <c r="F490" s="19">
        <v>14.826215644820296</v>
      </c>
      <c r="G490" s="17">
        <v>929.95416490486241</v>
      </c>
      <c r="H490" s="20">
        <v>278.98624947145873</v>
      </c>
    </row>
    <row r="491" spans="1:8" x14ac:dyDescent="0.3">
      <c r="A491" s="16" t="s">
        <v>4853</v>
      </c>
      <c r="B491" s="17">
        <v>284.94181818181818</v>
      </c>
      <c r="C491" s="18">
        <v>45613</v>
      </c>
      <c r="D491" s="18">
        <v>45094</v>
      </c>
      <c r="E491" s="19">
        <v>1.4209445585215605</v>
      </c>
      <c r="F491" s="19">
        <v>5.726349545697488</v>
      </c>
      <c r="G491" s="17">
        <v>2318.5217744521647</v>
      </c>
      <c r="H491" s="20">
        <v>695.55653233564942</v>
      </c>
    </row>
    <row r="492" spans="1:8" x14ac:dyDescent="0.3">
      <c r="A492" s="16" t="s">
        <v>4866</v>
      </c>
      <c r="B492" s="17">
        <v>406.46</v>
      </c>
      <c r="C492" s="18">
        <v>45604</v>
      </c>
      <c r="D492" s="18">
        <v>45604</v>
      </c>
      <c r="E492" s="19">
        <v>0</v>
      </c>
      <c r="F492" s="19">
        <v>2</v>
      </c>
      <c r="G492" s="17">
        <v>0</v>
      </c>
      <c r="H492" s="20">
        <v>0</v>
      </c>
    </row>
    <row r="493" spans="1:8" x14ac:dyDescent="0.3">
      <c r="A493" s="16" t="s">
        <v>4869</v>
      </c>
      <c r="B493" s="17">
        <v>239.71875</v>
      </c>
      <c r="C493" s="18">
        <v>45655</v>
      </c>
      <c r="D493" s="18">
        <v>45542</v>
      </c>
      <c r="E493" s="19">
        <v>0.30937713894592744</v>
      </c>
      <c r="F493" s="19">
        <v>9.8841437632135314</v>
      </c>
      <c r="G493" s="17">
        <v>733.04270613107826</v>
      </c>
      <c r="H493" s="20">
        <v>219.91281183932347</v>
      </c>
    </row>
    <row r="494" spans="1:8" x14ac:dyDescent="0.3">
      <c r="A494" s="16" t="s">
        <v>4879</v>
      </c>
      <c r="B494" s="17">
        <v>244.67333333333337</v>
      </c>
      <c r="C494" s="18">
        <v>45652</v>
      </c>
      <c r="D494" s="18">
        <v>45528</v>
      </c>
      <c r="E494" s="19">
        <v>0.33949349760438058</v>
      </c>
      <c r="F494" s="19">
        <v>7.1471667346106802</v>
      </c>
      <c r="G494" s="17">
        <v>593.67944557684473</v>
      </c>
      <c r="H494" s="20">
        <v>178.1038336730534</v>
      </c>
    </row>
    <row r="495" spans="1:8" x14ac:dyDescent="0.3">
      <c r="A495" s="16" t="s">
        <v>4887</v>
      </c>
      <c r="B495" s="17">
        <v>245.702</v>
      </c>
      <c r="C495" s="18">
        <v>45609</v>
      </c>
      <c r="D495" s="18">
        <v>45299</v>
      </c>
      <c r="E495" s="19">
        <v>0.84873374401095136</v>
      </c>
      <c r="F495" s="19">
        <v>3.707180918548592</v>
      </c>
      <c r="G495" s="17">
        <v>773.07911697538702</v>
      </c>
      <c r="H495" s="20">
        <v>231.92373509261608</v>
      </c>
    </row>
    <row r="496" spans="1:8" x14ac:dyDescent="0.3">
      <c r="A496" s="16" t="s">
        <v>4894</v>
      </c>
      <c r="B496" s="17">
        <v>297.28000000000003</v>
      </c>
      <c r="C496" s="18">
        <v>45627</v>
      </c>
      <c r="D496" s="18">
        <v>45589</v>
      </c>
      <c r="E496" s="19">
        <v>0.10403832991101986</v>
      </c>
      <c r="F496" s="19">
        <v>6.6220963172804526</v>
      </c>
      <c r="G496" s="17">
        <v>204.81160339943344</v>
      </c>
      <c r="H496" s="20">
        <v>61.443481019830031</v>
      </c>
    </row>
    <row r="497" spans="1:8" x14ac:dyDescent="0.3">
      <c r="A497" s="16" t="s">
        <v>4900</v>
      </c>
      <c r="B497" s="17">
        <v>225.39000000000001</v>
      </c>
      <c r="C497" s="18">
        <v>45609</v>
      </c>
      <c r="D497" s="18">
        <v>45265</v>
      </c>
      <c r="E497" s="19">
        <v>0.94182067077344289</v>
      </c>
      <c r="F497" s="19">
        <v>6.9356752907666746</v>
      </c>
      <c r="G497" s="17">
        <v>1472.2840731070498</v>
      </c>
      <c r="H497" s="20">
        <v>441.68522193211493</v>
      </c>
    </row>
    <row r="498" spans="1:8" x14ac:dyDescent="0.3">
      <c r="A498" s="16" t="s">
        <v>4912</v>
      </c>
      <c r="B498" s="17">
        <v>193.14833333333331</v>
      </c>
      <c r="C498" s="18">
        <v>45606</v>
      </c>
      <c r="D498" s="18">
        <v>45289</v>
      </c>
      <c r="E498" s="19">
        <v>0.86789869952087606</v>
      </c>
      <c r="F498" s="19">
        <v>8.7725794345759311</v>
      </c>
      <c r="G498" s="17">
        <v>1470.5754515886913</v>
      </c>
      <c r="H498" s="20">
        <v>441.17263547660735</v>
      </c>
    </row>
    <row r="499" spans="1:8" x14ac:dyDescent="0.3">
      <c r="A499" s="16" t="s">
        <v>4926</v>
      </c>
      <c r="B499" s="17">
        <v>269.06</v>
      </c>
      <c r="C499" s="18">
        <v>45574</v>
      </c>
      <c r="D499" s="18">
        <v>45574</v>
      </c>
      <c r="E499" s="19">
        <v>0</v>
      </c>
      <c r="F499" s="19">
        <v>2</v>
      </c>
      <c r="G499" s="17">
        <v>0</v>
      </c>
      <c r="H499" s="20">
        <v>0</v>
      </c>
    </row>
    <row r="500" spans="1:8" x14ac:dyDescent="0.3">
      <c r="A500" s="16" t="s">
        <v>4929</v>
      </c>
      <c r="B500" s="17">
        <v>258.41800000000001</v>
      </c>
      <c r="C500" s="18">
        <v>45638</v>
      </c>
      <c r="D500" s="18">
        <v>45280</v>
      </c>
      <c r="E500" s="19">
        <v>0.98015058179329229</v>
      </c>
      <c r="F500" s="19">
        <v>10.134104046242774</v>
      </c>
      <c r="G500" s="17">
        <v>2566.852550289017</v>
      </c>
      <c r="H500" s="20">
        <v>770.05576508670504</v>
      </c>
    </row>
    <row r="501" spans="1:8" x14ac:dyDescent="0.3">
      <c r="A501" s="21" t="s">
        <v>4946</v>
      </c>
      <c r="B501" s="22">
        <v>233.38799999999998</v>
      </c>
      <c r="C501" s="23">
        <v>45586</v>
      </c>
      <c r="D501" s="23">
        <v>45501</v>
      </c>
      <c r="E501" s="24">
        <v>0.2327173169062286</v>
      </c>
      <c r="F501" s="24">
        <v>6.8239140588510034</v>
      </c>
      <c r="G501" s="22">
        <v>370.63017281644085</v>
      </c>
      <c r="H501" s="25">
        <v>111.18905184493225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BC398-2C92-492E-8D60-B0AF12803D37}">
  <dimension ref="A1:G7"/>
  <sheetViews>
    <sheetView tabSelected="1" workbookViewId="0">
      <selection activeCell="G9" sqref="G9"/>
    </sheetView>
  </sheetViews>
  <sheetFormatPr defaultRowHeight="14.4" x14ac:dyDescent="0.3"/>
  <cols>
    <col min="1" max="7" width="20.77734375" customWidth="1"/>
  </cols>
  <sheetData>
    <row r="1" spans="1:7" ht="15" thickBot="1" x14ac:dyDescent="0.35">
      <c r="A1" s="37" t="s">
        <v>4978</v>
      </c>
      <c r="B1" s="38" t="s">
        <v>4979</v>
      </c>
      <c r="C1" s="38" t="s">
        <v>4980</v>
      </c>
      <c r="D1" s="38" t="s">
        <v>4974</v>
      </c>
      <c r="E1" s="38" t="s">
        <v>4975</v>
      </c>
      <c r="F1" s="38" t="s">
        <v>4976</v>
      </c>
      <c r="G1" s="38" t="s">
        <v>4977</v>
      </c>
    </row>
    <row r="2" spans="1:7" ht="15" thickBot="1" x14ac:dyDescent="0.35">
      <c r="A2" s="39" t="s">
        <v>4969</v>
      </c>
      <c r="B2" s="40">
        <v>101</v>
      </c>
      <c r="C2" s="41">
        <v>0.20200000000000001</v>
      </c>
      <c r="D2" s="40" t="s">
        <v>4981</v>
      </c>
      <c r="E2" s="40" t="s">
        <v>4982</v>
      </c>
      <c r="F2" s="40" t="s">
        <v>4983</v>
      </c>
      <c r="G2" s="40" t="s">
        <v>4984</v>
      </c>
    </row>
    <row r="3" spans="1:7" ht="15" thickBot="1" x14ac:dyDescent="0.35">
      <c r="A3" s="39" t="s">
        <v>4968</v>
      </c>
      <c r="B3" s="40">
        <v>110</v>
      </c>
      <c r="C3" s="41">
        <v>0.22</v>
      </c>
      <c r="D3" s="40" t="s">
        <v>4985</v>
      </c>
      <c r="E3" s="40" t="s">
        <v>4986</v>
      </c>
      <c r="F3" s="40" t="s">
        <v>4987</v>
      </c>
      <c r="G3" s="40" t="s">
        <v>4988</v>
      </c>
    </row>
    <row r="4" spans="1:7" ht="15" thickBot="1" x14ac:dyDescent="0.35">
      <c r="A4" s="39" t="s">
        <v>4967</v>
      </c>
      <c r="B4" s="40">
        <v>74</v>
      </c>
      <c r="C4" s="41">
        <v>0.14799999999999999</v>
      </c>
      <c r="D4" s="40" t="s">
        <v>4989</v>
      </c>
      <c r="E4" s="40" t="s">
        <v>4990</v>
      </c>
      <c r="F4" s="40" t="s">
        <v>4991</v>
      </c>
      <c r="G4" s="38" t="s">
        <v>4992</v>
      </c>
    </row>
    <row r="5" spans="1:7" ht="15" thickBot="1" x14ac:dyDescent="0.35">
      <c r="A5" s="39" t="s">
        <v>4970</v>
      </c>
      <c r="B5" s="40">
        <v>116</v>
      </c>
      <c r="C5" s="41">
        <v>0.23200000000000001</v>
      </c>
      <c r="D5" s="40" t="s">
        <v>4993</v>
      </c>
      <c r="E5" s="40" t="s">
        <v>4994</v>
      </c>
      <c r="F5" s="40" t="s">
        <v>4995</v>
      </c>
      <c r="G5" s="40" t="s">
        <v>4996</v>
      </c>
    </row>
    <row r="6" spans="1:7" ht="15" thickBot="1" x14ac:dyDescent="0.35">
      <c r="A6" s="39" t="s">
        <v>4973</v>
      </c>
      <c r="B6" s="40">
        <v>42</v>
      </c>
      <c r="C6" s="41">
        <v>8.4000000000000005E-2</v>
      </c>
      <c r="D6" s="40" t="s">
        <v>4997</v>
      </c>
      <c r="E6" s="40" t="s">
        <v>4998</v>
      </c>
      <c r="F6" s="40" t="s">
        <v>4999</v>
      </c>
      <c r="G6" s="40" t="s">
        <v>5000</v>
      </c>
    </row>
    <row r="7" spans="1:7" ht="15" thickBot="1" x14ac:dyDescent="0.35">
      <c r="A7" s="39" t="s">
        <v>5001</v>
      </c>
      <c r="B7" s="40">
        <v>57</v>
      </c>
      <c r="C7" s="41">
        <v>0.114</v>
      </c>
      <c r="D7" s="40" t="s">
        <v>5002</v>
      </c>
      <c r="E7" s="40" t="s">
        <v>5003</v>
      </c>
      <c r="F7" s="40" t="s">
        <v>5004</v>
      </c>
      <c r="G7" s="40" t="s">
        <v>5005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06B930-420C-43A5-9087-758BF62D92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ecommerce_transactions</vt:lpstr>
      <vt:lpstr>main_data</vt:lpstr>
      <vt:lpstr>rfm_segmented</vt:lpstr>
      <vt:lpstr>customer_lifetime_value</vt:lpstr>
      <vt:lpstr>segment_analysis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NITISHA</dc:creator>
  <cp:lastModifiedBy>NITISHA</cp:lastModifiedBy>
  <dcterms:created xsi:type="dcterms:W3CDTF">2025-12-28T04:49:37Z</dcterms:created>
  <dcterms:modified xsi:type="dcterms:W3CDTF">2025-12-29T06:24:04Z</dcterms:modified>
</cp:coreProperties>
</file>